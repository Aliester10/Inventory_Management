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ROXY\STOCK BULANAN\2026\"/>
    </mc:Choice>
  </mc:AlternateContent>
  <bookViews>
    <workbookView xWindow="0" yWindow="0" windowWidth="19635" windowHeight="7020"/>
  </bookViews>
  <sheets>
    <sheet name="BAHAN BAKU" sheetId="1" r:id="rId1"/>
    <sheet name="MESIN &amp; SPAREPART" sheetId="3" r:id="rId2"/>
    <sheet name="Sheet3" sheetId="5" r:id="rId3"/>
    <sheet name="Sheet1" sheetId="6" r:id="rId4"/>
    <sheet name="Sheet2" sheetId="7" r:id="rId5"/>
    <sheet name="Sheet4" sheetId="8" r:id="rId6"/>
    <sheet name="Sheet5" sheetId="9" r:id="rId7"/>
    <sheet name="Sheet6" sheetId="10" r:id="rId8"/>
    <sheet name="Sheet7" sheetId="11" r:id="rId9"/>
    <sheet name="Sheet8" sheetId="12" r:id="rId10"/>
    <sheet name="Sheet9" sheetId="13" r:id="rId11"/>
  </sheets>
  <definedNames>
    <definedName name="_xlnm._FilterDatabase" localSheetId="0" hidden="1">'BAHAN BAKU'!$A$4:$BV$1669</definedName>
    <definedName name="_xlnm._FilterDatabase" localSheetId="1" hidden="1">'MESIN &amp; SPAREPART'!$A$4:$G$19</definedName>
    <definedName name="_xlnm._FilterDatabase" localSheetId="9" hidden="1">Sheet8!$A$3:$D$35</definedName>
    <definedName name="_xlnm.Print_Area" localSheetId="0">'BAHAN BAKU'!$A$3:$J$1432</definedName>
    <definedName name="_xlnm.Print_Area" localSheetId="3">Sheet1!$A$1:$F$30</definedName>
    <definedName name="_xlnm.Print_Area" localSheetId="10">Sheet9!$A$1:$D$11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69" i="1" l="1"/>
  <c r="H1669" i="1"/>
  <c r="I1660" i="1"/>
  <c r="I1661" i="1"/>
  <c r="I1662" i="1"/>
  <c r="I1663" i="1"/>
  <c r="I1664" i="1"/>
  <c r="I1665" i="1"/>
  <c r="I1666" i="1"/>
  <c r="I1667" i="1"/>
  <c r="I1668" i="1"/>
  <c r="H1668" i="1"/>
  <c r="J1668" i="1" s="1"/>
  <c r="I1656" i="1"/>
  <c r="I1657" i="1"/>
  <c r="I1658" i="1"/>
  <c r="I1659" i="1"/>
  <c r="H1667" i="1"/>
  <c r="AL45" i="1"/>
  <c r="AL1655" i="1"/>
  <c r="AL787" i="1"/>
  <c r="J1669" i="1" l="1"/>
  <c r="J1667" i="1"/>
  <c r="H1666" i="1"/>
  <c r="J1666" i="1" s="1"/>
  <c r="H1665" i="1"/>
  <c r="J1665" i="1" s="1"/>
  <c r="H1664" i="1"/>
  <c r="J1664" i="1" s="1"/>
  <c r="H1663" i="1"/>
  <c r="J1663" i="1" s="1"/>
  <c r="H1662" i="1"/>
  <c r="J1662" i="1" s="1"/>
  <c r="AL56" i="1"/>
  <c r="Z89" i="1"/>
  <c r="AL425" i="1"/>
  <c r="H1661" i="1"/>
  <c r="J1661" i="1" s="1"/>
  <c r="H1660" i="1"/>
  <c r="J1660" i="1" l="1"/>
  <c r="AF50" i="1"/>
  <c r="AF347" i="1"/>
  <c r="AF348" i="1"/>
  <c r="AF93" i="1"/>
  <c r="AF91" i="1"/>
  <c r="AF1304" i="1"/>
  <c r="AF254" i="1"/>
  <c r="AF56" i="1"/>
  <c r="AF300" i="1" l="1"/>
  <c r="AF100" i="1"/>
  <c r="AD50" i="1"/>
  <c r="AD347" i="1"/>
  <c r="AD348" i="1"/>
  <c r="AD317" i="1"/>
  <c r="AD318" i="1"/>
  <c r="AD91" i="1"/>
  <c r="AD93" i="1"/>
  <c r="AD1304" i="1"/>
  <c r="AD254" i="1"/>
  <c r="AD179" i="1"/>
  <c r="AD49" i="1"/>
  <c r="AD211" i="1"/>
  <c r="AD210" i="1"/>
  <c r="AD271" i="1"/>
  <c r="AD89" i="1"/>
  <c r="AD94" i="1"/>
  <c r="AD541" i="1"/>
  <c r="AD178" i="1"/>
  <c r="AB348" i="1" l="1"/>
  <c r="AB347" i="1"/>
  <c r="H1659" i="1" l="1"/>
  <c r="H1658" i="1"/>
  <c r="J1659" i="1" l="1"/>
  <c r="J1658" i="1"/>
  <c r="H1657" i="1" l="1"/>
  <c r="I477" i="1"/>
  <c r="H477" i="1"/>
  <c r="H1656" i="1"/>
  <c r="I1655" i="1"/>
  <c r="H1655" i="1"/>
  <c r="H1304" i="1"/>
  <c r="H1654" i="1"/>
  <c r="I1653" i="1"/>
  <c r="I1654" i="1"/>
  <c r="H1653" i="1"/>
  <c r="J1656" i="1" l="1"/>
  <c r="J1657" i="1"/>
  <c r="J1655" i="1"/>
  <c r="J1654" i="1"/>
  <c r="J1653" i="1"/>
  <c r="I1652" i="1" l="1"/>
  <c r="H1652" i="1"/>
  <c r="I1649" i="1"/>
  <c r="I1650" i="1"/>
  <c r="I1651" i="1"/>
  <c r="H1649" i="1"/>
  <c r="H1650" i="1"/>
  <c r="H1651" i="1"/>
  <c r="I1648" i="1"/>
  <c r="H1648" i="1"/>
  <c r="I1647" i="1"/>
  <c r="H1647" i="1"/>
  <c r="I1646" i="1"/>
  <c r="H1646" i="1"/>
  <c r="I1645" i="1"/>
  <c r="H1645" i="1"/>
  <c r="J1652" i="1" l="1"/>
  <c r="J1650" i="1"/>
  <c r="J1649" i="1"/>
  <c r="J1651" i="1"/>
  <c r="J1647" i="1"/>
  <c r="J1648" i="1"/>
  <c r="J1645" i="1"/>
  <c r="J1646" i="1"/>
  <c r="G9" i="9"/>
  <c r="F9" i="9"/>
  <c r="H9" i="9" s="1"/>
  <c r="H8" i="9"/>
  <c r="G8" i="9"/>
  <c r="F8" i="9"/>
  <c r="G7" i="9"/>
  <c r="F7" i="9"/>
  <c r="H7" i="9" s="1"/>
  <c r="L6" i="9"/>
  <c r="G6" i="9" s="1"/>
  <c r="F6" i="9"/>
  <c r="J5" i="9"/>
  <c r="G5" i="9" s="1"/>
  <c r="F5" i="9"/>
  <c r="L4" i="9"/>
  <c r="G4" i="9"/>
  <c r="F4" i="9"/>
  <c r="T3" i="9"/>
  <c r="L3" i="9"/>
  <c r="J3" i="9"/>
  <c r="G3" i="9" s="1"/>
  <c r="F3" i="9"/>
  <c r="G2" i="9"/>
  <c r="F2" i="9"/>
  <c r="H2" i="9" s="1"/>
  <c r="H1" i="9"/>
  <c r="G1" i="9"/>
  <c r="F1" i="9"/>
  <c r="I1644" i="1"/>
  <c r="H1644" i="1"/>
  <c r="I1643" i="1"/>
  <c r="H1643" i="1"/>
  <c r="I1642" i="1"/>
  <c r="H1642" i="1"/>
  <c r="I1641" i="1"/>
  <c r="H1641" i="1"/>
  <c r="I1640" i="1"/>
  <c r="H1640" i="1"/>
  <c r="I1639" i="1"/>
  <c r="H1639" i="1"/>
  <c r="I1638" i="1"/>
  <c r="H1638" i="1"/>
  <c r="I1637" i="1"/>
  <c r="H1637" i="1"/>
  <c r="I1636" i="1"/>
  <c r="H1636" i="1"/>
  <c r="I1635" i="1"/>
  <c r="H1635" i="1"/>
  <c r="I1634" i="1"/>
  <c r="H1634" i="1"/>
  <c r="I1633" i="1"/>
  <c r="H1633" i="1"/>
  <c r="I1632" i="1"/>
  <c r="H1632" i="1"/>
  <c r="I1631" i="1"/>
  <c r="H1631" i="1"/>
  <c r="I1630" i="1"/>
  <c r="H1630" i="1"/>
  <c r="I1629" i="1"/>
  <c r="H1629" i="1"/>
  <c r="I1628" i="1"/>
  <c r="H1628" i="1"/>
  <c r="I1627" i="1"/>
  <c r="H1627" i="1"/>
  <c r="I1626" i="1"/>
  <c r="H1626" i="1"/>
  <c r="I1625" i="1"/>
  <c r="H1625" i="1"/>
  <c r="I1624" i="1"/>
  <c r="H1624" i="1"/>
  <c r="I1623" i="1"/>
  <c r="H1623" i="1"/>
  <c r="I1622" i="1"/>
  <c r="H1622" i="1"/>
  <c r="I1621" i="1"/>
  <c r="H1621" i="1"/>
  <c r="I1620" i="1"/>
  <c r="H1620" i="1"/>
  <c r="I1619" i="1"/>
  <c r="H1619" i="1"/>
  <c r="I1618" i="1"/>
  <c r="H1618" i="1"/>
  <c r="I1617" i="1"/>
  <c r="H1617" i="1"/>
  <c r="I1616" i="1"/>
  <c r="H1616" i="1"/>
  <c r="I1615" i="1"/>
  <c r="H1615" i="1"/>
  <c r="I1614" i="1"/>
  <c r="H1614" i="1"/>
  <c r="I1613" i="1"/>
  <c r="H1613" i="1"/>
  <c r="I1612" i="1"/>
  <c r="H1612" i="1"/>
  <c r="I1611" i="1"/>
  <c r="H1611" i="1"/>
  <c r="I1610" i="1"/>
  <c r="H1610" i="1"/>
  <c r="I1609" i="1"/>
  <c r="H1609" i="1"/>
  <c r="I1608" i="1"/>
  <c r="H1608" i="1"/>
  <c r="I1607" i="1"/>
  <c r="H1607" i="1"/>
  <c r="I1606" i="1"/>
  <c r="H1606" i="1"/>
  <c r="I1605" i="1"/>
  <c r="H1605" i="1"/>
  <c r="I1604" i="1"/>
  <c r="H1604" i="1"/>
  <c r="I1603" i="1"/>
  <c r="H1603" i="1"/>
  <c r="I1602" i="1"/>
  <c r="H1602" i="1"/>
  <c r="I1601" i="1"/>
  <c r="H1601" i="1"/>
  <c r="I1600" i="1"/>
  <c r="H1600" i="1"/>
  <c r="I1599" i="1"/>
  <c r="H1599" i="1"/>
  <c r="I1598" i="1"/>
  <c r="H1598" i="1"/>
  <c r="I1597" i="1"/>
  <c r="H1597" i="1"/>
  <c r="I1596" i="1"/>
  <c r="H1596" i="1"/>
  <c r="I1595" i="1"/>
  <c r="H1595" i="1"/>
  <c r="I1594" i="1"/>
  <c r="H1594" i="1"/>
  <c r="I1593" i="1"/>
  <c r="H1593" i="1"/>
  <c r="I1592" i="1"/>
  <c r="H1592" i="1"/>
  <c r="I1591" i="1"/>
  <c r="H1591" i="1"/>
  <c r="I1590" i="1"/>
  <c r="H1590" i="1"/>
  <c r="I1589" i="1"/>
  <c r="H1589" i="1"/>
  <c r="I1588" i="1"/>
  <c r="H1588" i="1"/>
  <c r="I1587" i="1"/>
  <c r="H1587" i="1"/>
  <c r="I1586" i="1"/>
  <c r="H1586" i="1"/>
  <c r="I1585" i="1"/>
  <c r="H1585" i="1"/>
  <c r="I1584" i="1"/>
  <c r="H1584" i="1"/>
  <c r="I1583" i="1"/>
  <c r="H1583" i="1"/>
  <c r="I1582" i="1"/>
  <c r="H1582" i="1"/>
  <c r="I1581" i="1"/>
  <c r="H1581" i="1"/>
  <c r="I1580" i="1"/>
  <c r="H1580" i="1"/>
  <c r="I1579" i="1"/>
  <c r="H1579" i="1"/>
  <c r="I1578" i="1"/>
  <c r="H1578" i="1"/>
  <c r="I1577" i="1"/>
  <c r="H1577" i="1"/>
  <c r="I1576" i="1"/>
  <c r="H1576" i="1"/>
  <c r="I1575" i="1"/>
  <c r="H1575" i="1"/>
  <c r="I1574" i="1"/>
  <c r="H1574" i="1"/>
  <c r="I1573" i="1"/>
  <c r="H1573" i="1"/>
  <c r="I1572" i="1"/>
  <c r="H1572" i="1"/>
  <c r="I1571" i="1"/>
  <c r="H1571" i="1"/>
  <c r="I1570" i="1"/>
  <c r="H1570" i="1"/>
  <c r="I1569" i="1"/>
  <c r="H1569" i="1"/>
  <c r="I1568" i="1"/>
  <c r="H1568" i="1"/>
  <c r="I1567" i="1"/>
  <c r="H1567" i="1"/>
  <c r="I1566" i="1"/>
  <c r="H1566" i="1"/>
  <c r="I1565" i="1"/>
  <c r="H1565" i="1"/>
  <c r="I1564" i="1"/>
  <c r="H1564" i="1"/>
  <c r="I1563" i="1"/>
  <c r="H1563" i="1"/>
  <c r="I1562" i="1"/>
  <c r="H1562" i="1"/>
  <c r="I1561" i="1"/>
  <c r="H1561" i="1"/>
  <c r="I1560" i="1"/>
  <c r="H1560" i="1"/>
  <c r="I1559" i="1"/>
  <c r="H1559" i="1"/>
  <c r="I1558" i="1"/>
  <c r="H1558" i="1"/>
  <c r="I1557" i="1"/>
  <c r="H1557" i="1"/>
  <c r="I1556" i="1"/>
  <c r="H1556" i="1"/>
  <c r="I1555" i="1"/>
  <c r="H1555" i="1"/>
  <c r="I1554" i="1"/>
  <c r="H1554" i="1"/>
  <c r="I1553" i="1"/>
  <c r="H1553" i="1"/>
  <c r="I1552" i="1"/>
  <c r="H1552" i="1"/>
  <c r="I1551" i="1"/>
  <c r="H1551" i="1"/>
  <c r="I1550" i="1"/>
  <c r="H1550" i="1"/>
  <c r="I1549" i="1"/>
  <c r="H1549" i="1"/>
  <c r="I1548" i="1"/>
  <c r="H1548" i="1"/>
  <c r="I1547" i="1"/>
  <c r="H1547" i="1"/>
  <c r="I1546" i="1"/>
  <c r="H1546" i="1"/>
  <c r="I1545" i="1"/>
  <c r="H1545" i="1"/>
  <c r="I1544" i="1"/>
  <c r="H1544" i="1"/>
  <c r="I1543" i="1"/>
  <c r="H1543" i="1"/>
  <c r="I1542" i="1"/>
  <c r="H1542" i="1"/>
  <c r="I1541" i="1"/>
  <c r="H1541" i="1"/>
  <c r="I1540" i="1"/>
  <c r="H1540" i="1"/>
  <c r="I1539" i="1"/>
  <c r="H1539" i="1"/>
  <c r="I1538" i="1"/>
  <c r="H1538" i="1"/>
  <c r="I1537" i="1"/>
  <c r="H1537" i="1"/>
  <c r="I1536" i="1"/>
  <c r="H1536" i="1"/>
  <c r="I1535" i="1"/>
  <c r="H1535" i="1"/>
  <c r="I1534" i="1"/>
  <c r="H1534" i="1"/>
  <c r="I1533" i="1"/>
  <c r="H1533" i="1"/>
  <c r="I1532" i="1"/>
  <c r="H1532" i="1"/>
  <c r="I1531" i="1"/>
  <c r="H1531" i="1"/>
  <c r="I1530" i="1"/>
  <c r="H1530" i="1"/>
  <c r="I1529" i="1"/>
  <c r="H1529" i="1"/>
  <c r="I1528" i="1"/>
  <c r="H1528" i="1"/>
  <c r="I1527" i="1"/>
  <c r="H1527" i="1"/>
  <c r="I1526" i="1"/>
  <c r="H1526" i="1"/>
  <c r="I1525" i="1"/>
  <c r="H1525" i="1"/>
  <c r="I1524" i="1"/>
  <c r="H1524" i="1"/>
  <c r="I1523" i="1"/>
  <c r="H1523" i="1"/>
  <c r="I1522" i="1"/>
  <c r="H1522" i="1"/>
  <c r="I1521" i="1"/>
  <c r="H1521" i="1"/>
  <c r="I1520" i="1"/>
  <c r="H1520" i="1"/>
  <c r="I1519" i="1"/>
  <c r="H1519" i="1"/>
  <c r="I1518" i="1"/>
  <c r="H1518" i="1"/>
  <c r="I1517" i="1"/>
  <c r="H1517" i="1"/>
  <c r="I1516" i="1"/>
  <c r="H1516" i="1"/>
  <c r="I1515" i="1"/>
  <c r="H1515" i="1"/>
  <c r="I1514" i="1"/>
  <c r="H1514" i="1"/>
  <c r="I1513" i="1"/>
  <c r="H1513" i="1"/>
  <c r="I1512" i="1"/>
  <c r="H1512" i="1"/>
  <c r="I1511" i="1"/>
  <c r="H1511" i="1"/>
  <c r="I1510" i="1"/>
  <c r="H1510" i="1"/>
  <c r="I1509" i="1"/>
  <c r="H1509" i="1"/>
  <c r="I1508" i="1"/>
  <c r="H1508" i="1"/>
  <c r="I1507" i="1"/>
  <c r="H1507" i="1"/>
  <c r="I1506" i="1"/>
  <c r="H1506" i="1"/>
  <c r="I1505" i="1"/>
  <c r="H1505" i="1"/>
  <c r="I1504" i="1"/>
  <c r="H1504" i="1"/>
  <c r="I1503" i="1"/>
  <c r="H1503" i="1"/>
  <c r="I1502" i="1"/>
  <c r="H1502" i="1"/>
  <c r="I1501" i="1"/>
  <c r="H1501" i="1"/>
  <c r="I1500" i="1"/>
  <c r="H1500" i="1"/>
  <c r="I1499" i="1"/>
  <c r="H1499" i="1"/>
  <c r="I1498" i="1"/>
  <c r="H1498" i="1"/>
  <c r="I1497" i="1"/>
  <c r="H1497" i="1"/>
  <c r="I1496" i="1"/>
  <c r="H1496" i="1"/>
  <c r="I1495" i="1"/>
  <c r="H1495" i="1"/>
  <c r="I1494" i="1"/>
  <c r="H1494" i="1"/>
  <c r="I1493" i="1"/>
  <c r="H1493" i="1"/>
  <c r="I1492" i="1"/>
  <c r="H1492" i="1"/>
  <c r="I1491" i="1"/>
  <c r="H1491" i="1"/>
  <c r="I1490" i="1"/>
  <c r="H1490" i="1"/>
  <c r="I1489" i="1"/>
  <c r="H1489" i="1"/>
  <c r="I1488" i="1"/>
  <c r="H1488" i="1"/>
  <c r="I1487" i="1"/>
  <c r="H1487" i="1"/>
  <c r="I1486" i="1"/>
  <c r="H1486" i="1"/>
  <c r="I1485" i="1"/>
  <c r="H1485" i="1"/>
  <c r="I1484" i="1"/>
  <c r="H1484" i="1"/>
  <c r="I1483" i="1"/>
  <c r="H1483" i="1"/>
  <c r="I1482" i="1"/>
  <c r="H1482" i="1"/>
  <c r="I1481" i="1"/>
  <c r="H1481" i="1"/>
  <c r="I1480" i="1"/>
  <c r="H1480" i="1"/>
  <c r="I1479" i="1"/>
  <c r="H1479" i="1"/>
  <c r="I1478" i="1"/>
  <c r="H1478" i="1"/>
  <c r="I1477" i="1"/>
  <c r="H1477" i="1"/>
  <c r="I1476" i="1"/>
  <c r="H1476" i="1"/>
  <c r="I1475" i="1"/>
  <c r="H1475" i="1"/>
  <c r="I1474" i="1"/>
  <c r="H1474" i="1"/>
  <c r="I1473" i="1"/>
  <c r="H1473" i="1"/>
  <c r="I1472" i="1"/>
  <c r="H1472" i="1"/>
  <c r="I1471" i="1"/>
  <c r="H1471" i="1"/>
  <c r="I1470" i="1"/>
  <c r="H1470" i="1"/>
  <c r="I1469" i="1"/>
  <c r="H1469" i="1"/>
  <c r="I1468" i="1"/>
  <c r="H1468" i="1"/>
  <c r="I1467" i="1"/>
  <c r="H1467" i="1"/>
  <c r="I1466" i="1"/>
  <c r="H1466" i="1"/>
  <c r="I1465" i="1"/>
  <c r="H1465" i="1"/>
  <c r="I1464" i="1"/>
  <c r="H1464" i="1"/>
  <c r="I1463" i="1"/>
  <c r="H1463" i="1"/>
  <c r="I1462" i="1"/>
  <c r="H1462" i="1"/>
  <c r="I1461" i="1"/>
  <c r="H1461" i="1"/>
  <c r="I1460" i="1"/>
  <c r="H1460" i="1"/>
  <c r="I1459" i="1"/>
  <c r="H1459" i="1"/>
  <c r="I1458" i="1"/>
  <c r="H1458" i="1"/>
  <c r="I1457" i="1"/>
  <c r="H1457" i="1"/>
  <c r="I1456" i="1"/>
  <c r="H1456" i="1"/>
  <c r="I1455" i="1"/>
  <c r="H1455" i="1"/>
  <c r="I1454" i="1"/>
  <c r="H1454" i="1"/>
  <c r="I1453" i="1"/>
  <c r="H1453" i="1"/>
  <c r="I1452" i="1"/>
  <c r="H1452" i="1"/>
  <c r="I1451" i="1"/>
  <c r="H1451" i="1"/>
  <c r="I1450" i="1"/>
  <c r="H1450" i="1"/>
  <c r="I1449" i="1"/>
  <c r="H1449" i="1"/>
  <c r="I1448" i="1"/>
  <c r="H1448" i="1"/>
  <c r="I1447" i="1"/>
  <c r="H1447" i="1"/>
  <c r="I1446" i="1"/>
  <c r="H1446" i="1"/>
  <c r="I1445" i="1"/>
  <c r="H1445" i="1"/>
  <c r="I1444" i="1"/>
  <c r="H1444" i="1"/>
  <c r="I1443" i="1"/>
  <c r="H1443" i="1"/>
  <c r="I1442" i="1"/>
  <c r="H1442" i="1"/>
  <c r="I1441" i="1"/>
  <c r="H1441" i="1"/>
  <c r="I1440" i="1"/>
  <c r="H1440" i="1"/>
  <c r="I1439" i="1"/>
  <c r="H1439" i="1"/>
  <c r="I1438" i="1"/>
  <c r="H1438" i="1"/>
  <c r="I1437" i="1"/>
  <c r="H1437" i="1"/>
  <c r="I1436" i="1"/>
  <c r="H1436" i="1"/>
  <c r="I1435" i="1"/>
  <c r="H1435" i="1"/>
  <c r="I1434" i="1"/>
  <c r="H1434" i="1"/>
  <c r="I1433" i="1"/>
  <c r="H1433" i="1"/>
  <c r="I1432" i="1"/>
  <c r="H1432" i="1"/>
  <c r="I1431" i="1"/>
  <c r="H1431" i="1"/>
  <c r="I1430" i="1"/>
  <c r="H1430" i="1"/>
  <c r="I1429" i="1"/>
  <c r="H1429" i="1"/>
  <c r="I1428" i="1"/>
  <c r="H1428" i="1"/>
  <c r="I1427" i="1"/>
  <c r="H1427" i="1"/>
  <c r="I1426" i="1"/>
  <c r="H1426" i="1"/>
  <c r="I1425" i="1"/>
  <c r="H1425" i="1"/>
  <c r="I1424" i="1"/>
  <c r="H1424" i="1"/>
  <c r="I1423" i="1"/>
  <c r="H1423" i="1"/>
  <c r="I1422" i="1"/>
  <c r="H1422" i="1"/>
  <c r="I1421" i="1"/>
  <c r="H1421" i="1"/>
  <c r="I1420" i="1"/>
  <c r="H1420" i="1"/>
  <c r="I1419" i="1"/>
  <c r="H1419" i="1"/>
  <c r="I1418" i="1"/>
  <c r="H1418" i="1"/>
  <c r="I1417" i="1"/>
  <c r="H1417" i="1"/>
  <c r="I1416" i="1"/>
  <c r="H1416" i="1"/>
  <c r="I1415" i="1"/>
  <c r="H1415" i="1"/>
  <c r="I1414" i="1"/>
  <c r="H1414" i="1"/>
  <c r="I1413" i="1"/>
  <c r="H1413" i="1"/>
  <c r="I1412" i="1"/>
  <c r="H1412" i="1"/>
  <c r="I1411" i="1"/>
  <c r="H1411" i="1"/>
  <c r="I1410" i="1"/>
  <c r="H1410" i="1"/>
  <c r="I1409" i="1"/>
  <c r="H1409" i="1"/>
  <c r="I1408" i="1"/>
  <c r="H1408" i="1"/>
  <c r="I1407" i="1"/>
  <c r="H1407" i="1"/>
  <c r="I1406" i="1"/>
  <c r="H1406" i="1"/>
  <c r="I1405" i="1"/>
  <c r="H1405" i="1"/>
  <c r="I1404" i="1"/>
  <c r="H1404" i="1"/>
  <c r="I1403" i="1"/>
  <c r="H1403" i="1"/>
  <c r="I1402" i="1"/>
  <c r="H1402" i="1"/>
  <c r="I1401" i="1"/>
  <c r="H1401" i="1"/>
  <c r="I1400" i="1"/>
  <c r="H1400" i="1"/>
  <c r="I1399" i="1"/>
  <c r="H1399" i="1"/>
  <c r="I1398" i="1"/>
  <c r="H1398" i="1"/>
  <c r="I1397" i="1"/>
  <c r="H1397" i="1"/>
  <c r="I1396" i="1"/>
  <c r="H1396" i="1"/>
  <c r="I1395" i="1"/>
  <c r="H1395" i="1"/>
  <c r="I1394" i="1"/>
  <c r="H1394" i="1"/>
  <c r="I1393" i="1"/>
  <c r="H1393" i="1"/>
  <c r="I1392" i="1"/>
  <c r="H1392" i="1"/>
  <c r="I1391" i="1"/>
  <c r="H1391" i="1"/>
  <c r="I1390" i="1"/>
  <c r="H1390" i="1"/>
  <c r="I1389" i="1"/>
  <c r="H1389" i="1"/>
  <c r="I1388" i="1"/>
  <c r="H1388" i="1"/>
  <c r="I1387" i="1"/>
  <c r="H1387" i="1"/>
  <c r="I1386" i="1"/>
  <c r="H1386" i="1"/>
  <c r="I1385" i="1"/>
  <c r="H1385" i="1"/>
  <c r="I1384" i="1"/>
  <c r="H1384" i="1"/>
  <c r="I1383" i="1"/>
  <c r="H1383" i="1"/>
  <c r="I1382" i="1"/>
  <c r="H1382" i="1"/>
  <c r="I1381" i="1"/>
  <c r="H1381" i="1"/>
  <c r="I1380" i="1"/>
  <c r="H1380" i="1"/>
  <c r="I1379" i="1"/>
  <c r="H1379" i="1"/>
  <c r="I1378" i="1"/>
  <c r="H1378" i="1"/>
  <c r="I1377" i="1"/>
  <c r="H1377" i="1"/>
  <c r="I1376" i="1"/>
  <c r="H1376" i="1"/>
  <c r="I1375" i="1"/>
  <c r="H1375" i="1"/>
  <c r="I1374" i="1"/>
  <c r="H1374" i="1"/>
  <c r="I1373" i="1"/>
  <c r="H1373" i="1"/>
  <c r="I1372" i="1"/>
  <c r="H1372" i="1"/>
  <c r="I1371" i="1"/>
  <c r="H1371" i="1"/>
  <c r="I1370" i="1"/>
  <c r="H1370" i="1"/>
  <c r="I1369" i="1"/>
  <c r="H1369" i="1"/>
  <c r="I1368" i="1"/>
  <c r="H1368" i="1"/>
  <c r="I1367" i="1"/>
  <c r="H1367" i="1"/>
  <c r="I1366" i="1"/>
  <c r="H1366" i="1"/>
  <c r="I1365" i="1"/>
  <c r="H1365" i="1"/>
  <c r="I1364" i="1"/>
  <c r="H1364" i="1"/>
  <c r="I1363" i="1"/>
  <c r="H1363" i="1"/>
  <c r="I1362" i="1"/>
  <c r="H1362" i="1"/>
  <c r="I1361" i="1"/>
  <c r="H1361" i="1"/>
  <c r="I1360" i="1"/>
  <c r="H1360" i="1"/>
  <c r="I1359" i="1"/>
  <c r="H1359" i="1"/>
  <c r="I1358" i="1"/>
  <c r="H1358" i="1"/>
  <c r="I1357" i="1"/>
  <c r="H1357" i="1"/>
  <c r="I1356" i="1"/>
  <c r="H1356" i="1"/>
  <c r="I1355" i="1"/>
  <c r="H1355" i="1"/>
  <c r="I1354" i="1"/>
  <c r="H1354" i="1"/>
  <c r="I1353" i="1"/>
  <c r="H1353" i="1"/>
  <c r="I1352" i="1"/>
  <c r="H1352" i="1"/>
  <c r="I1351" i="1"/>
  <c r="H1351" i="1"/>
  <c r="I1350" i="1"/>
  <c r="H1350" i="1"/>
  <c r="I1349" i="1"/>
  <c r="H1349" i="1"/>
  <c r="I1348" i="1"/>
  <c r="H1348" i="1"/>
  <c r="I1347" i="1"/>
  <c r="H1347" i="1"/>
  <c r="I1346" i="1"/>
  <c r="H1346" i="1"/>
  <c r="I1345" i="1"/>
  <c r="H1345" i="1"/>
  <c r="I1344" i="1"/>
  <c r="H1344" i="1"/>
  <c r="I1343" i="1"/>
  <c r="H1343" i="1"/>
  <c r="I1342" i="1"/>
  <c r="H1342" i="1"/>
  <c r="I1341" i="1"/>
  <c r="H1341" i="1"/>
  <c r="I1340" i="1"/>
  <c r="H1340" i="1"/>
  <c r="I1339" i="1"/>
  <c r="H1339" i="1"/>
  <c r="I1338" i="1"/>
  <c r="H1338" i="1"/>
  <c r="I1337" i="1"/>
  <c r="H1337" i="1"/>
  <c r="I1336" i="1"/>
  <c r="H1336" i="1"/>
  <c r="I1335" i="1"/>
  <c r="H1335" i="1"/>
  <c r="I1334" i="1"/>
  <c r="H1334" i="1"/>
  <c r="I1333" i="1"/>
  <c r="H1333" i="1"/>
  <c r="I1332" i="1"/>
  <c r="H1332" i="1"/>
  <c r="I1331" i="1"/>
  <c r="H1331" i="1"/>
  <c r="I1330" i="1"/>
  <c r="H1330" i="1"/>
  <c r="I1329" i="1"/>
  <c r="H1329" i="1"/>
  <c r="I1328" i="1"/>
  <c r="H1328" i="1"/>
  <c r="I1327" i="1"/>
  <c r="H1327" i="1"/>
  <c r="I1326" i="1"/>
  <c r="H1326" i="1"/>
  <c r="I1325" i="1"/>
  <c r="H1325" i="1"/>
  <c r="I1324" i="1"/>
  <c r="H1324" i="1"/>
  <c r="I1323" i="1"/>
  <c r="H1323" i="1"/>
  <c r="I1322" i="1"/>
  <c r="H1322" i="1"/>
  <c r="I1321" i="1"/>
  <c r="H1321" i="1"/>
  <c r="I1320" i="1"/>
  <c r="H1320" i="1"/>
  <c r="I1319" i="1"/>
  <c r="H1319" i="1"/>
  <c r="I1318" i="1"/>
  <c r="H1318" i="1"/>
  <c r="I1317" i="1"/>
  <c r="H1317" i="1"/>
  <c r="I1316" i="1"/>
  <c r="H1316" i="1"/>
  <c r="I1315" i="1"/>
  <c r="H1315" i="1"/>
  <c r="I1314" i="1"/>
  <c r="H1314" i="1"/>
  <c r="I1313" i="1"/>
  <c r="H1313" i="1"/>
  <c r="I1312" i="1"/>
  <c r="H1312" i="1"/>
  <c r="I1311" i="1"/>
  <c r="H1311" i="1"/>
  <c r="I1310" i="1"/>
  <c r="H1310" i="1"/>
  <c r="I1309" i="1"/>
  <c r="H1309" i="1"/>
  <c r="I1308" i="1"/>
  <c r="H1308" i="1"/>
  <c r="I1307" i="1"/>
  <c r="H1307" i="1"/>
  <c r="I1306" i="1"/>
  <c r="H1306" i="1"/>
  <c r="I1305" i="1"/>
  <c r="H1305" i="1"/>
  <c r="I1304" i="1"/>
  <c r="I1303" i="1"/>
  <c r="H1303" i="1"/>
  <c r="I1302" i="1"/>
  <c r="H1302" i="1"/>
  <c r="I1301" i="1"/>
  <c r="H1301" i="1"/>
  <c r="I1300" i="1"/>
  <c r="H1300" i="1"/>
  <c r="I1299" i="1"/>
  <c r="H1299" i="1"/>
  <c r="I1298" i="1"/>
  <c r="H1298" i="1"/>
  <c r="I1297" i="1"/>
  <c r="H1297" i="1"/>
  <c r="I1296" i="1"/>
  <c r="H1296" i="1"/>
  <c r="I1295" i="1"/>
  <c r="H1295" i="1"/>
  <c r="I1294" i="1"/>
  <c r="H1294" i="1"/>
  <c r="I1293" i="1"/>
  <c r="H1293" i="1"/>
  <c r="I1292" i="1"/>
  <c r="H1292" i="1"/>
  <c r="I1291" i="1"/>
  <c r="H1291" i="1"/>
  <c r="I1290" i="1"/>
  <c r="H1290" i="1"/>
  <c r="I1289" i="1"/>
  <c r="H1289" i="1"/>
  <c r="I1288" i="1"/>
  <c r="H1288" i="1"/>
  <c r="I1287" i="1"/>
  <c r="H1287" i="1"/>
  <c r="I1286" i="1"/>
  <c r="H1286" i="1"/>
  <c r="I1285" i="1"/>
  <c r="H1285" i="1"/>
  <c r="I1284" i="1"/>
  <c r="H1284" i="1"/>
  <c r="I1283" i="1"/>
  <c r="H1283" i="1"/>
  <c r="I1282" i="1"/>
  <c r="H1282" i="1"/>
  <c r="I1281" i="1"/>
  <c r="H1281" i="1"/>
  <c r="I1280" i="1"/>
  <c r="H1280" i="1"/>
  <c r="I1279" i="1"/>
  <c r="H1279" i="1"/>
  <c r="I1278" i="1"/>
  <c r="H1278" i="1"/>
  <c r="I1277" i="1"/>
  <c r="H1277" i="1"/>
  <c r="I1276" i="1"/>
  <c r="H1276" i="1"/>
  <c r="I1275" i="1"/>
  <c r="H1275" i="1"/>
  <c r="I1274" i="1"/>
  <c r="H1274" i="1"/>
  <c r="I1273" i="1"/>
  <c r="H1273" i="1"/>
  <c r="I1272" i="1"/>
  <c r="H1272" i="1"/>
  <c r="I1271" i="1"/>
  <c r="H1271" i="1"/>
  <c r="I1270" i="1"/>
  <c r="H1270" i="1"/>
  <c r="I1269" i="1"/>
  <c r="H1269" i="1"/>
  <c r="I1268" i="1"/>
  <c r="H1268" i="1"/>
  <c r="I1267" i="1"/>
  <c r="H1267" i="1"/>
  <c r="I1266" i="1"/>
  <c r="H1266" i="1"/>
  <c r="I1265" i="1"/>
  <c r="H1265" i="1"/>
  <c r="I1264" i="1"/>
  <c r="H1264" i="1"/>
  <c r="I1263" i="1"/>
  <c r="H1263" i="1"/>
  <c r="I1262" i="1"/>
  <c r="H1262" i="1"/>
  <c r="I1261" i="1"/>
  <c r="H1261" i="1"/>
  <c r="I1260" i="1"/>
  <c r="H1260" i="1"/>
  <c r="I1259" i="1"/>
  <c r="H1259" i="1"/>
  <c r="I1258" i="1"/>
  <c r="H1258" i="1"/>
  <c r="I1257" i="1"/>
  <c r="H1257" i="1"/>
  <c r="I1256" i="1"/>
  <c r="H1256" i="1"/>
  <c r="I1255" i="1"/>
  <c r="H1255" i="1"/>
  <c r="I1254" i="1"/>
  <c r="H1254" i="1"/>
  <c r="I1253" i="1"/>
  <c r="H1253" i="1"/>
  <c r="I1252" i="1"/>
  <c r="H1252" i="1"/>
  <c r="I1251" i="1"/>
  <c r="H1251" i="1"/>
  <c r="I1250" i="1"/>
  <c r="H1250" i="1"/>
  <c r="I1249" i="1"/>
  <c r="H1249" i="1"/>
  <c r="I1248" i="1"/>
  <c r="H1248" i="1"/>
  <c r="I1247" i="1"/>
  <c r="H1247" i="1"/>
  <c r="I1246" i="1"/>
  <c r="H1246" i="1"/>
  <c r="I1245" i="1"/>
  <c r="H1245" i="1"/>
  <c r="I1244" i="1"/>
  <c r="H1244" i="1"/>
  <c r="I1243" i="1"/>
  <c r="H1243" i="1"/>
  <c r="I1242" i="1"/>
  <c r="H1242" i="1"/>
  <c r="I1241" i="1"/>
  <c r="H1241" i="1"/>
  <c r="I1240" i="1"/>
  <c r="H1240" i="1"/>
  <c r="I1239" i="1"/>
  <c r="H1239" i="1"/>
  <c r="I1238" i="1"/>
  <c r="H1238" i="1"/>
  <c r="I1237" i="1"/>
  <c r="H1237" i="1"/>
  <c r="I1236" i="1"/>
  <c r="H1236" i="1"/>
  <c r="I1235" i="1"/>
  <c r="H1235" i="1"/>
  <c r="I1234" i="1"/>
  <c r="H1234" i="1"/>
  <c r="I1233" i="1"/>
  <c r="H1233" i="1"/>
  <c r="I1232" i="1"/>
  <c r="H1232" i="1"/>
  <c r="I1231" i="1"/>
  <c r="H1231" i="1"/>
  <c r="I1230" i="1"/>
  <c r="H1230" i="1"/>
  <c r="I1229" i="1"/>
  <c r="H1229" i="1"/>
  <c r="I1228" i="1"/>
  <c r="H1228" i="1"/>
  <c r="I1227" i="1"/>
  <c r="H1227" i="1"/>
  <c r="I1226" i="1"/>
  <c r="H1226" i="1"/>
  <c r="I1225" i="1"/>
  <c r="H1225" i="1"/>
  <c r="I1224" i="1"/>
  <c r="H1224" i="1"/>
  <c r="I1223" i="1"/>
  <c r="H1223" i="1"/>
  <c r="I1222" i="1"/>
  <c r="H1222" i="1"/>
  <c r="I1221" i="1"/>
  <c r="H1221" i="1"/>
  <c r="I1220" i="1"/>
  <c r="H1220" i="1"/>
  <c r="I1219" i="1"/>
  <c r="H1219" i="1"/>
  <c r="I1218" i="1"/>
  <c r="H1218" i="1"/>
  <c r="I1217" i="1"/>
  <c r="H1217" i="1"/>
  <c r="I1216" i="1"/>
  <c r="H1216" i="1"/>
  <c r="I1215" i="1"/>
  <c r="H1215" i="1"/>
  <c r="I1214" i="1"/>
  <c r="H1214" i="1"/>
  <c r="I1213" i="1"/>
  <c r="H1213" i="1"/>
  <c r="I1212" i="1"/>
  <c r="H1212" i="1"/>
  <c r="I1211" i="1"/>
  <c r="H1211" i="1"/>
  <c r="I1210" i="1"/>
  <c r="H1210" i="1"/>
  <c r="I1209" i="1"/>
  <c r="H1209" i="1"/>
  <c r="I1208" i="1"/>
  <c r="H1208" i="1"/>
  <c r="I1207" i="1"/>
  <c r="H1207" i="1"/>
  <c r="I1206" i="1"/>
  <c r="H1206" i="1"/>
  <c r="I1205" i="1"/>
  <c r="H1205" i="1"/>
  <c r="I1204" i="1"/>
  <c r="H1204" i="1"/>
  <c r="I1203" i="1"/>
  <c r="H1203" i="1"/>
  <c r="I1202" i="1"/>
  <c r="H1202" i="1"/>
  <c r="I1201" i="1"/>
  <c r="H1201" i="1"/>
  <c r="I1200" i="1"/>
  <c r="H1200" i="1"/>
  <c r="I1199" i="1"/>
  <c r="H1199" i="1"/>
  <c r="I1198" i="1"/>
  <c r="H1198" i="1"/>
  <c r="I1197" i="1"/>
  <c r="H1197" i="1"/>
  <c r="I1196" i="1"/>
  <c r="H1196" i="1"/>
  <c r="I1195" i="1"/>
  <c r="H1195" i="1"/>
  <c r="I1194" i="1"/>
  <c r="H1194" i="1"/>
  <c r="I1193" i="1"/>
  <c r="H1193" i="1"/>
  <c r="I1192" i="1"/>
  <c r="H1192" i="1"/>
  <c r="I1191" i="1"/>
  <c r="H1191" i="1"/>
  <c r="I1190" i="1"/>
  <c r="H1190" i="1"/>
  <c r="I1189" i="1"/>
  <c r="H1189" i="1"/>
  <c r="I1188" i="1"/>
  <c r="H1188" i="1"/>
  <c r="I1187" i="1"/>
  <c r="H1187" i="1"/>
  <c r="I1186" i="1"/>
  <c r="H1186" i="1"/>
  <c r="I1185" i="1"/>
  <c r="H1185" i="1"/>
  <c r="I1184" i="1"/>
  <c r="H1184" i="1"/>
  <c r="I1183" i="1"/>
  <c r="H1183" i="1"/>
  <c r="I1182" i="1"/>
  <c r="H1182" i="1"/>
  <c r="I1181" i="1"/>
  <c r="H1181" i="1"/>
  <c r="I1180" i="1"/>
  <c r="H1180" i="1"/>
  <c r="I1179" i="1"/>
  <c r="H1179" i="1"/>
  <c r="I1178" i="1"/>
  <c r="H1178" i="1"/>
  <c r="I1177" i="1"/>
  <c r="H1177" i="1"/>
  <c r="I1176" i="1"/>
  <c r="H1176" i="1"/>
  <c r="I1175" i="1"/>
  <c r="H1175" i="1"/>
  <c r="I1174" i="1"/>
  <c r="H1174" i="1"/>
  <c r="I1173" i="1"/>
  <c r="H1173" i="1"/>
  <c r="I1172" i="1"/>
  <c r="H1172" i="1"/>
  <c r="I1171" i="1"/>
  <c r="H1171" i="1"/>
  <c r="I1170" i="1"/>
  <c r="H1170" i="1"/>
  <c r="I1169" i="1"/>
  <c r="H1169" i="1"/>
  <c r="I1168" i="1"/>
  <c r="H1168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9" i="1"/>
  <c r="H1159" i="1"/>
  <c r="I1158" i="1"/>
  <c r="H1158" i="1"/>
  <c r="I1157" i="1"/>
  <c r="H1157" i="1"/>
  <c r="I1156" i="1"/>
  <c r="H1156" i="1"/>
  <c r="I1155" i="1"/>
  <c r="H1155" i="1"/>
  <c r="I1154" i="1"/>
  <c r="H1154" i="1"/>
  <c r="I1153" i="1"/>
  <c r="H1153" i="1"/>
  <c r="I1152" i="1"/>
  <c r="H1152" i="1"/>
  <c r="I1151" i="1"/>
  <c r="H1151" i="1"/>
  <c r="I1150" i="1"/>
  <c r="H1150" i="1"/>
  <c r="I1149" i="1"/>
  <c r="H1149" i="1"/>
  <c r="I1148" i="1"/>
  <c r="H1148" i="1"/>
  <c r="I1147" i="1"/>
  <c r="H1147" i="1"/>
  <c r="I1146" i="1"/>
  <c r="H1146" i="1"/>
  <c r="I1145" i="1"/>
  <c r="H1145" i="1"/>
  <c r="I1144" i="1"/>
  <c r="H1144" i="1"/>
  <c r="I1143" i="1"/>
  <c r="H1143" i="1"/>
  <c r="I1142" i="1"/>
  <c r="H1142" i="1"/>
  <c r="I1141" i="1"/>
  <c r="H1141" i="1"/>
  <c r="I1140" i="1"/>
  <c r="H1140" i="1"/>
  <c r="I1139" i="1"/>
  <c r="H1139" i="1"/>
  <c r="I1138" i="1"/>
  <c r="H1138" i="1"/>
  <c r="I1137" i="1"/>
  <c r="H1137" i="1"/>
  <c r="I1136" i="1"/>
  <c r="H1136" i="1"/>
  <c r="I1135" i="1"/>
  <c r="H1135" i="1"/>
  <c r="I1134" i="1"/>
  <c r="H1134" i="1"/>
  <c r="I1133" i="1"/>
  <c r="H1133" i="1"/>
  <c r="I1132" i="1"/>
  <c r="H1132" i="1"/>
  <c r="I1131" i="1"/>
  <c r="H1131" i="1"/>
  <c r="I1130" i="1"/>
  <c r="H1130" i="1"/>
  <c r="I1129" i="1"/>
  <c r="H1129" i="1"/>
  <c r="I1128" i="1"/>
  <c r="H1128" i="1"/>
  <c r="I1127" i="1"/>
  <c r="H1127" i="1"/>
  <c r="I1126" i="1"/>
  <c r="H1126" i="1"/>
  <c r="I1125" i="1"/>
  <c r="H1125" i="1"/>
  <c r="I1124" i="1"/>
  <c r="H1124" i="1"/>
  <c r="I1123" i="1"/>
  <c r="H1123" i="1"/>
  <c r="I1122" i="1"/>
  <c r="H1122" i="1"/>
  <c r="I1121" i="1"/>
  <c r="H1121" i="1"/>
  <c r="I1120" i="1"/>
  <c r="H1120" i="1"/>
  <c r="I1119" i="1"/>
  <c r="H1119" i="1"/>
  <c r="I1118" i="1"/>
  <c r="H1118" i="1"/>
  <c r="I1117" i="1"/>
  <c r="H1117" i="1"/>
  <c r="I1116" i="1"/>
  <c r="H1116" i="1"/>
  <c r="I1115" i="1"/>
  <c r="H1115" i="1"/>
  <c r="I1114" i="1"/>
  <c r="H1114" i="1"/>
  <c r="I1113" i="1"/>
  <c r="H1113" i="1"/>
  <c r="I1112" i="1"/>
  <c r="H1112" i="1"/>
  <c r="I1111" i="1"/>
  <c r="H1111" i="1"/>
  <c r="I1110" i="1"/>
  <c r="H1110" i="1"/>
  <c r="I1109" i="1"/>
  <c r="H1109" i="1"/>
  <c r="I1108" i="1"/>
  <c r="H1108" i="1"/>
  <c r="I1107" i="1"/>
  <c r="H1107" i="1"/>
  <c r="I1106" i="1"/>
  <c r="H1106" i="1"/>
  <c r="I1105" i="1"/>
  <c r="H1105" i="1"/>
  <c r="I1104" i="1"/>
  <c r="H1104" i="1"/>
  <c r="I1103" i="1"/>
  <c r="H1103" i="1"/>
  <c r="I1102" i="1"/>
  <c r="H1102" i="1"/>
  <c r="I1101" i="1"/>
  <c r="H1101" i="1"/>
  <c r="I1100" i="1"/>
  <c r="H1100" i="1"/>
  <c r="I1099" i="1"/>
  <c r="H1099" i="1"/>
  <c r="I1098" i="1"/>
  <c r="H1098" i="1"/>
  <c r="I1097" i="1"/>
  <c r="H1097" i="1"/>
  <c r="I1096" i="1"/>
  <c r="H1096" i="1"/>
  <c r="I1095" i="1"/>
  <c r="H1095" i="1"/>
  <c r="I1094" i="1"/>
  <c r="H1094" i="1"/>
  <c r="I1093" i="1"/>
  <c r="H1093" i="1"/>
  <c r="I1092" i="1"/>
  <c r="H1092" i="1"/>
  <c r="I1091" i="1"/>
  <c r="H1091" i="1"/>
  <c r="I1090" i="1"/>
  <c r="H1090" i="1"/>
  <c r="I1089" i="1"/>
  <c r="H1089" i="1"/>
  <c r="I1088" i="1"/>
  <c r="H1088" i="1"/>
  <c r="I1087" i="1"/>
  <c r="H1087" i="1"/>
  <c r="I1086" i="1"/>
  <c r="H1086" i="1"/>
  <c r="I1085" i="1"/>
  <c r="H1085" i="1"/>
  <c r="I1084" i="1"/>
  <c r="H1084" i="1"/>
  <c r="I1083" i="1"/>
  <c r="H1083" i="1"/>
  <c r="I1082" i="1"/>
  <c r="H1082" i="1"/>
  <c r="I1081" i="1"/>
  <c r="H1081" i="1"/>
  <c r="I1080" i="1"/>
  <c r="H1080" i="1"/>
  <c r="I1079" i="1"/>
  <c r="H1079" i="1"/>
  <c r="I1078" i="1"/>
  <c r="H1078" i="1"/>
  <c r="I1077" i="1"/>
  <c r="H1077" i="1"/>
  <c r="I1076" i="1"/>
  <c r="H1076" i="1"/>
  <c r="I1075" i="1"/>
  <c r="H1075" i="1"/>
  <c r="I1074" i="1"/>
  <c r="H1074" i="1"/>
  <c r="I1073" i="1"/>
  <c r="H1073" i="1"/>
  <c r="I1072" i="1"/>
  <c r="H1072" i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9" i="1"/>
  <c r="H1049" i="1"/>
  <c r="I1048" i="1"/>
  <c r="H1048" i="1"/>
  <c r="I1047" i="1"/>
  <c r="H1047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I1027" i="1"/>
  <c r="H1027" i="1"/>
  <c r="I1026" i="1"/>
  <c r="H1026" i="1"/>
  <c r="I1025" i="1"/>
  <c r="H1025" i="1"/>
  <c r="I1024" i="1"/>
  <c r="H1024" i="1"/>
  <c r="I1023" i="1"/>
  <c r="H1023" i="1"/>
  <c r="I1022" i="1"/>
  <c r="H1022" i="1"/>
  <c r="I1021" i="1"/>
  <c r="H1021" i="1"/>
  <c r="I1020" i="1"/>
  <c r="H1020" i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I1013" i="1"/>
  <c r="H1013" i="1"/>
  <c r="I1012" i="1"/>
  <c r="H1012" i="1"/>
  <c r="I1011" i="1"/>
  <c r="H1011" i="1"/>
  <c r="I1010" i="1"/>
  <c r="H1010" i="1"/>
  <c r="I1009" i="1"/>
  <c r="H1009" i="1"/>
  <c r="I1008" i="1"/>
  <c r="H1008" i="1"/>
  <c r="I1007" i="1"/>
  <c r="H1007" i="1"/>
  <c r="I1006" i="1"/>
  <c r="H1006" i="1"/>
  <c r="I1005" i="1"/>
  <c r="H1005" i="1"/>
  <c r="I1004" i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J317" i="1" l="1"/>
  <c r="J604" i="1"/>
  <c r="J603" i="1"/>
  <c r="J56" i="1"/>
  <c r="J222" i="1"/>
  <c r="J230" i="1"/>
  <c r="J325" i="1"/>
  <c r="J409" i="1"/>
  <c r="J411" i="1"/>
  <c r="J413" i="1"/>
  <c r="J415" i="1"/>
  <c r="J417" i="1"/>
  <c r="J419" i="1"/>
  <c r="J421" i="1"/>
  <c r="J425" i="1"/>
  <c r="J427" i="1"/>
  <c r="J429" i="1"/>
  <c r="J431" i="1"/>
  <c r="J433" i="1"/>
  <c r="J435" i="1"/>
  <c r="J437" i="1"/>
  <c r="J441" i="1"/>
  <c r="J443" i="1"/>
  <c r="J445" i="1"/>
  <c r="J447" i="1"/>
  <c r="J449" i="1"/>
  <c r="J451" i="1"/>
  <c r="J453" i="1"/>
  <c r="J473" i="1"/>
  <c r="J475" i="1"/>
  <c r="J479" i="1"/>
  <c r="J481" i="1"/>
  <c r="J483" i="1"/>
  <c r="J485" i="1"/>
  <c r="J493" i="1"/>
  <c r="J497" i="1"/>
  <c r="J499" i="1"/>
  <c r="J501" i="1"/>
  <c r="J509" i="1"/>
  <c r="J511" i="1"/>
  <c r="J513" i="1"/>
  <c r="J515" i="1"/>
  <c r="J517" i="1"/>
  <c r="J581" i="1"/>
  <c r="J1643" i="1"/>
  <c r="J645" i="1"/>
  <c r="J787" i="1"/>
  <c r="J811" i="1"/>
  <c r="J815" i="1"/>
  <c r="J817" i="1"/>
  <c r="J819" i="1"/>
  <c r="J1025" i="1"/>
  <c r="J1625" i="1"/>
  <c r="J1633" i="1"/>
  <c r="J1239" i="1"/>
  <c r="J1303" i="1"/>
  <c r="J1315" i="1"/>
  <c r="J1323" i="1"/>
  <c r="J1355" i="1"/>
  <c r="J1210" i="1"/>
  <c r="J1214" i="1"/>
  <c r="J1492" i="1"/>
  <c r="J1590" i="1"/>
  <c r="J1622" i="1"/>
  <c r="J1630" i="1"/>
  <c r="J1634" i="1"/>
  <c r="J1638" i="1"/>
  <c r="J1642" i="1"/>
  <c r="J1644" i="1"/>
  <c r="H5" i="9"/>
  <c r="J43" i="1"/>
  <c r="J55" i="1"/>
  <c r="J140" i="1"/>
  <c r="J142" i="1"/>
  <c r="J146" i="1"/>
  <c r="J156" i="1"/>
  <c r="J158" i="1"/>
  <c r="J162" i="1"/>
  <c r="J176" i="1"/>
  <c r="J1533" i="1"/>
  <c r="J1541" i="1"/>
  <c r="J277" i="1"/>
  <c r="J1238" i="1"/>
  <c r="J1262" i="1"/>
  <c r="J1270" i="1"/>
  <c r="J1278" i="1"/>
  <c r="J1286" i="1"/>
  <c r="J1294" i="1"/>
  <c r="J1302" i="1"/>
  <c r="J1558" i="1"/>
  <c r="J14" i="1"/>
  <c r="J18" i="1"/>
  <c r="J332" i="1"/>
  <c r="J340" i="1"/>
  <c r="J348" i="1"/>
  <c r="J356" i="1"/>
  <c r="J380" i="1"/>
  <c r="J388" i="1"/>
  <c r="J585" i="1"/>
  <c r="J597" i="1"/>
  <c r="J649" i="1"/>
  <c r="J661" i="1"/>
  <c r="J709" i="1"/>
  <c r="J851" i="1"/>
  <c r="J941" i="1"/>
  <c r="J949" i="1"/>
  <c r="J957" i="1"/>
  <c r="J965" i="1"/>
  <c r="J997" i="1"/>
  <c r="J1005" i="1"/>
  <c r="J1013" i="1"/>
  <c r="J1207" i="1"/>
  <c r="J1215" i="1"/>
  <c r="J1359" i="1"/>
  <c r="J1399" i="1"/>
  <c r="J1415" i="1"/>
  <c r="J1419" i="1"/>
  <c r="J1427" i="1"/>
  <c r="J1439" i="1"/>
  <c r="J129" i="1"/>
  <c r="J219" i="1"/>
  <c r="J582" i="1"/>
  <c r="J584" i="1"/>
  <c r="J586" i="1"/>
  <c r="J588" i="1"/>
  <c r="J594" i="1"/>
  <c r="J598" i="1"/>
  <c r="J600" i="1"/>
  <c r="J602" i="1"/>
  <c r="J610" i="1"/>
  <c r="J630" i="1"/>
  <c r="J632" i="1"/>
  <c r="J634" i="1"/>
  <c r="J636" i="1"/>
  <c r="J642" i="1"/>
  <c r="J804" i="1"/>
  <c r="J806" i="1"/>
  <c r="J810" i="1"/>
  <c r="J1098" i="1"/>
  <c r="J1106" i="1"/>
  <c r="J1146" i="1"/>
  <c r="J1150" i="1"/>
  <c r="J1154" i="1"/>
  <c r="J1158" i="1"/>
  <c r="J731" i="1"/>
  <c r="J733" i="1"/>
  <c r="J735" i="1"/>
  <c r="J737" i="1"/>
  <c r="J743" i="1"/>
  <c r="J751" i="1"/>
  <c r="J759" i="1"/>
  <c r="J779" i="1"/>
  <c r="J783" i="1"/>
  <c r="J785" i="1"/>
  <c r="J802" i="1"/>
  <c r="J820" i="1"/>
  <c r="J822" i="1"/>
  <c r="J826" i="1"/>
  <c r="J834" i="1"/>
  <c r="J844" i="1"/>
  <c r="J846" i="1"/>
  <c r="J852" i="1"/>
  <c r="J854" i="1"/>
  <c r="J876" i="1"/>
  <c r="J878" i="1"/>
  <c r="J986" i="1"/>
  <c r="J1002" i="1"/>
  <c r="J1006" i="1"/>
  <c r="J1008" i="1"/>
  <c r="J1010" i="1"/>
  <c r="J1014" i="1"/>
  <c r="J1022" i="1"/>
  <c r="J1105" i="1"/>
  <c r="J1243" i="1"/>
  <c r="J1259" i="1"/>
  <c r="J1362" i="1"/>
  <c r="J1366" i="1"/>
  <c r="J1390" i="1"/>
  <c r="J1402" i="1"/>
  <c r="J1406" i="1"/>
  <c r="J1414" i="1"/>
  <c r="J1422" i="1"/>
  <c r="J1426" i="1"/>
  <c r="J1454" i="1"/>
  <c r="J40" i="1"/>
  <c r="J44" i="1"/>
  <c r="J52" i="1"/>
  <c r="J68" i="1"/>
  <c r="J114" i="1"/>
  <c r="J126" i="1"/>
  <c r="J128" i="1"/>
  <c r="J139" i="1"/>
  <c r="J151" i="1"/>
  <c r="J173" i="1"/>
  <c r="J203" i="1"/>
  <c r="J225" i="1"/>
  <c r="J231" i="1"/>
  <c r="J233" i="1"/>
  <c r="J235" i="1"/>
  <c r="J237" i="1"/>
  <c r="J239" i="1"/>
  <c r="J241" i="1"/>
  <c r="J243" i="1"/>
  <c r="J245" i="1"/>
  <c r="J247" i="1"/>
  <c r="J249" i="1"/>
  <c r="J251" i="1"/>
  <c r="J253" i="1"/>
  <c r="J255" i="1"/>
  <c r="J257" i="1"/>
  <c r="J259" i="1"/>
  <c r="J261" i="1"/>
  <c r="J1561" i="1"/>
  <c r="J1569" i="1"/>
  <c r="J1585" i="1"/>
  <c r="J1594" i="1"/>
  <c r="J710" i="1"/>
  <c r="J712" i="1"/>
  <c r="J722" i="1"/>
  <c r="J726" i="1"/>
  <c r="J728" i="1"/>
  <c r="J760" i="1"/>
  <c r="J762" i="1"/>
  <c r="J768" i="1"/>
  <c r="J770" i="1"/>
  <c r="J772" i="1"/>
  <c r="J778" i="1"/>
  <c r="J859" i="1"/>
  <c r="J863" i="1"/>
  <c r="J865" i="1"/>
  <c r="J867" i="1"/>
  <c r="J871" i="1"/>
  <c r="J873" i="1"/>
  <c r="J875" i="1"/>
  <c r="J883" i="1"/>
  <c r="J891" i="1"/>
  <c r="J895" i="1"/>
  <c r="J899" i="1"/>
  <c r="J903" i="1"/>
  <c r="J907" i="1"/>
  <c r="J915" i="1"/>
  <c r="J1028" i="1"/>
  <c r="J1050" i="1"/>
  <c r="J1058" i="1"/>
  <c r="J1066" i="1"/>
  <c r="J1078" i="1"/>
  <c r="J1149" i="1"/>
  <c r="J1175" i="1"/>
  <c r="J1183" i="1"/>
  <c r="J1320" i="1"/>
  <c r="J1322" i="1"/>
  <c r="J1324" i="1"/>
  <c r="J1354" i="1"/>
  <c r="J1356" i="1"/>
  <c r="J1367" i="1"/>
  <c r="J1395" i="1"/>
  <c r="J1459" i="1"/>
  <c r="J1475" i="1"/>
  <c r="J1499" i="1"/>
  <c r="J1507" i="1"/>
  <c r="J1517" i="1"/>
  <c r="J1525" i="1"/>
  <c r="J13" i="1"/>
  <c r="J15" i="1"/>
  <c r="J17" i="1"/>
  <c r="J19" i="1"/>
  <c r="J21" i="1"/>
  <c r="J23" i="1"/>
  <c r="J29" i="1"/>
  <c r="J31" i="1"/>
  <c r="J33" i="1"/>
  <c r="J35" i="1"/>
  <c r="J37" i="1"/>
  <c r="J39" i="1"/>
  <c r="J268" i="1"/>
  <c r="J276" i="1"/>
  <c r="J284" i="1"/>
  <c r="J292" i="1"/>
  <c r="J316" i="1"/>
  <c r="J324" i="1"/>
  <c r="J327" i="1"/>
  <c r="J341" i="1"/>
  <c r="J389" i="1"/>
  <c r="J521" i="1"/>
  <c r="J533" i="1"/>
  <c r="J1566" i="1"/>
  <c r="J1570" i="1"/>
  <c r="J1574" i="1"/>
  <c r="J1578" i="1"/>
  <c r="J1582" i="1"/>
  <c r="J1597" i="1"/>
  <c r="J1605" i="1"/>
  <c r="J82" i="1"/>
  <c r="J205" i="1"/>
  <c r="J215" i="1"/>
  <c r="J391" i="1"/>
  <c r="J78" i="1"/>
  <c r="J90" i="1"/>
  <c r="J98" i="1"/>
  <c r="J106" i="1"/>
  <c r="J110" i="1"/>
  <c r="J405" i="1"/>
  <c r="J61" i="1"/>
  <c r="J63" i="1"/>
  <c r="J65" i="1"/>
  <c r="J67" i="1"/>
  <c r="J69" i="1"/>
  <c r="J71" i="1"/>
  <c r="J77" i="1"/>
  <c r="J79" i="1"/>
  <c r="J85" i="1"/>
  <c r="J87" i="1"/>
  <c r="J91" i="1"/>
  <c r="J460" i="1"/>
  <c r="J468" i="1"/>
  <c r="J482" i="1"/>
  <c r="J506" i="1"/>
  <c r="J508" i="1"/>
  <c r="J605" i="1"/>
  <c r="J607" i="1"/>
  <c r="J609" i="1"/>
  <c r="J611" i="1"/>
  <c r="J613" i="1"/>
  <c r="J619" i="1"/>
  <c r="J621" i="1"/>
  <c r="J623" i="1"/>
  <c r="J625" i="1"/>
  <c r="J627" i="1"/>
  <c r="J629" i="1"/>
  <c r="J635" i="1"/>
  <c r="J637" i="1"/>
  <c r="J639" i="1"/>
  <c r="J641" i="1"/>
  <c r="J643" i="1"/>
  <c r="J24" i="1"/>
  <c r="J36" i="1"/>
  <c r="J179" i="1"/>
  <c r="J181" i="1"/>
  <c r="J183" i="1"/>
  <c r="J187" i="1"/>
  <c r="J199" i="1"/>
  <c r="J201" i="1"/>
  <c r="J345" i="1"/>
  <c r="J347" i="1"/>
  <c r="J349" i="1"/>
  <c r="J351" i="1"/>
  <c r="J353" i="1"/>
  <c r="J355" i="1"/>
  <c r="J357" i="1"/>
  <c r="J361" i="1"/>
  <c r="J363" i="1"/>
  <c r="J365" i="1"/>
  <c r="J367" i="1"/>
  <c r="J369" i="1"/>
  <c r="J371" i="1"/>
  <c r="J373" i="1"/>
  <c r="J377" i="1"/>
  <c r="J379" i="1"/>
  <c r="J381" i="1"/>
  <c r="J383" i="1"/>
  <c r="J385" i="1"/>
  <c r="J387" i="1"/>
  <c r="J518" i="1"/>
  <c r="J520" i="1"/>
  <c r="J522" i="1"/>
  <c r="J524" i="1"/>
  <c r="J534" i="1"/>
  <c r="J536" i="1"/>
  <c r="J538" i="1"/>
  <c r="J540" i="1"/>
  <c r="J566" i="1"/>
  <c r="J568" i="1"/>
  <c r="J570" i="1"/>
  <c r="J572" i="1"/>
  <c r="J667" i="1"/>
  <c r="J669" i="1"/>
  <c r="J671" i="1"/>
  <c r="J673" i="1"/>
  <c r="J677" i="1"/>
  <c r="J683" i="1"/>
  <c r="J685" i="1"/>
  <c r="J687" i="1"/>
  <c r="J689" i="1"/>
  <c r="J693" i="1"/>
  <c r="J699" i="1"/>
  <c r="J818" i="1"/>
  <c r="J93" i="1"/>
  <c r="J95" i="1"/>
  <c r="J101" i="1"/>
  <c r="J103" i="1"/>
  <c r="J107" i="1"/>
  <c r="J119" i="1"/>
  <c r="J121" i="1"/>
  <c r="J123" i="1"/>
  <c r="J127" i="1"/>
  <c r="J186" i="1"/>
  <c r="J194" i="1"/>
  <c r="J206" i="1"/>
  <c r="J208" i="1"/>
  <c r="J210" i="1"/>
  <c r="J220" i="1"/>
  <c r="J281" i="1"/>
  <c r="J283" i="1"/>
  <c r="J285" i="1"/>
  <c r="J287" i="1"/>
  <c r="J289" i="1"/>
  <c r="J291" i="1"/>
  <c r="J293" i="1"/>
  <c r="J297" i="1"/>
  <c r="J299" i="1"/>
  <c r="J301" i="1"/>
  <c r="J303" i="1"/>
  <c r="J305" i="1"/>
  <c r="J307" i="1"/>
  <c r="J309" i="1"/>
  <c r="J313" i="1"/>
  <c r="J315" i="1"/>
  <c r="J319" i="1"/>
  <c r="J321" i="1"/>
  <c r="J323" i="1"/>
  <c r="J396" i="1"/>
  <c r="J404" i="1"/>
  <c r="J412" i="1"/>
  <c r="J420" i="1"/>
  <c r="J444" i="1"/>
  <c r="J452" i="1"/>
  <c r="J455" i="1"/>
  <c r="J469" i="1"/>
  <c r="J539" i="1"/>
  <c r="J541" i="1"/>
  <c r="J543" i="1"/>
  <c r="J545" i="1"/>
  <c r="J547" i="1"/>
  <c r="J549" i="1"/>
  <c r="J555" i="1"/>
  <c r="J557" i="1"/>
  <c r="J559" i="1"/>
  <c r="J561" i="1"/>
  <c r="J563" i="1"/>
  <c r="J565" i="1"/>
  <c r="J571" i="1"/>
  <c r="J573" i="1"/>
  <c r="J575" i="1"/>
  <c r="J577" i="1"/>
  <c r="J579" i="1"/>
  <c r="J646" i="1"/>
  <c r="J648" i="1"/>
  <c r="J650" i="1"/>
  <c r="J652" i="1"/>
  <c r="J658" i="1"/>
  <c r="J662" i="1"/>
  <c r="J664" i="1"/>
  <c r="J666" i="1"/>
  <c r="J674" i="1"/>
  <c r="J694" i="1"/>
  <c r="J696" i="1"/>
  <c r="J706" i="1"/>
  <c r="J713" i="1"/>
  <c r="J725" i="1"/>
  <c r="J771" i="1"/>
  <c r="J795" i="1"/>
  <c r="J799" i="1"/>
  <c r="J801" i="1"/>
  <c r="J803" i="1"/>
  <c r="J842" i="1"/>
  <c r="J1138" i="1"/>
  <c r="J1476" i="1"/>
  <c r="J701" i="1"/>
  <c r="J703" i="1"/>
  <c r="J705" i="1"/>
  <c r="J752" i="1"/>
  <c r="J786" i="1"/>
  <c r="J788" i="1"/>
  <c r="J790" i="1"/>
  <c r="J794" i="1"/>
  <c r="J827" i="1"/>
  <c r="J831" i="1"/>
  <c r="J835" i="1"/>
  <c r="J839" i="1"/>
  <c r="J841" i="1"/>
  <c r="J843" i="1"/>
  <c r="J858" i="1"/>
  <c r="J866" i="1"/>
  <c r="J874" i="1"/>
  <c r="J884" i="1"/>
  <c r="J886" i="1"/>
  <c r="J923" i="1"/>
  <c r="J927" i="1"/>
  <c r="J931" i="1"/>
  <c r="J975" i="1"/>
  <c r="J983" i="1"/>
  <c r="J1030" i="1"/>
  <c r="J1038" i="1"/>
  <c r="J1082" i="1"/>
  <c r="J1086" i="1"/>
  <c r="J1090" i="1"/>
  <c r="J1094" i="1"/>
  <c r="J1109" i="1"/>
  <c r="J1113" i="1"/>
  <c r="J1133" i="1"/>
  <c r="J1137" i="1"/>
  <c r="J1191" i="1"/>
  <c r="J1195" i="1"/>
  <c r="J1199" i="1"/>
  <c r="J1203" i="1"/>
  <c r="J1218" i="1"/>
  <c r="J1275" i="1"/>
  <c r="J1279" i="1"/>
  <c r="J1281" i="1"/>
  <c r="J1283" i="1"/>
  <c r="J1289" i="1"/>
  <c r="J1291" i="1"/>
  <c r="J1295" i="1"/>
  <c r="J1297" i="1"/>
  <c r="J1299" i="1"/>
  <c r="J1307" i="1"/>
  <c r="J1309" i="1"/>
  <c r="J1311" i="1"/>
  <c r="J1330" i="1"/>
  <c r="J1334" i="1"/>
  <c r="J1350" i="1"/>
  <c r="J1368" i="1"/>
  <c r="J1370" i="1"/>
  <c r="J1372" i="1"/>
  <c r="J1394" i="1"/>
  <c r="J1396" i="1"/>
  <c r="J1407" i="1"/>
  <c r="J1431" i="1"/>
  <c r="J1510" i="1"/>
  <c r="J1514" i="1"/>
  <c r="J1518" i="1"/>
  <c r="J1522" i="1"/>
  <c r="J1526" i="1"/>
  <c r="J1530" i="1"/>
  <c r="J1534" i="1"/>
  <c r="J1538" i="1"/>
  <c r="J1542" i="1"/>
  <c r="J1565" i="1"/>
  <c r="J1573" i="1"/>
  <c r="J1593" i="1"/>
  <c r="J1617" i="1"/>
  <c r="J1626" i="1"/>
  <c r="J910" i="1"/>
  <c r="J914" i="1"/>
  <c r="J991" i="1"/>
  <c r="J999" i="1"/>
  <c r="J1015" i="1"/>
  <c r="J1141" i="1"/>
  <c r="J1178" i="1"/>
  <c r="J1182" i="1"/>
  <c r="J1248" i="1"/>
  <c r="J1256" i="1"/>
  <c r="J1327" i="1"/>
  <c r="J1331" i="1"/>
  <c r="J1339" i="1"/>
  <c r="J1341" i="1"/>
  <c r="J1343" i="1"/>
  <c r="J1347" i="1"/>
  <c r="J1408" i="1"/>
  <c r="J1410" i="1"/>
  <c r="J1434" i="1"/>
  <c r="J1436" i="1"/>
  <c r="J1479" i="1"/>
  <c r="J1487" i="1"/>
  <c r="J1586" i="1"/>
  <c r="J918" i="1"/>
  <c r="J922" i="1"/>
  <c r="J942" i="1"/>
  <c r="J944" i="1"/>
  <c r="J946" i="1"/>
  <c r="J950" i="1"/>
  <c r="J952" i="1"/>
  <c r="J954" i="1"/>
  <c r="J960" i="1"/>
  <c r="J962" i="1"/>
  <c r="J966" i="1"/>
  <c r="J968" i="1"/>
  <c r="J970" i="1"/>
  <c r="J982" i="1"/>
  <c r="J1045" i="1"/>
  <c r="J1047" i="1"/>
  <c r="J1049" i="1"/>
  <c r="J1053" i="1"/>
  <c r="J1055" i="1"/>
  <c r="J1057" i="1"/>
  <c r="J1061" i="1"/>
  <c r="J1063" i="1"/>
  <c r="J1065" i="1"/>
  <c r="J1069" i="1"/>
  <c r="J1071" i="1"/>
  <c r="J1073" i="1"/>
  <c r="J1081" i="1"/>
  <c r="J1118" i="1"/>
  <c r="J1122" i="1"/>
  <c r="J1126" i="1"/>
  <c r="J1130" i="1"/>
  <c r="J1163" i="1"/>
  <c r="J1167" i="1"/>
  <c r="J1171" i="1"/>
  <c r="J1186" i="1"/>
  <c r="J1190" i="1"/>
  <c r="J1227" i="1"/>
  <c r="J1231" i="1"/>
  <c r="J1235" i="1"/>
  <c r="J1241" i="1"/>
  <c r="J1264" i="1"/>
  <c r="J1272" i="1"/>
  <c r="J1379" i="1"/>
  <c r="J1381" i="1"/>
  <c r="J1383" i="1"/>
  <c r="J1387" i="1"/>
  <c r="J1389" i="1"/>
  <c r="J1391" i="1"/>
  <c r="J1440" i="1"/>
  <c r="J1442" i="1"/>
  <c r="J1444" i="1"/>
  <c r="J1456" i="1"/>
  <c r="J1458" i="1"/>
  <c r="J1472" i="1"/>
  <c r="J1495" i="1"/>
  <c r="J1503" i="1"/>
  <c r="J1513" i="1"/>
  <c r="J1521" i="1"/>
  <c r="J1545" i="1"/>
  <c r="J1553" i="1"/>
  <c r="J1562" i="1"/>
  <c r="J1598" i="1"/>
  <c r="J1602" i="1"/>
  <c r="J1606" i="1"/>
  <c r="J1610" i="1"/>
  <c r="J1618" i="1"/>
  <c r="J30" i="1"/>
  <c r="J34" i="1"/>
  <c r="J59" i="1"/>
  <c r="J118" i="1"/>
  <c r="J7" i="1"/>
  <c r="J161" i="1"/>
  <c r="J167" i="1"/>
  <c r="J169" i="1"/>
  <c r="J171" i="1"/>
  <c r="J175" i="1"/>
  <c r="J177" i="1"/>
  <c r="J601" i="1"/>
  <c r="J279" i="1"/>
  <c r="J407" i="1"/>
  <c r="J471" i="1"/>
  <c r="J537" i="1"/>
  <c r="J665" i="1"/>
  <c r="J729" i="1"/>
  <c r="J83" i="1"/>
  <c r="J130" i="1"/>
  <c r="J193" i="1"/>
  <c r="J489" i="1"/>
  <c r="J553" i="1"/>
  <c r="J617" i="1"/>
  <c r="J681" i="1"/>
  <c r="J755" i="1"/>
  <c r="J198" i="1"/>
  <c r="J343" i="1"/>
  <c r="J11" i="1"/>
  <c r="J46" i="1"/>
  <c r="J50" i="1"/>
  <c r="J75" i="1"/>
  <c r="J99" i="1"/>
  <c r="J138" i="1"/>
  <c r="J150" i="1"/>
  <c r="J154" i="1"/>
  <c r="J295" i="1"/>
  <c r="J359" i="1"/>
  <c r="J423" i="1"/>
  <c r="J8" i="1"/>
  <c r="J20" i="1"/>
  <c r="J27" i="1"/>
  <c r="J45" i="1"/>
  <c r="J47" i="1"/>
  <c r="J49" i="1"/>
  <c r="J51" i="1"/>
  <c r="J53" i="1"/>
  <c r="J62" i="1"/>
  <c r="J66" i="1"/>
  <c r="J72" i="1"/>
  <c r="J84" i="1"/>
  <c r="J92" i="1"/>
  <c r="J100" i="1"/>
  <c r="J108" i="1"/>
  <c r="J113" i="1"/>
  <c r="J125" i="1"/>
  <c r="J131" i="1"/>
  <c r="J133" i="1"/>
  <c r="J135" i="1"/>
  <c r="J145" i="1"/>
  <c r="J153" i="1"/>
  <c r="J155" i="1"/>
  <c r="J166" i="1"/>
  <c r="J174" i="1"/>
  <c r="J178" i="1"/>
  <c r="J188" i="1"/>
  <c r="J190" i="1"/>
  <c r="J207" i="1"/>
  <c r="J209" i="1"/>
  <c r="J211" i="1"/>
  <c r="J213" i="1"/>
  <c r="J218" i="1"/>
  <c r="J226" i="1"/>
  <c r="J263" i="1"/>
  <c r="J265" i="1"/>
  <c r="J267" i="1"/>
  <c r="J269" i="1"/>
  <c r="J271" i="1"/>
  <c r="J273" i="1"/>
  <c r="J275" i="1"/>
  <c r="J300" i="1"/>
  <c r="J308" i="1"/>
  <c r="J311" i="1"/>
  <c r="J329" i="1"/>
  <c r="J331" i="1"/>
  <c r="J333" i="1"/>
  <c r="J335" i="1"/>
  <c r="J337" i="1"/>
  <c r="J339" i="1"/>
  <c r="J364" i="1"/>
  <c r="J372" i="1"/>
  <c r="J375" i="1"/>
  <c r="J393" i="1"/>
  <c r="J395" i="1"/>
  <c r="J397" i="1"/>
  <c r="J399" i="1"/>
  <c r="J401" i="1"/>
  <c r="J403" i="1"/>
  <c r="J428" i="1"/>
  <c r="J436" i="1"/>
  <c r="J439" i="1"/>
  <c r="J457" i="1"/>
  <c r="J459" i="1"/>
  <c r="J461" i="1"/>
  <c r="J463" i="1"/>
  <c r="J465" i="1"/>
  <c r="J467" i="1"/>
  <c r="J490" i="1"/>
  <c r="J492" i="1"/>
  <c r="J505" i="1"/>
  <c r="J525" i="1"/>
  <c r="J527" i="1"/>
  <c r="J529" i="1"/>
  <c r="J531" i="1"/>
  <c r="J550" i="1"/>
  <c r="J552" i="1"/>
  <c r="J554" i="1"/>
  <c r="J556" i="1"/>
  <c r="J562" i="1"/>
  <c r="J569" i="1"/>
  <c r="J587" i="1"/>
  <c r="J589" i="1"/>
  <c r="J591" i="1"/>
  <c r="J593" i="1"/>
  <c r="J595" i="1"/>
  <c r="J614" i="1"/>
  <c r="J616" i="1"/>
  <c r="J618" i="1"/>
  <c r="J620" i="1"/>
  <c r="J626" i="1"/>
  <c r="J633" i="1"/>
  <c r="J651" i="1"/>
  <c r="J653" i="1"/>
  <c r="J655" i="1"/>
  <c r="J657" i="1"/>
  <c r="J659" i="1"/>
  <c r="J678" i="1"/>
  <c r="J680" i="1"/>
  <c r="J682" i="1"/>
  <c r="J690" i="1"/>
  <c r="J697" i="1"/>
  <c r="J715" i="1"/>
  <c r="J717" i="1"/>
  <c r="J719" i="1"/>
  <c r="J721" i="1"/>
  <c r="J732" i="1"/>
  <c r="J736" i="1"/>
  <c r="J740" i="1"/>
  <c r="J744" i="1"/>
  <c r="J746" i="1"/>
  <c r="J756" i="1"/>
  <c r="J758" i="1"/>
  <c r="J767" i="1"/>
  <c r="J775" i="1"/>
  <c r="J777" i="1"/>
  <c r="J780" i="1"/>
  <c r="J782" i="1"/>
  <c r="J791" i="1"/>
  <c r="J793" i="1"/>
  <c r="J796" i="1"/>
  <c r="J798" i="1"/>
  <c r="J807" i="1"/>
  <c r="J809" i="1"/>
  <c r="J812" i="1"/>
  <c r="J814" i="1"/>
  <c r="J823" i="1"/>
  <c r="J825" i="1"/>
  <c r="J828" i="1"/>
  <c r="J830" i="1"/>
  <c r="J887" i="1"/>
  <c r="J938" i="1"/>
  <c r="J1041" i="1"/>
  <c r="J1114" i="1"/>
  <c r="J1223" i="1"/>
  <c r="J1375" i="1"/>
  <c r="J850" i="1"/>
  <c r="J882" i="1"/>
  <c r="J935" i="1"/>
  <c r="J958" i="1"/>
  <c r="J973" i="1"/>
  <c r="J981" i="1"/>
  <c r="J1020" i="1"/>
  <c r="J1101" i="1"/>
  <c r="J1145" i="1"/>
  <c r="J1222" i="1"/>
  <c r="J1246" i="1"/>
  <c r="J1254" i="1"/>
  <c r="J1287" i="1"/>
  <c r="J1318" i="1"/>
  <c r="J1335" i="1"/>
  <c r="J1351" i="1"/>
  <c r="J1460" i="1"/>
  <c r="J1483" i="1"/>
  <c r="J1491" i="1"/>
  <c r="J1549" i="1"/>
  <c r="J1557" i="1"/>
  <c r="J1581" i="1"/>
  <c r="J1589" i="1"/>
  <c r="J1613" i="1"/>
  <c r="J1621" i="1"/>
  <c r="J847" i="1"/>
  <c r="J849" i="1"/>
  <c r="J860" i="1"/>
  <c r="J862" i="1"/>
  <c r="J879" i="1"/>
  <c r="J881" i="1"/>
  <c r="J890" i="1"/>
  <c r="J898" i="1"/>
  <c r="J911" i="1"/>
  <c r="J926" i="1"/>
  <c r="J930" i="1"/>
  <c r="J943" i="1"/>
  <c r="J951" i="1"/>
  <c r="J974" i="1"/>
  <c r="J976" i="1"/>
  <c r="J978" i="1"/>
  <c r="J984" i="1"/>
  <c r="J989" i="1"/>
  <c r="J1007" i="1"/>
  <c r="J1017" i="1"/>
  <c r="J1021" i="1"/>
  <c r="J1023" i="1"/>
  <c r="J1085" i="1"/>
  <c r="J1089" i="1"/>
  <c r="J1102" i="1"/>
  <c r="J1117" i="1"/>
  <c r="J1121" i="1"/>
  <c r="J1134" i="1"/>
  <c r="J1153" i="1"/>
  <c r="J1162" i="1"/>
  <c r="J1179" i="1"/>
  <c r="J1194" i="1"/>
  <c r="J1198" i="1"/>
  <c r="J1211" i="1"/>
  <c r="J1226" i="1"/>
  <c r="J1230" i="1"/>
  <c r="J1247" i="1"/>
  <c r="J1249" i="1"/>
  <c r="J1251" i="1"/>
  <c r="J1257" i="1"/>
  <c r="J1280" i="1"/>
  <c r="J1288" i="1"/>
  <c r="J1319" i="1"/>
  <c r="J1336" i="1"/>
  <c r="J1338" i="1"/>
  <c r="J1340" i="1"/>
  <c r="J1346" i="1"/>
  <c r="J1357" i="1"/>
  <c r="J1376" i="1"/>
  <c r="J1378" i="1"/>
  <c r="J1380" i="1"/>
  <c r="J1397" i="1"/>
  <c r="J1416" i="1"/>
  <c r="J1418" i="1"/>
  <c r="J1435" i="1"/>
  <c r="J1480" i="1"/>
  <c r="J1484" i="1"/>
  <c r="J1488" i="1"/>
  <c r="J1546" i="1"/>
  <c r="J1550" i="1"/>
  <c r="J1554" i="1"/>
  <c r="J1601" i="1"/>
  <c r="J1614" i="1"/>
  <c r="J833" i="1"/>
  <c r="J836" i="1"/>
  <c r="J838" i="1"/>
  <c r="J855" i="1"/>
  <c r="J857" i="1"/>
  <c r="J868" i="1"/>
  <c r="J870" i="1"/>
  <c r="J902" i="1"/>
  <c r="J906" i="1"/>
  <c r="J919" i="1"/>
  <c r="J934" i="1"/>
  <c r="J936" i="1"/>
  <c r="J959" i="1"/>
  <c r="J967" i="1"/>
  <c r="J990" i="1"/>
  <c r="J992" i="1"/>
  <c r="J994" i="1"/>
  <c r="J998" i="1"/>
  <c r="J1000" i="1"/>
  <c r="J1029" i="1"/>
  <c r="J1031" i="1"/>
  <c r="J1033" i="1"/>
  <c r="J1037" i="1"/>
  <c r="J1039" i="1"/>
  <c r="J1074" i="1"/>
  <c r="J1093" i="1"/>
  <c r="J1097" i="1"/>
  <c r="J1110" i="1"/>
  <c r="J1125" i="1"/>
  <c r="J1129" i="1"/>
  <c r="J1142" i="1"/>
  <c r="J1161" i="1"/>
  <c r="J1170" i="1"/>
  <c r="J1174" i="1"/>
  <c r="J1187" i="1"/>
  <c r="J1202" i="1"/>
  <c r="J1206" i="1"/>
  <c r="J1219" i="1"/>
  <c r="J1234" i="1"/>
  <c r="J1240" i="1"/>
  <c r="J1263" i="1"/>
  <c r="J1265" i="1"/>
  <c r="J1267" i="1"/>
  <c r="J1271" i="1"/>
  <c r="J1273" i="1"/>
  <c r="J1296" i="1"/>
  <c r="J1304" i="1"/>
  <c r="J1306" i="1"/>
  <c r="J1308" i="1"/>
  <c r="J1314" i="1"/>
  <c r="J1325" i="1"/>
  <c r="J1352" i="1"/>
  <c r="J1363" i="1"/>
  <c r="J1371" i="1"/>
  <c r="J1392" i="1"/>
  <c r="J1403" i="1"/>
  <c r="J1413" i="1"/>
  <c r="J1428" i="1"/>
  <c r="J1443" i="1"/>
  <c r="J1445" i="1"/>
  <c r="J1447" i="1"/>
  <c r="J1451" i="1"/>
  <c r="J1453" i="1"/>
  <c r="J1455" i="1"/>
  <c r="J1461" i="1"/>
  <c r="J1463" i="1"/>
  <c r="J1467" i="1"/>
  <c r="J1471" i="1"/>
  <c r="J1496" i="1"/>
  <c r="J1500" i="1"/>
  <c r="J1504" i="1"/>
  <c r="J1529" i="1"/>
  <c r="J1537" i="1"/>
  <c r="J1577" i="1"/>
  <c r="J1609" i="1"/>
  <c r="J1629" i="1"/>
  <c r="J1637" i="1"/>
  <c r="J10" i="1"/>
  <c r="J12" i="1"/>
  <c r="J26" i="1"/>
  <c r="J28" i="1"/>
  <c r="J42" i="1"/>
  <c r="J58" i="1"/>
  <c r="J60" i="1"/>
  <c r="J74" i="1"/>
  <c r="J76" i="1"/>
  <c r="J6" i="1"/>
  <c r="J9" i="1"/>
  <c r="J16" i="1"/>
  <c r="J25" i="1"/>
  <c r="J32" i="1"/>
  <c r="J41" i="1"/>
  <c r="J48" i="1"/>
  <c r="J57" i="1"/>
  <c r="J64" i="1"/>
  <c r="J73" i="1"/>
  <c r="J80" i="1"/>
  <c r="J22" i="1"/>
  <c r="J38" i="1"/>
  <c r="J54" i="1"/>
  <c r="J70" i="1"/>
  <c r="J81" i="1"/>
  <c r="J86" i="1"/>
  <c r="J88" i="1"/>
  <c r="J97" i="1"/>
  <c r="J102" i="1"/>
  <c r="J104" i="1"/>
  <c r="J109" i="1"/>
  <c r="J111" i="1"/>
  <c r="J137" i="1"/>
  <c r="J144" i="1"/>
  <c r="J147" i="1"/>
  <c r="J149" i="1"/>
  <c r="J668" i="1"/>
  <c r="J675" i="1"/>
  <c r="J684" i="1"/>
  <c r="J691" i="1"/>
  <c r="J698" i="1"/>
  <c r="J700" i="1"/>
  <c r="J707" i="1"/>
  <c r="J714" i="1"/>
  <c r="J716" i="1"/>
  <c r="J723" i="1"/>
  <c r="J730" i="1"/>
  <c r="J739" i="1"/>
  <c r="J748" i="1"/>
  <c r="J750" i="1"/>
  <c r="J753" i="1"/>
  <c r="J763" i="1"/>
  <c r="J774" i="1"/>
  <c r="J160" i="1"/>
  <c r="J163" i="1"/>
  <c r="J165" i="1"/>
  <c r="J170" i="1"/>
  <c r="J172" i="1"/>
  <c r="J182" i="1"/>
  <c r="J189" i="1"/>
  <c r="J191" i="1"/>
  <c r="J217" i="1"/>
  <c r="J224" i="1"/>
  <c r="J227" i="1"/>
  <c r="J229" i="1"/>
  <c r="J236" i="1"/>
  <c r="J238" i="1"/>
  <c r="J248" i="1"/>
  <c r="J252" i="1"/>
  <c r="J254" i="1"/>
  <c r="J264" i="1"/>
  <c r="J270" i="1"/>
  <c r="J286" i="1"/>
  <c r="J302" i="1"/>
  <c r="J318" i="1"/>
  <c r="J334" i="1"/>
  <c r="J350" i="1"/>
  <c r="J366" i="1"/>
  <c r="J382" i="1"/>
  <c r="J398" i="1"/>
  <c r="J414" i="1"/>
  <c r="J430" i="1"/>
  <c r="J446" i="1"/>
  <c r="J462" i="1"/>
  <c r="J478" i="1"/>
  <c r="J487" i="1"/>
  <c r="J494" i="1"/>
  <c r="J503" i="1"/>
  <c r="J510" i="1"/>
  <c r="J519" i="1"/>
  <c r="J526" i="1"/>
  <c r="J535" i="1"/>
  <c r="J542" i="1"/>
  <c r="J551" i="1"/>
  <c r="J558" i="1"/>
  <c r="J567" i="1"/>
  <c r="J574" i="1"/>
  <c r="J583" i="1"/>
  <c r="J590" i="1"/>
  <c r="J599" i="1"/>
  <c r="J606" i="1"/>
  <c r="J615" i="1"/>
  <c r="J622" i="1"/>
  <c r="J631" i="1"/>
  <c r="J638" i="1"/>
  <c r="J647" i="1"/>
  <c r="J654" i="1"/>
  <c r="J663" i="1"/>
  <c r="J670" i="1"/>
  <c r="J679" i="1"/>
  <c r="J686" i="1"/>
  <c r="J695" i="1"/>
  <c r="J702" i="1"/>
  <c r="J711" i="1"/>
  <c r="J718" i="1"/>
  <c r="J727" i="1"/>
  <c r="J734" i="1"/>
  <c r="J738" i="1"/>
  <c r="J745" i="1"/>
  <c r="J764" i="1"/>
  <c r="J766" i="1"/>
  <c r="J769" i="1"/>
  <c r="J776" i="1"/>
  <c r="J781" i="1"/>
  <c r="J784" i="1"/>
  <c r="J789" i="1"/>
  <c r="J792" i="1"/>
  <c r="J797" i="1"/>
  <c r="J800" i="1"/>
  <c r="J805" i="1"/>
  <c r="J808" i="1"/>
  <c r="J813" i="1"/>
  <c r="J816" i="1"/>
  <c r="J821" i="1"/>
  <c r="J824" i="1"/>
  <c r="J829" i="1"/>
  <c r="J832" i="1"/>
  <c r="J837" i="1"/>
  <c r="J840" i="1"/>
  <c r="J845" i="1"/>
  <c r="J848" i="1"/>
  <c r="J853" i="1"/>
  <c r="J856" i="1"/>
  <c r="J861" i="1"/>
  <c r="J864" i="1"/>
  <c r="J869" i="1"/>
  <c r="J872" i="1"/>
  <c r="J877" i="1"/>
  <c r="J880" i="1"/>
  <c r="J894" i="1"/>
  <c r="J89" i="1"/>
  <c r="J94" i="1"/>
  <c r="J96" i="1"/>
  <c r="J105" i="1"/>
  <c r="J112" i="1"/>
  <c r="J115" i="1"/>
  <c r="J117" i="1"/>
  <c r="J122" i="1"/>
  <c r="J124" i="1"/>
  <c r="J134" i="1"/>
  <c r="J141" i="1"/>
  <c r="J143" i="1"/>
  <c r="J491" i="1"/>
  <c r="J498" i="1"/>
  <c r="J507" i="1"/>
  <c r="J514" i="1"/>
  <c r="J523" i="1"/>
  <c r="J530" i="1"/>
  <c r="J546" i="1"/>
  <c r="J578" i="1"/>
  <c r="J754" i="1"/>
  <c r="J761" i="1"/>
  <c r="J157" i="1"/>
  <c r="J159" i="1"/>
  <c r="J185" i="1"/>
  <c r="J192" i="1"/>
  <c r="J195" i="1"/>
  <c r="J197" i="1"/>
  <c r="J202" i="1"/>
  <c r="J204" i="1"/>
  <c r="J214" i="1"/>
  <c r="J221" i="1"/>
  <c r="J223" i="1"/>
  <c r="J240" i="1"/>
  <c r="J244" i="1"/>
  <c r="J246" i="1"/>
  <c r="J256" i="1"/>
  <c r="J260" i="1"/>
  <c r="J262" i="1"/>
  <c r="J278" i="1"/>
  <c r="J294" i="1"/>
  <c r="J310" i="1"/>
  <c r="J326" i="1"/>
  <c r="J342" i="1"/>
  <c r="J358" i="1"/>
  <c r="J374" i="1"/>
  <c r="J390" i="1"/>
  <c r="J406" i="1"/>
  <c r="J422" i="1"/>
  <c r="J438" i="1"/>
  <c r="J454" i="1"/>
  <c r="J470" i="1"/>
  <c r="J486" i="1"/>
  <c r="J488" i="1"/>
  <c r="J495" i="1"/>
  <c r="J502" i="1"/>
  <c r="J504" i="1"/>
  <c r="J747" i="1"/>
  <c r="J889" i="1"/>
  <c r="J892" i="1"/>
  <c r="J897" i="1"/>
  <c r="J900" i="1"/>
  <c r="J905" i="1"/>
  <c r="J908" i="1"/>
  <c r="J913" i="1"/>
  <c r="J916" i="1"/>
  <c r="J921" i="1"/>
  <c r="J924" i="1"/>
  <c r="J929" i="1"/>
  <c r="J932" i="1"/>
  <c r="J937" i="1"/>
  <c r="J939" i="1"/>
  <c r="J948" i="1"/>
  <c r="J953" i="1"/>
  <c r="J955" i="1"/>
  <c r="J964" i="1"/>
  <c r="J969" i="1"/>
  <c r="J971" i="1"/>
  <c r="J980" i="1"/>
  <c r="J985" i="1"/>
  <c r="J987" i="1"/>
  <c r="J996" i="1"/>
  <c r="J1001" i="1"/>
  <c r="J1003" i="1"/>
  <c r="J1012" i="1"/>
  <c r="J1019" i="1"/>
  <c r="J1024" i="1"/>
  <c r="J1026" i="1"/>
  <c r="J1035" i="1"/>
  <c r="J1042" i="1"/>
  <c r="J1044" i="1"/>
  <c r="J1051" i="1"/>
  <c r="J1054" i="1"/>
  <c r="J1060" i="1"/>
  <c r="J1067" i="1"/>
  <c r="J1070" i="1"/>
  <c r="J1076" i="1"/>
  <c r="J1080" i="1"/>
  <c r="J1083" i="1"/>
  <c r="J1088" i="1"/>
  <c r="J1091" i="1"/>
  <c r="J1096" i="1"/>
  <c r="J1099" i="1"/>
  <c r="J1104" i="1"/>
  <c r="J1107" i="1"/>
  <c r="J1112" i="1"/>
  <c r="J1115" i="1"/>
  <c r="J1120" i="1"/>
  <c r="J1123" i="1"/>
  <c r="J1128" i="1"/>
  <c r="J1131" i="1"/>
  <c r="J1136" i="1"/>
  <c r="J1139" i="1"/>
  <c r="J1144" i="1"/>
  <c r="J1147" i="1"/>
  <c r="J885" i="1"/>
  <c r="J888" i="1"/>
  <c r="J893" i="1"/>
  <c r="J896" i="1"/>
  <c r="J901" i="1"/>
  <c r="J904" i="1"/>
  <c r="J909" i="1"/>
  <c r="J912" i="1"/>
  <c r="J917" i="1"/>
  <c r="J920" i="1"/>
  <c r="J925" i="1"/>
  <c r="J928" i="1"/>
  <c r="J933" i="1"/>
  <c r="J940" i="1"/>
  <c r="J945" i="1"/>
  <c r="J947" i="1"/>
  <c r="J956" i="1"/>
  <c r="J961" i="1"/>
  <c r="J963" i="1"/>
  <c r="J972" i="1"/>
  <c r="J977" i="1"/>
  <c r="J979" i="1"/>
  <c r="J988" i="1"/>
  <c r="J993" i="1"/>
  <c r="J995" i="1"/>
  <c r="J1004" i="1"/>
  <c r="J1009" i="1"/>
  <c r="J1011" i="1"/>
  <c r="J1018" i="1"/>
  <c r="J1027" i="1"/>
  <c r="J1034" i="1"/>
  <c r="J1036" i="1"/>
  <c r="J1043" i="1"/>
  <c r="J1046" i="1"/>
  <c r="J1052" i="1"/>
  <c r="J1059" i="1"/>
  <c r="J1062" i="1"/>
  <c r="J1068" i="1"/>
  <c r="J1075" i="1"/>
  <c r="J1077" i="1"/>
  <c r="J1079" i="1"/>
  <c r="J1084" i="1"/>
  <c r="J1087" i="1"/>
  <c r="J1092" i="1"/>
  <c r="J1095" i="1"/>
  <c r="J1100" i="1"/>
  <c r="J1103" i="1"/>
  <c r="J1108" i="1"/>
  <c r="J1111" i="1"/>
  <c r="J1116" i="1"/>
  <c r="J1119" i="1"/>
  <c r="J1124" i="1"/>
  <c r="J1127" i="1"/>
  <c r="J1132" i="1"/>
  <c r="J1135" i="1"/>
  <c r="J1140" i="1"/>
  <c r="J1143" i="1"/>
  <c r="J1148" i="1"/>
  <c r="J1157" i="1"/>
  <c r="J1166" i="1"/>
  <c r="J1151" i="1"/>
  <c r="J1156" i="1"/>
  <c r="J1159" i="1"/>
  <c r="J1165" i="1"/>
  <c r="J1168" i="1"/>
  <c r="J1173" i="1"/>
  <c r="J1176" i="1"/>
  <c r="J1181" i="1"/>
  <c r="J1184" i="1"/>
  <c r="J1189" i="1"/>
  <c r="J1192" i="1"/>
  <c r="J1197" i="1"/>
  <c r="J1200" i="1"/>
  <c r="J1205" i="1"/>
  <c r="J1208" i="1"/>
  <c r="J1213" i="1"/>
  <c r="J1216" i="1"/>
  <c r="J1221" i="1"/>
  <c r="J1224" i="1"/>
  <c r="J1229" i="1"/>
  <c r="J1232" i="1"/>
  <c r="J1237" i="1"/>
  <c r="J1242" i="1"/>
  <c r="J1244" i="1"/>
  <c r="J1253" i="1"/>
  <c r="J1258" i="1"/>
  <c r="J1260" i="1"/>
  <c r="J1269" i="1"/>
  <c r="J1274" i="1"/>
  <c r="J1276" i="1"/>
  <c r="J1285" i="1"/>
  <c r="J1290" i="1"/>
  <c r="J1292" i="1"/>
  <c r="J1301" i="1"/>
  <c r="J1316" i="1"/>
  <c r="J1326" i="1"/>
  <c r="J1328" i="1"/>
  <c r="J1333" i="1"/>
  <c r="J1348" i="1"/>
  <c r="J1358" i="1"/>
  <c r="J1360" i="1"/>
  <c r="J1365" i="1"/>
  <c r="J1382" i="1"/>
  <c r="J1384" i="1"/>
  <c r="J1386" i="1"/>
  <c r="J1412" i="1"/>
  <c r="J1421" i="1"/>
  <c r="J1423" i="1"/>
  <c r="J1438" i="1"/>
  <c r="J1152" i="1"/>
  <c r="J1155" i="1"/>
  <c r="J1160" i="1"/>
  <c r="J1164" i="1"/>
  <c r="J1169" i="1"/>
  <c r="J1172" i="1"/>
  <c r="J1177" i="1"/>
  <c r="J1180" i="1"/>
  <c r="J1185" i="1"/>
  <c r="J1188" i="1"/>
  <c r="J1193" i="1"/>
  <c r="J1196" i="1"/>
  <c r="J1201" i="1"/>
  <c r="J1204" i="1"/>
  <c r="J1209" i="1"/>
  <c r="J1212" i="1"/>
  <c r="J1217" i="1"/>
  <c r="J1220" i="1"/>
  <c r="J1225" i="1"/>
  <c r="J1228" i="1"/>
  <c r="J1233" i="1"/>
  <c r="J1236" i="1"/>
  <c r="J1245" i="1"/>
  <c r="J1250" i="1"/>
  <c r="J1252" i="1"/>
  <c r="J1261" i="1"/>
  <c r="J1266" i="1"/>
  <c r="J1268" i="1"/>
  <c r="J1277" i="1"/>
  <c r="J1282" i="1"/>
  <c r="J1284" i="1"/>
  <c r="J1293" i="1"/>
  <c r="J1298" i="1"/>
  <c r="J1300" i="1"/>
  <c r="J1310" i="1"/>
  <c r="J1312" i="1"/>
  <c r="J1317" i="1"/>
  <c r="J1332" i="1"/>
  <c r="J1342" i="1"/>
  <c r="J1344" i="1"/>
  <c r="J1349" i="1"/>
  <c r="J1364" i="1"/>
  <c r="J1374" i="1"/>
  <c r="J1404" i="1"/>
  <c r="J1411" i="1"/>
  <c r="J1424" i="1"/>
  <c r="J1429" i="1"/>
  <c r="J1446" i="1"/>
  <c r="J1448" i="1"/>
  <c r="J1450" i="1"/>
  <c r="J1466" i="1"/>
  <c r="J1641" i="1"/>
  <c r="J1373" i="1"/>
  <c r="J1388" i="1"/>
  <c r="J1398" i="1"/>
  <c r="J1400" i="1"/>
  <c r="J1405" i="1"/>
  <c r="J1420" i="1"/>
  <c r="J1430" i="1"/>
  <c r="J1432" i="1"/>
  <c r="J1437" i="1"/>
  <c r="J1452" i="1"/>
  <c r="J1462" i="1"/>
  <c r="J1464" i="1"/>
  <c r="J1469" i="1"/>
  <c r="J1474" i="1"/>
  <c r="J1477" i="1"/>
  <c r="J1482" i="1"/>
  <c r="J1485" i="1"/>
  <c r="J1490" i="1"/>
  <c r="J1493" i="1"/>
  <c r="J1498" i="1"/>
  <c r="J1501" i="1"/>
  <c r="J1506" i="1"/>
  <c r="J1511" i="1"/>
  <c r="J1516" i="1"/>
  <c r="J1519" i="1"/>
  <c r="J1524" i="1"/>
  <c r="J1527" i="1"/>
  <c r="J1532" i="1"/>
  <c r="J1535" i="1"/>
  <c r="J1540" i="1"/>
  <c r="J1543" i="1"/>
  <c r="J1548" i="1"/>
  <c r="J1551" i="1"/>
  <c r="J1556" i="1"/>
  <c r="J1559" i="1"/>
  <c r="J1564" i="1"/>
  <c r="J1567" i="1"/>
  <c r="J1572" i="1"/>
  <c r="J1575" i="1"/>
  <c r="J1580" i="1"/>
  <c r="J1583" i="1"/>
  <c r="J1588" i="1"/>
  <c r="J1591" i="1"/>
  <c r="J1596" i="1"/>
  <c r="J1599" i="1"/>
  <c r="J1604" i="1"/>
  <c r="J1607" i="1"/>
  <c r="J1612" i="1"/>
  <c r="J1615" i="1"/>
  <c r="J1620" i="1"/>
  <c r="J1623" i="1"/>
  <c r="J1628" i="1"/>
  <c r="J1631" i="1"/>
  <c r="J1636" i="1"/>
  <c r="J1639" i="1"/>
  <c r="J1468" i="1"/>
  <c r="J1473" i="1"/>
  <c r="J1481" i="1"/>
  <c r="J1489" i="1"/>
  <c r="J1497" i="1"/>
  <c r="J1505" i="1"/>
  <c r="J1515" i="1"/>
  <c r="J1523" i="1"/>
  <c r="J1531" i="1"/>
  <c r="J1536" i="1"/>
  <c r="J1539" i="1"/>
  <c r="J1544" i="1"/>
  <c r="J1547" i="1"/>
  <c r="J1552" i="1"/>
  <c r="J1555" i="1"/>
  <c r="J1560" i="1"/>
  <c r="J1563" i="1"/>
  <c r="J1568" i="1"/>
  <c r="J1571" i="1"/>
  <c r="J1576" i="1"/>
  <c r="J1579" i="1"/>
  <c r="J1584" i="1"/>
  <c r="J1587" i="1"/>
  <c r="J1592" i="1"/>
  <c r="J1595" i="1"/>
  <c r="J1600" i="1"/>
  <c r="J1603" i="1"/>
  <c r="J1608" i="1"/>
  <c r="J1611" i="1"/>
  <c r="J1616" i="1"/>
  <c r="J1619" i="1"/>
  <c r="J1624" i="1"/>
  <c r="J1627" i="1"/>
  <c r="J1632" i="1"/>
  <c r="J1635" i="1"/>
  <c r="J1640" i="1"/>
  <c r="J120" i="1"/>
  <c r="J136" i="1"/>
  <c r="J152" i="1"/>
  <c r="J168" i="1"/>
  <c r="J184" i="1"/>
  <c r="J200" i="1"/>
  <c r="J216" i="1"/>
  <c r="J232" i="1"/>
  <c r="J272" i="1"/>
  <c r="J280" i="1"/>
  <c r="J288" i="1"/>
  <c r="J296" i="1"/>
  <c r="J304" i="1"/>
  <c r="J312" i="1"/>
  <c r="J320" i="1"/>
  <c r="J328" i="1"/>
  <c r="J336" i="1"/>
  <c r="J344" i="1"/>
  <c r="J352" i="1"/>
  <c r="J360" i="1"/>
  <c r="J368" i="1"/>
  <c r="J376" i="1"/>
  <c r="J384" i="1"/>
  <c r="J392" i="1"/>
  <c r="J400" i="1"/>
  <c r="J408" i="1"/>
  <c r="J416" i="1"/>
  <c r="J424" i="1"/>
  <c r="J432" i="1"/>
  <c r="J440" i="1"/>
  <c r="J448" i="1"/>
  <c r="J456" i="1"/>
  <c r="J464" i="1"/>
  <c r="J472" i="1"/>
  <c r="J480" i="1"/>
  <c r="J496" i="1"/>
  <c r="J512" i="1"/>
  <c r="J528" i="1"/>
  <c r="J544" i="1"/>
  <c r="J560" i="1"/>
  <c r="J576" i="1"/>
  <c r="J592" i="1"/>
  <c r="J608" i="1"/>
  <c r="J624" i="1"/>
  <c r="J640" i="1"/>
  <c r="J656" i="1"/>
  <c r="J672" i="1"/>
  <c r="J688" i="1"/>
  <c r="J704" i="1"/>
  <c r="J720" i="1"/>
  <c r="J116" i="1"/>
  <c r="J132" i="1"/>
  <c r="J148" i="1"/>
  <c r="J164" i="1"/>
  <c r="J180" i="1"/>
  <c r="J196" i="1"/>
  <c r="J212" i="1"/>
  <c r="J228" i="1"/>
  <c r="J234" i="1"/>
  <c r="J242" i="1"/>
  <c r="J250" i="1"/>
  <c r="J258" i="1"/>
  <c r="J266" i="1"/>
  <c r="J274" i="1"/>
  <c r="J282" i="1"/>
  <c r="J290" i="1"/>
  <c r="J298" i="1"/>
  <c r="J306" i="1"/>
  <c r="J314" i="1"/>
  <c r="J322" i="1"/>
  <c r="J330" i="1"/>
  <c r="J338" i="1"/>
  <c r="J346" i="1"/>
  <c r="J354" i="1"/>
  <c r="J362" i="1"/>
  <c r="J370" i="1"/>
  <c r="J378" i="1"/>
  <c r="J386" i="1"/>
  <c r="J394" i="1"/>
  <c r="J402" i="1"/>
  <c r="J410" i="1"/>
  <c r="J418" i="1"/>
  <c r="J426" i="1"/>
  <c r="J434" i="1"/>
  <c r="J442" i="1"/>
  <c r="J450" i="1"/>
  <c r="J458" i="1"/>
  <c r="J466" i="1"/>
  <c r="J474" i="1"/>
  <c r="J484" i="1"/>
  <c r="J500" i="1"/>
  <c r="J516" i="1"/>
  <c r="J532" i="1"/>
  <c r="J548" i="1"/>
  <c r="J564" i="1"/>
  <c r="J580" i="1"/>
  <c r="J596" i="1"/>
  <c r="J612" i="1"/>
  <c r="J628" i="1"/>
  <c r="J644" i="1"/>
  <c r="J660" i="1"/>
  <c r="J676" i="1"/>
  <c r="J692" i="1"/>
  <c r="J708" i="1"/>
  <c r="J724" i="1"/>
  <c r="J742" i="1"/>
  <c r="J741" i="1"/>
  <c r="J757" i="1"/>
  <c r="J773" i="1"/>
  <c r="J1032" i="1"/>
  <c r="J1048" i="1"/>
  <c r="J1064" i="1"/>
  <c r="J749" i="1"/>
  <c r="J765" i="1"/>
  <c r="J1040" i="1"/>
  <c r="J1056" i="1"/>
  <c r="J1072" i="1"/>
  <c r="J1305" i="1"/>
  <c r="J1313" i="1"/>
  <c r="J1321" i="1"/>
  <c r="J1329" i="1"/>
  <c r="J1337" i="1"/>
  <c r="J1345" i="1"/>
  <c r="J1353" i="1"/>
  <c r="J1361" i="1"/>
  <c r="J1369" i="1"/>
  <c r="J1377" i="1"/>
  <c r="J1385" i="1"/>
  <c r="J1393" i="1"/>
  <c r="J1401" i="1"/>
  <c r="J1409" i="1"/>
  <c r="J1417" i="1"/>
  <c r="J1425" i="1"/>
  <c r="J1433" i="1"/>
  <c r="J1441" i="1"/>
  <c r="J1449" i="1"/>
  <c r="J1457" i="1"/>
  <c r="J1465" i="1"/>
  <c r="J1470" i="1"/>
  <c r="J1478" i="1"/>
  <c r="J1486" i="1"/>
  <c r="J1494" i="1"/>
  <c r="J1502" i="1"/>
  <c r="J1512" i="1"/>
  <c r="J1520" i="1"/>
  <c r="J1528" i="1"/>
</calcChain>
</file>

<file path=xl/comments1.xml><?xml version="1.0" encoding="utf-8"?>
<comments xmlns="http://schemas.openxmlformats.org/spreadsheetml/2006/main">
  <authors>
    <author>Roxy</author>
  </authors>
  <commentList>
    <comment ref="F10" authorId="0" shapeId="0">
      <text>
        <r>
          <rPr>
            <b/>
            <sz val="9"/>
            <rFont val="Tahoma"/>
            <family val="2"/>
          </rPr>
          <t>sample ns001</t>
        </r>
        <r>
          <rPr>
            <sz val="9"/>
            <rFont val="Tahoma"/>
            <family val="2"/>
          </rPr>
          <t xml:space="preserve">
</t>
        </r>
      </text>
    </comment>
    <comment ref="F11" authorId="0" shapeId="0">
      <text>
        <r>
          <rPr>
            <b/>
            <sz val="9"/>
            <rFont val="Tahoma"/>
            <family val="2"/>
          </rPr>
          <t>sample ns001</t>
        </r>
        <r>
          <rPr>
            <sz val="9"/>
            <rFont val="Tahoma"/>
            <family val="2"/>
          </rPr>
          <t xml:space="preserve">
</t>
        </r>
      </text>
    </comment>
    <comment ref="F12" authorId="0" shapeId="0">
      <text>
        <r>
          <rPr>
            <b/>
            <sz val="9"/>
            <rFont val="Tahoma"/>
            <family val="2"/>
          </rPr>
          <t>sample ns001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<sst xmlns="http://schemas.openxmlformats.org/spreadsheetml/2006/main" count="5888" uniqueCount="3584">
  <si>
    <t>IMPORT LOGISTICS STOCK</t>
  </si>
  <si>
    <t>NO</t>
  </si>
  <si>
    <t>ITEM</t>
  </si>
  <si>
    <t>SALDO AWAL</t>
  </si>
  <si>
    <t>JUMLAH BARANG MASUK</t>
  </si>
  <si>
    <t>JUMLAH BARANG KELUAR</t>
  </si>
  <si>
    <t>SISA BARANG</t>
  </si>
  <si>
    <t>CODE</t>
  </si>
  <si>
    <t>SPEC</t>
  </si>
  <si>
    <t>UNIT</t>
  </si>
  <si>
    <t>M</t>
  </si>
  <si>
    <t>K</t>
  </si>
  <si>
    <t>BB19090032</t>
  </si>
  <si>
    <t>BRIDGE BS201CR -</t>
  </si>
  <si>
    <t>SET</t>
  </si>
  <si>
    <t>BB19090079</t>
  </si>
  <si>
    <t>BRACKETS HK002 (W/PL3010) GD -</t>
  </si>
  <si>
    <t>BB19090080</t>
  </si>
  <si>
    <t>BRACKETS HK002 (W/PL4090) CR</t>
  </si>
  <si>
    <t>BB19090082</t>
  </si>
  <si>
    <t>BRACKETS HK002 (W/PL4090) GD -</t>
  </si>
  <si>
    <t>PCE</t>
  </si>
  <si>
    <t>BB19090106</t>
  </si>
  <si>
    <t>ELECTRONIC COVER BC-002 (1) RED IV -</t>
  </si>
  <si>
    <t>BB19090107</t>
  </si>
  <si>
    <t>ELECTRONIC COVER  BC-002 (2) BKS -</t>
  </si>
  <si>
    <t>BB19090130</t>
  </si>
  <si>
    <t>BACK COVER BC-002 CREAM -</t>
  </si>
  <si>
    <t>BB19090148</t>
  </si>
  <si>
    <t>EL.CONTROL PLATE HC002 CR -</t>
  </si>
  <si>
    <t>BB19090158</t>
  </si>
  <si>
    <t>EL.CONTROL PLATE HC001 GD -</t>
  </si>
  <si>
    <t>BB19090162</t>
  </si>
  <si>
    <t>EL.CONTROL PLATE HC001 BK -</t>
  </si>
  <si>
    <t>BB19090149</t>
  </si>
  <si>
    <t>EL.CONTROL PLATE HC001 CR -</t>
  </si>
  <si>
    <t>BB19090166</t>
  </si>
  <si>
    <t>HC002 CR (WITH 1 HOLES  MINI TOGGLES) -</t>
  </si>
  <si>
    <t>BB19090186</t>
  </si>
  <si>
    <t>GMA2 -</t>
  </si>
  <si>
    <t>BB19090416</t>
  </si>
  <si>
    <t>METAL KNOBS MPN6-CR -</t>
  </si>
  <si>
    <t>BB19090681</t>
  </si>
  <si>
    <t>NUT GRAPHITE NUT (43*3.4T) BK -</t>
  </si>
  <si>
    <t>BB23080049</t>
  </si>
  <si>
    <t>NUT BLANK NT-027 WH -MARU</t>
  </si>
  <si>
    <t>BB19090711</t>
  </si>
  <si>
    <t>NUT- NT-035 BK (42*6T) -</t>
  </si>
  <si>
    <t>BB19090712</t>
  </si>
  <si>
    <t>NUT, NT-034 WH (42*3.5T) -</t>
  </si>
  <si>
    <t>BB19090723</t>
  </si>
  <si>
    <t>NT-029 IV (38*3.5T) 4ST -</t>
  </si>
  <si>
    <t>BB23110035</t>
  </si>
  <si>
    <t>NUT GRAPHITE BK 38*3.4T (4ST)</t>
  </si>
  <si>
    <t>BB23110036</t>
  </si>
  <si>
    <t>NUT GRAPHITE BK 45*3.4T (5ST)</t>
  </si>
  <si>
    <t>BB19090743</t>
  </si>
  <si>
    <t>NT-037 BK (42*6T) LH -</t>
  </si>
  <si>
    <t>BB19090759</t>
  </si>
  <si>
    <t>BT-1445-00 BLACK TUSQ XL 5 STRING BASS 45 X 6 -</t>
  </si>
  <si>
    <t>BB19090763</t>
  </si>
  <si>
    <t>BQL-5043-00 TUSQ XL 43 MM STRAT STYLE NUT WH-</t>
  </si>
  <si>
    <t>BB21020024</t>
  </si>
  <si>
    <t>BQL-3834-00 TUSQ XL 38X3.41 DIAMOND/J/FENDER STYLE WH-</t>
  </si>
  <si>
    <t>BB21040022</t>
  </si>
  <si>
    <t>BT-6143-00 BLACK TUSQ 43X6 ACOUSTIC SLOTTED NUT BK -</t>
  </si>
  <si>
    <t>BB22120081</t>
  </si>
  <si>
    <t>PQL-6143 TUSQ XL 43 X 6 SLOTTED NUT WH-</t>
  </si>
  <si>
    <t>BB22060001</t>
  </si>
  <si>
    <t>BQ-1235-CC TUSQ MARTIN TENOR UKE NUT WH-</t>
  </si>
  <si>
    <t>BB22070017</t>
  </si>
  <si>
    <t>BQL-1425-00 TUSQ XL 5 STRING BASS NUT 46 X 3 WH -</t>
  </si>
  <si>
    <t>BB20050003</t>
  </si>
  <si>
    <t>BQL-5042-00 TUSQ XL FLAT BOTTOM STRAT NUT 42 MM WH-</t>
  </si>
  <si>
    <t>BB19090936</t>
  </si>
  <si>
    <t>J-04 3+3 GD LTD LOGO -</t>
  </si>
  <si>
    <t>BB19090944</t>
  </si>
  <si>
    <t>J-07 6L BN -LTD- LOGO -</t>
  </si>
  <si>
    <t>BB19090945</t>
  </si>
  <si>
    <t>J-07 6R BN -LTD- LOGO -</t>
  </si>
  <si>
    <t>BB19090946</t>
  </si>
  <si>
    <t>J-04 3+3 BK -LTD- LOGO -</t>
  </si>
  <si>
    <t>BB19090947</t>
  </si>
  <si>
    <t>J-07 6R CR -LTD- LOGO -</t>
  </si>
  <si>
    <t>BB19090966</t>
  </si>
  <si>
    <t>JS-07-BK L7 (LTD) -</t>
  </si>
  <si>
    <t>BB19090971</t>
  </si>
  <si>
    <t>J-07 6R NI (LTD LOGO) -</t>
  </si>
  <si>
    <t>BB19090988</t>
  </si>
  <si>
    <t>J-07 L6 CR (LOGO MK) -</t>
  </si>
  <si>
    <t>BB19091000</t>
  </si>
  <si>
    <t>J-07 R6 CR (LOGO MK) -</t>
  </si>
  <si>
    <t>BB19091183</t>
  </si>
  <si>
    <t xml:space="preserve">JOINT BUSHING HB007 CR </t>
  </si>
  <si>
    <t>BB19091185</t>
  </si>
  <si>
    <t>JOINT BUSHING HB007 BK -</t>
  </si>
  <si>
    <t>BB19091186</t>
  </si>
  <si>
    <t>JOINT BUSHING HB007 GD -</t>
  </si>
  <si>
    <t>BB19091192</t>
  </si>
  <si>
    <t>JOINT BUSHING HB007 NS -</t>
  </si>
  <si>
    <t>BB19091196</t>
  </si>
  <si>
    <t>JACK PLATE HJ002 CR -</t>
  </si>
  <si>
    <t>BB19091197</t>
  </si>
  <si>
    <t>JACK PLATE HJ002 BN -</t>
  </si>
  <si>
    <t>BB19091211</t>
  </si>
  <si>
    <t>JACK PLATE HJ002 BK -</t>
  </si>
  <si>
    <t>BB19091215</t>
  </si>
  <si>
    <t>JACK PLATE HJ002 GD -</t>
  </si>
  <si>
    <t>BB19091344</t>
  </si>
  <si>
    <t>NS001 CR -</t>
  </si>
  <si>
    <t>BB19091346</t>
  </si>
  <si>
    <t>NS001 BN</t>
  </si>
  <si>
    <t>BB19091355</t>
  </si>
  <si>
    <t>NS001 BK -</t>
  </si>
  <si>
    <t>BB19091933</t>
  </si>
  <si>
    <t>BATERY COVER BT002 -</t>
  </si>
  <si>
    <t>BB19091941</t>
  </si>
  <si>
    <t>STRAP PIN FELTS BK -</t>
  </si>
  <si>
    <t>BB19092308</t>
  </si>
  <si>
    <t>PICKUP RING ROUND 3-5 BK -</t>
  </si>
  <si>
    <t>BB19092310</t>
  </si>
  <si>
    <t>PICK UP RING ROUND 7X9 BK -</t>
  </si>
  <si>
    <t>BB19092311</t>
  </si>
  <si>
    <t>PICK UP RING ROUND 7X9 IV -</t>
  </si>
  <si>
    <t>BB19092315</t>
  </si>
  <si>
    <t>PICK UP RING FLAT 7X9 IV -</t>
  </si>
  <si>
    <t>BB19092320</t>
  </si>
  <si>
    <t>PICKUP RING ROUND 3-5 PR-007 CREAM -</t>
  </si>
  <si>
    <t>BB19092328</t>
  </si>
  <si>
    <t>PR-001 BK (FLAT 3-5) -</t>
  </si>
  <si>
    <t>BB19092329</t>
  </si>
  <si>
    <t>PR-003 BK (FLAT 7-9)</t>
  </si>
  <si>
    <t>BB19092330</t>
  </si>
  <si>
    <t>PR-001 IVORY (FLAT 3-5) -</t>
  </si>
  <si>
    <t>BB19092802</t>
  </si>
  <si>
    <t>PICKUP P90S-B-BLK -</t>
  </si>
  <si>
    <t>BB19092805</t>
  </si>
  <si>
    <t>PICKUP S74-C-BLK -</t>
  </si>
  <si>
    <t>BB19092820</t>
  </si>
  <si>
    <t>PM4 -</t>
  </si>
  <si>
    <t>BB19092821</t>
  </si>
  <si>
    <t>PM5 -</t>
  </si>
  <si>
    <t>BB19092822</t>
  </si>
  <si>
    <t>LAF-N4-CR -</t>
  </si>
  <si>
    <t>BB19092823</t>
  </si>
  <si>
    <t>LAF-B4-CR -</t>
  </si>
  <si>
    <t>BB19092827</t>
  </si>
  <si>
    <t>HAF-B-LF -</t>
  </si>
  <si>
    <t>BB19092828</t>
  </si>
  <si>
    <t>HAF-N-LF -</t>
  </si>
  <si>
    <t>BB19092829</t>
  </si>
  <si>
    <t>S74-C-BLK-LF -</t>
  </si>
  <si>
    <t>BB19092859</t>
  </si>
  <si>
    <t>PICKUPS LAF-N4-GD -</t>
  </si>
  <si>
    <t>BB19092860</t>
  </si>
  <si>
    <t>PICKUPS LAF-B4-GD -</t>
  </si>
  <si>
    <t>BB19092862</t>
  </si>
  <si>
    <t>PICKUP P90S-BT-IV -</t>
  </si>
  <si>
    <t>BB19092863</t>
  </si>
  <si>
    <t>PICKUPS P90S-NT-IV -</t>
  </si>
  <si>
    <t>BB19092867</t>
  </si>
  <si>
    <t>PICKUPS STA-BT-WHT -</t>
  </si>
  <si>
    <t>BB19092868</t>
  </si>
  <si>
    <t>PICKUPS STA-NT-WHT -</t>
  </si>
  <si>
    <t>BB19092869</t>
  </si>
  <si>
    <t>PICKUPS STA-NT-WHT-LF -</t>
  </si>
  <si>
    <t>BB19092870</t>
  </si>
  <si>
    <t>PICKUPS STA-BT-WHT-LF -</t>
  </si>
  <si>
    <t>BB19092877</t>
  </si>
  <si>
    <t>PICKUPS P90D-N-BLK -</t>
  </si>
  <si>
    <t>BB19092917</t>
  </si>
  <si>
    <t>HAF-N4T-BK -</t>
  </si>
  <si>
    <t>BB19092918</t>
  </si>
  <si>
    <t>HAF-B4T-BK -</t>
  </si>
  <si>
    <t>BB19092936</t>
  </si>
  <si>
    <t>STRING BASS DADDARIO 5 STRING (045-130) -</t>
  </si>
  <si>
    <t>BB19093134</t>
  </si>
  <si>
    <t>STRING ELECTRIC 010-046 OLYMPIA -</t>
  </si>
  <si>
    <t>BB19093135</t>
  </si>
  <si>
    <t>STRING ELECTRIC DADDARIO EG 6 STRING (010-046) -</t>
  </si>
  <si>
    <t>BB19093159</t>
  </si>
  <si>
    <t>STRING MOUNTING FERRULES HS015 CR -</t>
  </si>
  <si>
    <t>BB21010001</t>
  </si>
  <si>
    <t>STRING MOUNTING FERRULES HS014 BK -</t>
  </si>
  <si>
    <t>BB19093166</t>
  </si>
  <si>
    <t>STRING MOUNTING FERRULES HS014 BN -</t>
  </si>
  <si>
    <t>BB19093164</t>
  </si>
  <si>
    <t>STRING MOUNTING FERRULES HS015 GD</t>
  </si>
  <si>
    <t>BB19093165</t>
  </si>
  <si>
    <t>STRING MOUNTING FERRULES HS015 BN -</t>
  </si>
  <si>
    <t>BB19093160</t>
  </si>
  <si>
    <t>STRING MOUNTING FERRULES HS014 CR -</t>
  </si>
  <si>
    <t>BB19093168</t>
  </si>
  <si>
    <t>STRING MOUNTING FERRULES HS028 GD -</t>
  </si>
  <si>
    <t>BB19093172</t>
  </si>
  <si>
    <t>STRING MOUNTING FERRULES HS015 BK -</t>
  </si>
  <si>
    <t>BB19093173</t>
  </si>
  <si>
    <t>STRING MOUNTING FERRULES HS015 NI -</t>
  </si>
  <si>
    <t>BB19093175</t>
  </si>
  <si>
    <t>STRING MOUNTING FERRULES HS028 BK -</t>
  </si>
  <si>
    <t>BB19093198</t>
  </si>
  <si>
    <t>SPONGE W/SPRING 13TX17X60MM -</t>
  </si>
  <si>
    <t>BB19093239</t>
  </si>
  <si>
    <t>HE011 CR -</t>
  </si>
  <si>
    <t>BB19093240</t>
  </si>
  <si>
    <t>HE011 BK -</t>
  </si>
  <si>
    <t>BB19093242</t>
  </si>
  <si>
    <t>HE011 BN -</t>
  </si>
  <si>
    <t>BB19093244</t>
  </si>
  <si>
    <t>HE011 GD -</t>
  </si>
  <si>
    <t>BB19093265</t>
  </si>
  <si>
    <t>STRING RETAINERS HS005 CR -</t>
  </si>
  <si>
    <t>BB19093266</t>
  </si>
  <si>
    <t>STRING RETAINERS HS006 CR -</t>
  </si>
  <si>
    <t>BB19093268</t>
  </si>
  <si>
    <t>STRING RETAINERS HS032 CR -</t>
  </si>
  <si>
    <t>BB19093269</t>
  </si>
  <si>
    <t>STRING RETAINERS HS412 CR -</t>
  </si>
  <si>
    <t>BB19093272</t>
  </si>
  <si>
    <t>STRING RETAINERS HS013 CR (BAR TYPE) -</t>
  </si>
  <si>
    <t>BB19093278</t>
  </si>
  <si>
    <t>STRING RETAINERS HS001 CR -</t>
  </si>
  <si>
    <t>BB19093279</t>
  </si>
  <si>
    <t>STRING RETAINERS HS032 GD -</t>
  </si>
  <si>
    <t>BB19093280</t>
  </si>
  <si>
    <t>STRING RETAINERS HS011 CR -</t>
  </si>
  <si>
    <t>BB19093285</t>
  </si>
  <si>
    <t>STRING RETAINERS HS011 GD -</t>
  </si>
  <si>
    <t>BB19093291</t>
  </si>
  <si>
    <t>STRING RETAINERS HS011 BN -</t>
  </si>
  <si>
    <t>BB19093301</t>
  </si>
  <si>
    <t>PSB303-CR -</t>
  </si>
  <si>
    <t>BB19093302</t>
  </si>
  <si>
    <t>PSB404-CR -</t>
  </si>
  <si>
    <t>BB19093334</t>
  </si>
  <si>
    <t>COVER TOGGLE BK RHYTHM/TREBLE / DR003-03 -</t>
  </si>
  <si>
    <t>BB19093339</t>
  </si>
  <si>
    <t>BACK COVER BC-001 BK -</t>
  </si>
  <si>
    <t>BB19093342</t>
  </si>
  <si>
    <t>TOGGLE COVER BC-001 IV -</t>
  </si>
  <si>
    <t>BB19093364</t>
  </si>
  <si>
    <t>BRIDGE BN003 CR -</t>
  </si>
  <si>
    <t>BB23010095</t>
  </si>
  <si>
    <t>BRIDGE BM003/MB003 GD LH -</t>
  </si>
  <si>
    <t>BB19093404</t>
  </si>
  <si>
    <t>BRIDGE WV2 CR -</t>
  </si>
  <si>
    <t>BB19093451</t>
  </si>
  <si>
    <t>BRIDGE BB009 CR LH -</t>
  </si>
  <si>
    <t>BB19093452</t>
  </si>
  <si>
    <t>BRIDGE BT101 GD -</t>
  </si>
  <si>
    <t>BB23030103</t>
  </si>
  <si>
    <t>BRIDGE BB010 GD -</t>
  </si>
  <si>
    <t>BB19093463</t>
  </si>
  <si>
    <t>BB010 BN -</t>
  </si>
  <si>
    <t>BB19093441</t>
  </si>
  <si>
    <t>BRIDGE BM003 W/MB003 NI -</t>
  </si>
  <si>
    <t>BB19093471</t>
  </si>
  <si>
    <t>BT005 CR -</t>
  </si>
  <si>
    <t>BB19093368</t>
  </si>
  <si>
    <t>BRIDGE BM003 W/MB003 GD -</t>
  </si>
  <si>
    <t>BB19093528</t>
  </si>
  <si>
    <t>BB009 BN -</t>
  </si>
  <si>
    <t>BB19093538</t>
  </si>
  <si>
    <t>BN107 BK -</t>
  </si>
  <si>
    <t>BB19110002</t>
  </si>
  <si>
    <t>PICKUP LAF-N4-MNI -</t>
  </si>
  <si>
    <t>BB19110003</t>
  </si>
  <si>
    <t>PICKUP LAF-B4-MNI 1</t>
  </si>
  <si>
    <t>BB19110007</t>
  </si>
  <si>
    <t>P90D-N-BLK-LF -</t>
  </si>
  <si>
    <t>BB19110037</t>
  </si>
  <si>
    <t>JB-150-CR L logo schecter-</t>
  </si>
  <si>
    <t>BB19110038</t>
  </si>
  <si>
    <t>JB-150-CR R logo schecter-</t>
  </si>
  <si>
    <t>BB19110044</t>
  </si>
  <si>
    <t>BASS PICKUP MFR4-N/B -</t>
  </si>
  <si>
    <t>BB19110045</t>
  </si>
  <si>
    <t>BASS PICKUP MFR5-N/B M55701 -</t>
  </si>
  <si>
    <t>BB20010022</t>
  </si>
  <si>
    <t>HEAD MACHINE M-1001 (M-1009-B1) 6R CR -</t>
  </si>
  <si>
    <t>BB20010030</t>
  </si>
  <si>
    <t>BASS PICKUP JM5-N -</t>
  </si>
  <si>
    <t>BB20010035</t>
  </si>
  <si>
    <t>PICKUP FLT-B-CR -</t>
  </si>
  <si>
    <t>BB20010036</t>
  </si>
  <si>
    <t>PICKUP FLT-N-CR -</t>
  </si>
  <si>
    <t>BB20010037</t>
  </si>
  <si>
    <t>PICKUP LZ51N-BLK -</t>
  </si>
  <si>
    <t>BB20010038</t>
  </si>
  <si>
    <t>PICKUP LZ56B-BLK -</t>
  </si>
  <si>
    <t>BB20020054</t>
  </si>
  <si>
    <t>TOP NUT GRAPHITE (48*6T) 7ST (NT-060-BK) -</t>
  </si>
  <si>
    <t>BB20020066</t>
  </si>
  <si>
    <t>BATERY SNAP WIRE -</t>
  </si>
  <si>
    <t>BB20040027</t>
  </si>
  <si>
    <t>PICKUPS LAF-B4-CR-LF -</t>
  </si>
  <si>
    <t>BB20080016</t>
  </si>
  <si>
    <t>PICKUP RING PR-002 (5-7) FLAT IVORY -</t>
  </si>
  <si>
    <t>BB20080022</t>
  </si>
  <si>
    <t>PICKUP RING PR-002 (5-7) FLAT BK -</t>
  </si>
  <si>
    <t>BB20100016</t>
  </si>
  <si>
    <t>BT-6642-L0 BLACK TUSQ XL 42X6 SLOTTED LEFTY NUT (LH) -</t>
  </si>
  <si>
    <t>BB19093163</t>
  </si>
  <si>
    <t>STRING MOUNTING FERRULES HS014 GD -</t>
  </si>
  <si>
    <t>BB21010012</t>
  </si>
  <si>
    <t>PICKUP LZ51N-BLK LF</t>
  </si>
  <si>
    <t>BB21010013</t>
  </si>
  <si>
    <t>PICKUP LZ56B-BLK LF</t>
  </si>
  <si>
    <t>BB21020001</t>
  </si>
  <si>
    <t>KNOB NS001 NS -</t>
  </si>
  <si>
    <t>BB21030021</t>
  </si>
  <si>
    <t>PICKUPS LAF-N4-MBK -</t>
  </si>
  <si>
    <t>BB21030022</t>
  </si>
  <si>
    <t>PICKUPS LAF-B4-MBK -</t>
  </si>
  <si>
    <t>BB21060040</t>
  </si>
  <si>
    <t>PICKUP RING PR-009 (5-7) ROUND BK -</t>
  </si>
  <si>
    <t>BB21060042</t>
  </si>
  <si>
    <t>PICKUP RING PR-009 (5-7) ROUND IVORY -</t>
  </si>
  <si>
    <t>BB21070042</t>
  </si>
  <si>
    <t>BT-6642-00 BLACK TUSQ XL 42 X 6 SLOTTED ELECTRIC -</t>
  </si>
  <si>
    <t>BB21080001</t>
  </si>
  <si>
    <t>PICKUP RING PR-006 (5-5) FLAT WH -</t>
  </si>
  <si>
    <t>BB21080012</t>
  </si>
  <si>
    <t>KNOB NS001 GD -</t>
  </si>
  <si>
    <t>BB22070013</t>
  </si>
  <si>
    <t>BB114 BK -</t>
  </si>
  <si>
    <t>BB22080016</t>
  </si>
  <si>
    <t>TOP NUT GRAPHITE (54*6T) 8ST (NT-061-BK)-</t>
  </si>
  <si>
    <t>BB22080018</t>
  </si>
  <si>
    <t>PICKUP RING 7-9 BK FOR 7ST -</t>
  </si>
  <si>
    <t>BB22090013</t>
  </si>
  <si>
    <t>BRIDGE BB104 BN -</t>
  </si>
  <si>
    <t>BB22090031</t>
  </si>
  <si>
    <t>BRIDGE BB105 BN -</t>
  </si>
  <si>
    <t>BB22090066</t>
  </si>
  <si>
    <t>HEAD MACHINE JB-150 L2,R2 CR LOGO SCHECTER -</t>
  </si>
  <si>
    <t>BB22090067</t>
  </si>
  <si>
    <t>HEAD MACHINE JB-150 L3,R2 CR LOGO SCHECTER</t>
  </si>
  <si>
    <t>BB22090082</t>
  </si>
  <si>
    <t>KNOB C-2012 GD -</t>
  </si>
  <si>
    <t>BB22090110</t>
  </si>
  <si>
    <t>BT-1238-60 BLACK TUSQ 4 STRING BASS NUT 38 X 6 -</t>
  </si>
  <si>
    <t>BB22090111</t>
  </si>
  <si>
    <t>BT-1238-6L BLACK TUSQ XL 4 STRING BASS NUT 38 X 6 LH -</t>
  </si>
  <si>
    <t>BB22090112</t>
  </si>
  <si>
    <t>BT-1445-L0 BLACK TUSQ XL 5 STRING BASS NUT 45 X 6MM -</t>
  </si>
  <si>
    <t>BB22100043</t>
  </si>
  <si>
    <t>BRIDGE BB010 CR LH</t>
  </si>
  <si>
    <t>BB22100056</t>
  </si>
  <si>
    <t>EQUALIZER 2-BAND EQ/25K VOLUME/MN250K BN</t>
  </si>
  <si>
    <t>BB22100103</t>
  </si>
  <si>
    <t>BLACK TUSQ XL 7 STRING NUT 48 X 6 (BT-6748-00) -</t>
  </si>
  <si>
    <t>BB22100104</t>
  </si>
  <si>
    <t>BLACK TUSQ 7 STRING ELECTR NUT 48 X 6MM LH (BT-6748-L0) -</t>
  </si>
  <si>
    <t>BB22110020</t>
  </si>
  <si>
    <t>STRING RETAINERS HS513 CR -</t>
  </si>
  <si>
    <t>BB22110042</t>
  </si>
  <si>
    <t>WH PEARLOID + LIMITATION ABALONE VECTOR</t>
  </si>
  <si>
    <t>BB22110046</t>
  </si>
  <si>
    <t>HEAD MACHINE J-03 CR L3R3 LOGO SCHECTER -</t>
  </si>
  <si>
    <t>BB22110047</t>
  </si>
  <si>
    <t>HEAD MACHINE J-03 BN L3R3 LOGO SCHECTER -</t>
  </si>
  <si>
    <t>BB22110048</t>
  </si>
  <si>
    <t>HEAD MACHINE J-03M CR L3,R4 LOGO SCHECTER -</t>
  </si>
  <si>
    <t>BB22110049</t>
  </si>
  <si>
    <t>HEAD MACHINE J-03M BN L4,R3 LOGO SCHECTER -</t>
  </si>
  <si>
    <t>BB22110050</t>
  </si>
  <si>
    <t>HEAD MACHINE JB-150 BK L2,R2 LOGO SCHECTER -</t>
  </si>
  <si>
    <t>BB22110051</t>
  </si>
  <si>
    <t>HEAD MACHINE JB-150 BN L2,R2 LOGO SCHECTER -</t>
  </si>
  <si>
    <t>BB22110052</t>
  </si>
  <si>
    <t>HEAD MACHINE JB-150 BN L2,R3 LOGO SCHECTER -</t>
  </si>
  <si>
    <t>BB22110053</t>
  </si>
  <si>
    <t>HEAD MACHINE JB-150 BN L3,R2 LOGO SCHECTER -</t>
  </si>
  <si>
    <t>BB22110055</t>
  </si>
  <si>
    <t>BRIDGE BA-1009 CR -</t>
  </si>
  <si>
    <t>BB22110056</t>
  </si>
  <si>
    <t>STRAP BUTTON E-1014 CR -</t>
  </si>
  <si>
    <t>BB22110063</t>
  </si>
  <si>
    <t>PICKUP RING 5-7 BK FOR 7ST -</t>
  </si>
  <si>
    <t>BB22120036</t>
  </si>
  <si>
    <t>HEAD MACHINE JB-150 BK L3,R2 LOGO SCHECTER -</t>
  </si>
  <si>
    <t>BB22120064</t>
  </si>
  <si>
    <t>SOAPBAR-N 4ST BK LOGO SCHECTER -LOGO SILVER</t>
  </si>
  <si>
    <t>BB22120065</t>
  </si>
  <si>
    <t>SOAPBAR-B 4ST BK LOGO SCHECTER -LOGO SILVER</t>
  </si>
  <si>
    <t>BB22120066</t>
  </si>
  <si>
    <t>SOAPBAR-N 4ST BK LOGO SCHECTER LH -</t>
  </si>
  <si>
    <t>BB22120067</t>
  </si>
  <si>
    <t>SOAPBAR-B 4ST BK LOGO SCHECTER LH -</t>
  </si>
  <si>
    <t>BB22120068</t>
  </si>
  <si>
    <t>SOAPBAR-N 5ST BK LOGO SCHECTER -LOGO SILVER</t>
  </si>
  <si>
    <t>BB22120069</t>
  </si>
  <si>
    <t>SOAPBAR-B 5ST BK LOGO SCHECTER -LOGO SILVER</t>
  </si>
  <si>
    <t>BB22120070</t>
  </si>
  <si>
    <t>SOAPBAR-N 5ST BK LOGO SCHECTER LH -</t>
  </si>
  <si>
    <t>BB22120071</t>
  </si>
  <si>
    <t>SOAPBAR-B 5ST BK LOGO SCHECTER LH -</t>
  </si>
  <si>
    <t>BB22120072</t>
  </si>
  <si>
    <t>B102 BK-PB 4ST COVERED NECK LOGO SCHECTER -</t>
  </si>
  <si>
    <t>BB22120073</t>
  </si>
  <si>
    <t>B102 BK-PB 4ST COVERED NECK LOGO SCHECTER LH -</t>
  </si>
  <si>
    <t>BB22120074</t>
  </si>
  <si>
    <t xml:space="preserve">B113-1-4 BK MUSICMAN 4ST COVERED CERAMIC LOGO SCHECTER </t>
  </si>
  <si>
    <t>BB22120075</t>
  </si>
  <si>
    <t>B113-1-4 BK MUSICMAN 4ST COVERED CERAMIC LOGO SCHECTER LH -</t>
  </si>
  <si>
    <t>BB23040094</t>
  </si>
  <si>
    <t>B102 BK-PB 5ST COVERED NECK LOGO SCHECTER LH -</t>
  </si>
  <si>
    <t>BB23060046</t>
  </si>
  <si>
    <t>B113-1-4 BK MUSICMAN 5ST COVERED CERAMIC BRIDGE LOGO SCHECTER LH -</t>
  </si>
  <si>
    <t>BB23020213</t>
  </si>
  <si>
    <t>PICKUP NECK B102 5ST BK LOGO SCHECTER -</t>
  </si>
  <si>
    <t>BB23020214</t>
  </si>
  <si>
    <t>PICKUP BRIDGE B113 1-5 BK LOGO SCHECTER -</t>
  </si>
  <si>
    <t>BB22120082</t>
  </si>
  <si>
    <t>PICKUP HB105S-N -SCHECTER LOGO GD-6ST</t>
  </si>
  <si>
    <t>BB22120083</t>
  </si>
  <si>
    <t>PICKUP HB105S-B -SCHECTER LOGO GD-6ST</t>
  </si>
  <si>
    <t>BB22120084</t>
  </si>
  <si>
    <t>PICKUP HB105S 7ST-N -LOGO GD</t>
  </si>
  <si>
    <t>BB22120085</t>
  </si>
  <si>
    <t>PICKUP HB105S 7ST-B -LOGO GD</t>
  </si>
  <si>
    <t>BB22120086</t>
  </si>
  <si>
    <t>PICKUP NECK P-2012 BK 6ST SHIELD 1P LOGO SCHECTER -</t>
  </si>
  <si>
    <t>BB22120087</t>
  </si>
  <si>
    <t>PICKUP BRIDGE P-2012 BK 6ST SHIELD 1P LOGO SCHECTER -</t>
  </si>
  <si>
    <t>BB22120092</t>
  </si>
  <si>
    <t>BRIDGE BB010 LH BN -</t>
  </si>
  <si>
    <t>BB22120093</t>
  </si>
  <si>
    <t>BRIDGE BB009 BN LH -</t>
  </si>
  <si>
    <t>BB22120095</t>
  </si>
  <si>
    <t>NECK PLATE HNS101 BN LOGO SCHECTER -</t>
  </si>
  <si>
    <t>BB22120103</t>
  </si>
  <si>
    <t>KNOB PB-3/1 BK -</t>
  </si>
  <si>
    <t>BB22120109</t>
  </si>
  <si>
    <t>EL ASSY 3-WAY 1 T/G BN 1V 1T 1J 1 CAPASITOR A500K B500K LH (PVS6502-2) OMEN LH-</t>
  </si>
  <si>
    <t>BB22120111</t>
  </si>
  <si>
    <t>REGULAR GUITAR (PLAIN) P00510 -</t>
  </si>
  <si>
    <t>BB22120112</t>
  </si>
  <si>
    <t>REGULAR GUITAR (PLAIN) P00513  -</t>
  </si>
  <si>
    <t>BB22120113</t>
  </si>
  <si>
    <t>REGULAR GUITAR (PLAIN) P00517 -</t>
  </si>
  <si>
    <t>BB22120114</t>
  </si>
  <si>
    <t>NICKEL WOUND GUITAR P00526 -</t>
  </si>
  <si>
    <t>BB22120115</t>
  </si>
  <si>
    <t>NICKEL WOUND GUITAR P00536 -</t>
  </si>
  <si>
    <t>BB22120116</t>
  </si>
  <si>
    <t>NICKEL WOUND GUITAR P00546 -</t>
  </si>
  <si>
    <t>BB22120117</t>
  </si>
  <si>
    <t>NICKEL WOUND GUITAR P00556 -</t>
  </si>
  <si>
    <t>BB22120118</t>
  </si>
  <si>
    <t>SUPER LONG BASS P11213 -</t>
  </si>
  <si>
    <t>BB22120119</t>
  </si>
  <si>
    <t>SUPER LONG BASS P11245 -</t>
  </si>
  <si>
    <t>BB22120120</t>
  </si>
  <si>
    <t>SUPER LONG BASS P11265 -</t>
  </si>
  <si>
    <t>BB22120121</t>
  </si>
  <si>
    <t>SUPER LONG BASS P11285 -</t>
  </si>
  <si>
    <t>BB22120122</t>
  </si>
  <si>
    <t>SUPER LONG BASS P11298 -</t>
  </si>
  <si>
    <t>BB24030014</t>
  </si>
  <si>
    <t>STRING Ernie Ball Baritone Not Ever Slinky #2626 (012-056)</t>
  </si>
  <si>
    <t>BB22120131</t>
  </si>
  <si>
    <t>BATTERY CASE BB-1 -</t>
  </si>
  <si>
    <t>BB22120141</t>
  </si>
  <si>
    <t>KNOB MB-3 CR -</t>
  </si>
  <si>
    <t>BB22120143</t>
  </si>
  <si>
    <t>BRIDGE FB609 BK -</t>
  </si>
  <si>
    <t>BB22120144</t>
  </si>
  <si>
    <t>BRIDGE FB609 BK LH -</t>
  </si>
  <si>
    <t>BB22120145</t>
  </si>
  <si>
    <t>BRIDGE BN108 BN -</t>
  </si>
  <si>
    <t>BB23010028</t>
  </si>
  <si>
    <t>BN107 LH BK -</t>
  </si>
  <si>
    <t>BB23010029</t>
  </si>
  <si>
    <t>BN107 BN -</t>
  </si>
  <si>
    <t>BB23010037</t>
  </si>
  <si>
    <t>BRIDGE BN108 BN LH -</t>
  </si>
  <si>
    <t>BB23010052</t>
  </si>
  <si>
    <t>PICKUP HB105S 8ST-N -LOGO GOLD</t>
  </si>
  <si>
    <t>BB23010053</t>
  </si>
  <si>
    <t>PICKUP HB105S 8ST-B -LOGO GOLD</t>
  </si>
  <si>
    <t>BB23010059</t>
  </si>
  <si>
    <t>HEAD MACHINE J-03 BK L3 R3 LOGO SCHECTER -</t>
  </si>
  <si>
    <t>BB23010060</t>
  </si>
  <si>
    <t>HEAD MACHINE J-03M BK L3 R4 LOGO SCHECTER -</t>
  </si>
  <si>
    <t>BB23010061</t>
  </si>
  <si>
    <t>HEAD MACHINE J-03 GD L3 R3 LOGO SCHECTER -</t>
  </si>
  <si>
    <t>BB23040002</t>
  </si>
  <si>
    <t>HEAD MACHINE JB-150 GD L3 R2 LOGO SCHECTER -</t>
  </si>
  <si>
    <t>BB23010062</t>
  </si>
  <si>
    <t>HEAD MACHINE JB-150 GD L2 R2 LOGO SCHECTER -</t>
  </si>
  <si>
    <t>BB23010063</t>
  </si>
  <si>
    <t>HEAD MACHINE J-03M BN L4 R4 LOGO SCHECTER -</t>
  </si>
  <si>
    <t>BB23010064</t>
  </si>
  <si>
    <t>HEAD MACHINE J-03M BN L3 R4 LOGO SCHECTER -</t>
  </si>
  <si>
    <t>BB23010065</t>
  </si>
  <si>
    <t>HEAD MACHINE J-03M CR L4 R3 LOGO SCHECTER -</t>
  </si>
  <si>
    <t>BB23010066</t>
  </si>
  <si>
    <t>HEAD MACHINE J-03M CR L4 R4 LOGO SCHECTER -</t>
  </si>
  <si>
    <t>BB23010067</t>
  </si>
  <si>
    <t>HEAD MACHINE J-03M BK L4 R3 LOGO SCHECTER -</t>
  </si>
  <si>
    <t>BB23010068</t>
  </si>
  <si>
    <t>BT-6860-00 BLACK TUSQ XL 8 STRING NUT ABASI -</t>
  </si>
  <si>
    <t>BB23010069</t>
  </si>
  <si>
    <t>BT-6752-00 BLACK TUSQ XL 7 STRING NUT ABASI -</t>
  </si>
  <si>
    <t>BB23010070</t>
  </si>
  <si>
    <t>BT-1354-00 BLACK TUSQ 8 STRING GUITAR NUT 54 X 6  -</t>
  </si>
  <si>
    <t>BB23010093</t>
  </si>
  <si>
    <t>KNOB PB-3/1 GD -</t>
  </si>
  <si>
    <t>BB24040024</t>
  </si>
  <si>
    <t>NECK PLATE HNS101 CR LOGO SCHECTER</t>
  </si>
  <si>
    <t>BB19093533</t>
  </si>
  <si>
    <t>BRIDGE BB009 BK -</t>
  </si>
  <si>
    <t>BB23010096</t>
  </si>
  <si>
    <t>BRIDGE BB009 GD -</t>
  </si>
  <si>
    <t>BB23010097</t>
  </si>
  <si>
    <t>BRIDGE BB104 BK  -</t>
  </si>
  <si>
    <t>BB23040059</t>
  </si>
  <si>
    <t>FRTS5000 FR SPECIAL SE BRG BN, WITH R-2 LOCKING NUTS 37MM BLOCKS, STRING TENSION BAR TYPEL (OMEX)</t>
  </si>
  <si>
    <t>BB23020018</t>
  </si>
  <si>
    <t>FRTS5000U FR SPECIAL HOT ROD SE BRG BLACK NICKEL, R-2 WITH 41.3MM LOCKING NUT 37MM BLOCK (DEMON)</t>
  </si>
  <si>
    <t>BB23020019</t>
  </si>
  <si>
    <t>7 STRING MULTISCALE FIXED GUITAR BRIDGE 21 DEGREE 125 HEIGHT BK - 4MS07210B</t>
  </si>
  <si>
    <t>BB23020020</t>
  </si>
  <si>
    <t>8 STRING MULTISCALE FIXED GUITAR BRIDGE 21 DEGREE 125 HEIGHT BK - 4MS08210B</t>
  </si>
  <si>
    <t>BB23020022</t>
  </si>
  <si>
    <t>EQUALIZER SHT KOREAN JIN SUNG CTS VOLUME B500K/1 BLEND MN500K/1 TONE A250K/CAPASITOR (047 CAP) 2PC-3 LARGE DPDT BLACK ELECTRO OMEN ELITE 4-5</t>
  </si>
  <si>
    <t>BB23020026</t>
  </si>
  <si>
    <t>PICKUP HERETIC-6 TREM BLACK SMOKE CLEAR LH -</t>
  </si>
  <si>
    <t>BB23020029</t>
  </si>
  <si>
    <t>PICKUP HERETIC-7 BRIDGE BLACK SMOKE CLEAR -</t>
  </si>
  <si>
    <t>BB23020032</t>
  </si>
  <si>
    <t>PICKUP HERETIC-7 BRIDGE MULTISCALE -</t>
  </si>
  <si>
    <t>BB23020033</t>
  </si>
  <si>
    <t>PICKUP HERETIC-8 BRIDGE MULTISCALE -</t>
  </si>
  <si>
    <t>BB23020036</t>
  </si>
  <si>
    <t>PICKUP HERETIC-6 NECK BLACK SMOKE CLEAR LH -</t>
  </si>
  <si>
    <t>BB23020039</t>
  </si>
  <si>
    <t>PICKUP HERETIC-7 NECK BLACK SMOKE CLEAR -</t>
  </si>
  <si>
    <t>BB23020042</t>
  </si>
  <si>
    <t>PICKUP HERETIC-7 NECK MULTISCALE -</t>
  </si>
  <si>
    <t>BB23020043</t>
  </si>
  <si>
    <t>PICKUP HERETIC-8 NECK MULTISCALE -</t>
  </si>
  <si>
    <t>BB23020068</t>
  </si>
  <si>
    <t>C-678 ELECTRO IV IT SWT-3 BK 12P -</t>
  </si>
  <si>
    <t>BB23020070</t>
  </si>
  <si>
    <t>OMEN ELITE LH ELECTRO IV IT SWL-5 (2502N) BK -</t>
  </si>
  <si>
    <t>BB23020071</t>
  </si>
  <si>
    <t>OMEN EXTREME GNAT ELECTRO 2V IT P/P SWT-3 GD-BK -</t>
  </si>
  <si>
    <t>BB23020072</t>
  </si>
  <si>
    <t>OMEN EXTREME GNAT LH ELECTRO 2V IT P/P SWT-3 GD-BK -</t>
  </si>
  <si>
    <t>BB23020073</t>
  </si>
  <si>
    <t>ELECTRO DEMON LH 1V 1T SWT3 BN-BK -</t>
  </si>
  <si>
    <t>BB23020074</t>
  </si>
  <si>
    <t>ELECTRO OMEN 1V 1T SWT3 BN-BK -</t>
  </si>
  <si>
    <t>BB23020075</t>
  </si>
  <si>
    <t>ELECTRO OMEN LH 1V 1T SWT3 BN-BK -</t>
  </si>
  <si>
    <t>BB23020076</t>
  </si>
  <si>
    <t>ELECTRO OMEN EXTREME 2V 1T P/P SWT-3 BK-BK -</t>
  </si>
  <si>
    <t>BB23020077</t>
  </si>
  <si>
    <t>ELECTRO OMEN EXTREME LH 2V 1T P/P SWT-3 BN-BK -</t>
  </si>
  <si>
    <t>BB23020130</t>
  </si>
  <si>
    <t>KNOB PB-3/1 BN -</t>
  </si>
  <si>
    <t>BB23020132</t>
  </si>
  <si>
    <t>REGULAR GUITAR (PLAIN) P00509 -</t>
  </si>
  <si>
    <t>BB23020133</t>
  </si>
  <si>
    <t>REGULAR GUITAR (PLAIN) P00511 -</t>
  </si>
  <si>
    <t>BB23020134</t>
  </si>
  <si>
    <t>REGULAR GUITAR (PLAIN) P00516 -</t>
  </si>
  <si>
    <t>BB23020135</t>
  </si>
  <si>
    <t>NICKEL WOUND GUITAR P00524 -</t>
  </si>
  <si>
    <t>BB23020136</t>
  </si>
  <si>
    <t>NICKEL WOUND GUITAR P00530 -</t>
  </si>
  <si>
    <t>BB23020137</t>
  </si>
  <si>
    <t>NICKEL WOUND GUITAR P00534 -</t>
  </si>
  <si>
    <t>BB23020139</t>
  </si>
  <si>
    <t>NICKEL WOUND GUITAR P00552 -</t>
  </si>
  <si>
    <t>BB23020140</t>
  </si>
  <si>
    <t>NICKEL WOUND GUITAR P00554 -</t>
  </si>
  <si>
    <t>BB23020141</t>
  </si>
  <si>
    <t>NICKEL WOUND GUITAR P00564 -</t>
  </si>
  <si>
    <t>BB23020142</t>
  </si>
  <si>
    <t>NICKEL WOUND GUITAR P00574 -</t>
  </si>
  <si>
    <t>BB23020144</t>
  </si>
  <si>
    <t>PICKUP RING PR-006 (5-5) FLAT BK  -</t>
  </si>
  <si>
    <t>BB23020145</t>
  </si>
  <si>
    <t>PICKUP RING PR-005 (3-3) FLAT BK  -</t>
  </si>
  <si>
    <t>BB23020159</t>
  </si>
  <si>
    <t>NUT GRAPHITE BK (40*6T) 4ST</t>
  </si>
  <si>
    <t>BB23020163</t>
  </si>
  <si>
    <t>PICKUP SOAPBAR-B 4ST BK SCHECTER LOGO GOLD -</t>
  </si>
  <si>
    <t>BB23020164</t>
  </si>
  <si>
    <t>PICKUP SOAPBAR-N 4ST BK SCHECTER LOGO GOLD -</t>
  </si>
  <si>
    <t>BB23020165</t>
  </si>
  <si>
    <t>PICKUP SOAPBAR-B 5ST BK SCHECTER LOGO GOLD -</t>
  </si>
  <si>
    <t>BB23020166</t>
  </si>
  <si>
    <t>PICKUP SOAPBAR-N 5ST BK SCHECTER LOGO GOLD -</t>
  </si>
  <si>
    <t>BB23020170</t>
  </si>
  <si>
    <t>CE/ROHS/WEEE/UKCA LOGO SILVER NO.3 (LOGO LTD) -</t>
  </si>
  <si>
    <t>BB23020192</t>
  </si>
  <si>
    <t>ELECTRO DAMIEN 1V 1T P/P BRASS SWL3 BK J2P -</t>
  </si>
  <si>
    <t>BB23020193</t>
  </si>
  <si>
    <t>ELECTRO DEMON 1V 1T SWT3 BN-BK J3P -</t>
  </si>
  <si>
    <t>BB23020194</t>
  </si>
  <si>
    <t>ELECTRO DAMIEN LH 1V 1T P/P BRASS SWL3 BK J2P -</t>
  </si>
  <si>
    <t>BB23020243</t>
  </si>
  <si>
    <t>SCHECTER DIAMOND SERIES (SCRIPT SMALL) WHITE WITH BLACK SHADOW -</t>
  </si>
  <si>
    <t>BB24120031</t>
  </si>
  <si>
    <t>SCHECTER DIAMOND SERIES (SCRIPT SMALL) BLACK WITH WHITE SHADOW -</t>
  </si>
  <si>
    <t>BB23020240</t>
  </si>
  <si>
    <t>SCHECTER DIAMOND SERIES (SCRIPT SMALL) BLACK WITH SILVER SHADOW -</t>
  </si>
  <si>
    <t>BB23020242</t>
  </si>
  <si>
    <t>SCHECTER DIAMOND SERIES (SCRIPT LARGE) WHITE WITH BLACK SHADOW -</t>
  </si>
  <si>
    <t>BB23020241</t>
  </si>
  <si>
    <t>SCHECTER DIAMOND SERIES (SCRIPT LARGE) BLACK WITH SILVER SHADOW -</t>
  </si>
  <si>
    <t>BB25060059</t>
  </si>
  <si>
    <t>DECAL LOGO SCHECTER SAMPLE DCT (SCRIP, GOTHIC)</t>
  </si>
  <si>
    <t>BB23040119</t>
  </si>
  <si>
    <t>HEAD TOP LOGO SCHECTER GOTHIC HORIZONTAL BLACK WITH SILVER SHADOW NO.123-3 -</t>
  </si>
  <si>
    <t>BB23020278</t>
  </si>
  <si>
    <t>PICKUP DIRECT MOUNT METAL BUSHING 3*8 -</t>
  </si>
  <si>
    <t>BB23020279</t>
  </si>
  <si>
    <t>ELECTRO OMEN ELITE 1V 1T SWL-5 (2502N) BK J2P -</t>
  </si>
  <si>
    <t>BB23030010</t>
  </si>
  <si>
    <t>ELECTRO C-678 LH 1V 1T SWT3 BK J2P  -</t>
  </si>
  <si>
    <t>BB23030011</t>
  </si>
  <si>
    <t>KNOB CKN-010 CLEAR GRIP TIP LH -</t>
  </si>
  <si>
    <t>BB23030053</t>
  </si>
  <si>
    <t>NUT GRAPHITE BK (40*6T) LH 4ST -</t>
  </si>
  <si>
    <t>BB23030089</t>
  </si>
  <si>
    <t>REGULAR GUITAR (PLAIN) P00512 -</t>
  </si>
  <si>
    <t>BB23030090</t>
  </si>
  <si>
    <t>NICKEL WOUND GUITAR P00562 -</t>
  </si>
  <si>
    <t>BB23030091</t>
  </si>
  <si>
    <t>NICKEL WOUND GUITAR P11380 -</t>
  </si>
  <si>
    <t>BB23030092</t>
  </si>
  <si>
    <t>PICKUP BRIDGE LOGO SCHECTER BK PTP8113 -</t>
  </si>
  <si>
    <t>BB23030093</t>
  </si>
  <si>
    <t>PICKUP NECK LOGO SCHECTER BK PTP8114 -</t>
  </si>
  <si>
    <t>BB23030098</t>
  </si>
  <si>
    <t>BRIDGE BA-3003 CR -</t>
  </si>
  <si>
    <t>BB23030101</t>
  </si>
  <si>
    <t>BRIDGE BB115 BK -</t>
  </si>
  <si>
    <t>BB23030118</t>
  </si>
  <si>
    <t>BT-1654-00 BLACK TUSQ XL 6 STRING BASS NUT 54 X 6 -</t>
  </si>
  <si>
    <t>BB23030141</t>
  </si>
  <si>
    <t>7 STRING MULTISCALE FIXED GUITAR BRIDGE 21 DEGREE 125 HEIGHT BLACK LEFT HANDED -</t>
  </si>
  <si>
    <t>BB23030142</t>
  </si>
  <si>
    <t>8 STRING MULTISCALE FIXED GUITAR BRIDGE 21 DEGREE 125 HEIGHT BLACK LEFT HANDED -</t>
  </si>
  <si>
    <t>BB23030149</t>
  </si>
  <si>
    <t>PICKUP NECK OMEN EXTREME BK PTP4081 -</t>
  </si>
  <si>
    <t>BB23030150</t>
  </si>
  <si>
    <t>PICKUP BRIDGE OMEN EXTREME LOGO SCHECTER BK PTP4082 -</t>
  </si>
  <si>
    <t>BB23030153</t>
  </si>
  <si>
    <t>ELECTRO ASSY OMEN ELITE PVS6504 -</t>
  </si>
  <si>
    <t>BB23040001</t>
  </si>
  <si>
    <t>HEAD MACHINE J-03M BK L4 R4 LOGO SCHECTER -</t>
  </si>
  <si>
    <t>BB23040053</t>
  </si>
  <si>
    <t>ELECTRO ASSY DEMON LH PVS6502-3 -</t>
  </si>
  <si>
    <t>BB23040055</t>
  </si>
  <si>
    <t>ELECTRO ASSY OMEN ELITE LH PVS6504-1 -</t>
  </si>
  <si>
    <t>BB23040107</t>
  </si>
  <si>
    <t>JOINT BUSHING HB007 GS -</t>
  </si>
  <si>
    <t>BB23040108</t>
  </si>
  <si>
    <t>JACK COVER HJ002 GS -</t>
  </si>
  <si>
    <t>BB23040109</t>
  </si>
  <si>
    <t>STRAP PIN HE011 GS -</t>
  </si>
  <si>
    <t>BB23040110</t>
  </si>
  <si>
    <t>BRIDGE BB116 GS -</t>
  </si>
  <si>
    <t>BB23040112</t>
  </si>
  <si>
    <t>BRIDGE BM007 BN -</t>
  </si>
  <si>
    <t>BB23020233</t>
  </si>
  <si>
    <t>SCHECTER DIAMOND SERIES (GOTHIC LARGE) WHITE WITH BLACK SHADOW -</t>
  </si>
  <si>
    <t>BB23050003</t>
  </si>
  <si>
    <t>PICKUP NECK HB105S/7ST LOGO BK -</t>
  </si>
  <si>
    <t>BB23050004</t>
  </si>
  <si>
    <t>PICKUP BRIDGE HB105S/7ST LOGO BK -</t>
  </si>
  <si>
    <t>BB23050005</t>
  </si>
  <si>
    <t>PICKUP NECK HB105S LOGO BK - 6ST</t>
  </si>
  <si>
    <t>BB23050006</t>
  </si>
  <si>
    <t>PICKUP BRIDGE HB105S LOGO BK - 6ST</t>
  </si>
  <si>
    <t>BB23050094</t>
  </si>
  <si>
    <t>KNOB PB-3/1 CR -</t>
  </si>
  <si>
    <t>BB23050099</t>
  </si>
  <si>
    <t>FRTS2000U FR SPECIAL HOT ROD SE BRG BK, R-2 LOCKING NUT (34MM) BLOCK (OMEL, DAMIEN)</t>
  </si>
  <si>
    <t>BB23050100</t>
  </si>
  <si>
    <t>FRTS2000UL FR SPECIAL HOT ROD SE BRG LEFTY BK, L-2 LOCKING NUT (34MM) BLOCK (OMEL,DAMIEN)</t>
  </si>
  <si>
    <t>BB24050039</t>
  </si>
  <si>
    <t>DECAL SERIAL NUMBER CRAFTER "SDFRH1001" until "SDFRH1400"</t>
  </si>
  <si>
    <t>BB23060018</t>
  </si>
  <si>
    <t>PICKUP RING MT10F-BLK (3-3)</t>
  </si>
  <si>
    <t>BB23060019</t>
  </si>
  <si>
    <t>PICKUP RING MT10R-BLK (5-5)</t>
  </si>
  <si>
    <t>BB23060020</t>
  </si>
  <si>
    <t>PICKUP RING MT20F-BLK (5-7)</t>
  </si>
  <si>
    <t>BB23060021</t>
  </si>
  <si>
    <t>PICKUP RING MT20R-BLK (7-9)</t>
  </si>
  <si>
    <t>BB23060022</t>
  </si>
  <si>
    <t>PICKUP RING MT75F-BLK (5-7 7ST)</t>
  </si>
  <si>
    <t>BB23060023</t>
  </si>
  <si>
    <t>PICKUP RING MT75R-BLK (7-9 7ST)</t>
  </si>
  <si>
    <t>BB23060076</t>
  </si>
  <si>
    <t>FRTS5000L FR SPECIAL SE BRG LEFT HD BLK NICKEL, WITH 41.3MM LOCKING NUTS, AND 37MM BLOCKS (OMEX)-LH</t>
  </si>
  <si>
    <t>BB23060066</t>
  </si>
  <si>
    <t>FRTS5000UL FR SPECIAL HOT ROD SE BRG LEFTY BLACK NICKEL (BN), L-2 LOCKING NUT, 37MM BLOCK (DEMON)</t>
  </si>
  <si>
    <t>BB23070004</t>
  </si>
  <si>
    <t>EQUALIZER 2-BAND EQ 1 VOLUME (16D-18B25K)1 BALANCE (16D-18MN250K C/C)1 TREBLE (16D-18B50K C/C) CR LH -</t>
  </si>
  <si>
    <t>BB23110023</t>
  </si>
  <si>
    <t>EQUALIZER 2-BAND EQ/25K VOLUME/MN250K BK</t>
  </si>
  <si>
    <t>BB23020021</t>
  </si>
  <si>
    <t>EQUALIZER 2-BAND EQ/1 VOLUME/MN250K GD -</t>
  </si>
  <si>
    <t>BB23040092</t>
  </si>
  <si>
    <t>EQUALIZER 2-BAND CR EQ/1 VOLUME (16D-18B25K)/1 BALANCE (16D-18MN250K C/C) 1 TREBLE (16D-18B50K C/C)</t>
  </si>
  <si>
    <t>BB23070010</t>
  </si>
  <si>
    <t>PICKUP NECK HB105S/8ST LOGO BK -</t>
  </si>
  <si>
    <t>BB23070011</t>
  </si>
  <si>
    <t>PICKUP BRIDGE HB105S/8ST LOGO BK -</t>
  </si>
  <si>
    <t>BB23070022</t>
  </si>
  <si>
    <t>BRIDGE BB015 GD -</t>
  </si>
  <si>
    <t>BB23070055</t>
  </si>
  <si>
    <t>BQL-4234-00 TUQ 42X3.4 ELECTRIC 6 STRING NUT WH (CRAFTER)-</t>
  </si>
  <si>
    <t>BB23070076</t>
  </si>
  <si>
    <t>NUT GRAPHITE WH 38*3.5T (4ST) -</t>
  </si>
  <si>
    <t>BB23070078</t>
  </si>
  <si>
    <t>NUT GRAPHITE WH 45*3.4T (5ST) -</t>
  </si>
  <si>
    <t>BB23070084</t>
  </si>
  <si>
    <t>EQUALIZER 3-BAND EQ ELECTRO JS (1V 1BALANCE 1MIND 1STACKED BASS/TREBLE) SET WITH 1 MINI TOGLE ACTIVE/PASSLVE JACK EG-3P</t>
  </si>
  <si>
    <t>BB23070087</t>
  </si>
  <si>
    <t>PTP1009-3 PICKUP NECK/BRIDGE SLX HAWK CREAM F/R -</t>
  </si>
  <si>
    <t>BB23070088</t>
  </si>
  <si>
    <t>PTP1012-3 PICKUP MIDDLE SLX HAWK CREAM M -</t>
  </si>
  <si>
    <t>BB23070090</t>
  </si>
  <si>
    <t>PTP2892 PICKUP BRIDGE SLX RAVEN BLK (BLACK) R -</t>
  </si>
  <si>
    <t>BB23070101</t>
  </si>
  <si>
    <t>PICKUP (ELECTRO) SLX RAVEN GD / PVS6506-1 -</t>
  </si>
  <si>
    <t>BB23070102</t>
  </si>
  <si>
    <t>PICKUP (ELECTRO) SLX-HAWK WH / PVS6507 -</t>
  </si>
  <si>
    <t>BB23070103</t>
  </si>
  <si>
    <t>PICKUP (ELECTRO) SLX-HAWK CRM / PVS6507-1 -</t>
  </si>
  <si>
    <t>BB23090018</t>
  </si>
  <si>
    <t>PICKUP HUMB OPEN HEXA BK SMOKE 6ST NECK APOCALIPSE (HERETIC-6) -</t>
  </si>
  <si>
    <t>BB23090019</t>
  </si>
  <si>
    <t>PICKUP HUMB OPEN HEXA BK SMOKE 6ST BRIDGE APOCALIPSE (HERETIC-6) -</t>
  </si>
  <si>
    <t>BB23090027</t>
  </si>
  <si>
    <t>BRIDGE BM009 CR -</t>
  </si>
  <si>
    <t>BB23090028</t>
  </si>
  <si>
    <t>KNOB PB-3/1 GS -</t>
  </si>
  <si>
    <t>BB23090030</t>
  </si>
  <si>
    <t>TS009 CR -</t>
  </si>
  <si>
    <t>BB23090043</t>
  </si>
  <si>
    <t>HEAD MACHINE JB-150-GDS L2 R3 SCHECTER -</t>
  </si>
  <si>
    <t>BB23100010</t>
  </si>
  <si>
    <t>NUT 41*6T BK -</t>
  </si>
  <si>
    <t>BB23100011</t>
  </si>
  <si>
    <t>BRIDGE BG-3007 CR -</t>
  </si>
  <si>
    <t>BB23100052</t>
  </si>
  <si>
    <t>NUT GRAPHITE WH NT-056 44*6T (6STRING) -</t>
  </si>
  <si>
    <t>BB23100053</t>
  </si>
  <si>
    <t>NUT NT-027 CREAM (maru)</t>
  </si>
  <si>
    <t>BB23100065</t>
  </si>
  <si>
    <t>SUPER LONG BASS P11280 (BASS) -</t>
  </si>
  <si>
    <t>BB25070120</t>
  </si>
  <si>
    <t>STRING RETAINERS HS032 BK</t>
  </si>
  <si>
    <t>BB23110014</t>
  </si>
  <si>
    <t>BB23110015</t>
  </si>
  <si>
    <t>HEAD MACHINE JB-150-GDS L3 R3 SCHECTER</t>
  </si>
  <si>
    <t>BB23110029</t>
  </si>
  <si>
    <t>JB-150 GDS L2R2 LOGO SCHECTER</t>
  </si>
  <si>
    <t>BB23120001</t>
  </si>
  <si>
    <t>GUITAR PARTS SET STRATO JS 6ST</t>
  </si>
  <si>
    <t>BB23120002</t>
  </si>
  <si>
    <t>GUITAR PARTS SET TELE</t>
  </si>
  <si>
    <t>BB23100064</t>
  </si>
  <si>
    <t>SUPER LONG BASS P11232</t>
  </si>
  <si>
    <t>BB23120007</t>
  </si>
  <si>
    <t>PICKUP SINGLE NECK Open WH 6ST</t>
  </si>
  <si>
    <t>BB23120008</t>
  </si>
  <si>
    <t>PICKUP SINGLE MIDDLE Open WH 6ST (BRIDGE)</t>
  </si>
  <si>
    <t>BB23120009</t>
  </si>
  <si>
    <t>PICKUP BRIDGE HUMBUCKER Open WH 6ST (HOMER)</t>
  </si>
  <si>
    <t>BB23120010</t>
  </si>
  <si>
    <t>ELECTRONIC ASSY ENIGMA - 5WAY, 1V, 1T (HOMER)</t>
  </si>
  <si>
    <t>BB23040067</t>
  </si>
  <si>
    <t>FRTSGR10 FR SGR SE TREMOLO SYSTEM CR, WITH 41.3MM LOCKING NUTS, STRING GUIDE BAR TYPE FR (BLOK 34MM) (C-6)</t>
  </si>
  <si>
    <t>BB23040084</t>
  </si>
  <si>
    <t>FRTSGR10 SE TREMOLO SYSTEM CR LEFTY HANDED WITH 41.3MM LOCKING NUTS STRING GUIDE BAR TYPE 34MM LH (C-6)</t>
  </si>
  <si>
    <t>BB23120011</t>
  </si>
  <si>
    <t>FRT02000 - FR 1000 SE ORIG STYLE BRG BLACK, WITH 42MM LOCKING NUTS, 37MM BLOCKS, STRING GUIDE BAR TYPE FR (HOMER)</t>
  </si>
  <si>
    <t>BB23120018</t>
  </si>
  <si>
    <t>7 STRING MULTISCALE FIXED GUITAR BRIDGE 26 DEGREE BK - 4MS07260B</t>
  </si>
  <si>
    <t>BB23030037</t>
  </si>
  <si>
    <t>EQUALIZER 2-BAND EQ BN LH 1 VOLUME (16D-18B500K)/1 BALANCE (16D-18MN250K C/C) 1 MID (16D-18B50K C/C) 1 TREBLE (16D-18B50K C/C)</t>
  </si>
  <si>
    <t>BB23120016</t>
  </si>
  <si>
    <t>PICKUP NECK Humbucker AL5 (Seymour Duncan Style)</t>
  </si>
  <si>
    <t>BB23120017</t>
  </si>
  <si>
    <t>PICKUP BRIDGE Humbucker AL5 (Seymour Duncan Style)</t>
  </si>
  <si>
    <t>BB23120020</t>
  </si>
  <si>
    <t>PICKUP SINGLE NECK Open IV 6ST</t>
  </si>
  <si>
    <t>BB23120021</t>
  </si>
  <si>
    <t>PICKUP SINGLE MIDDLE Open IV 6ST</t>
  </si>
  <si>
    <t>BB23120022</t>
  </si>
  <si>
    <t>PICKUP SINGLE BRIDGE Open IV 6ST</t>
  </si>
  <si>
    <t>BB23120023</t>
  </si>
  <si>
    <t>PICKUP SINGLE NECK Open BK 6ST</t>
  </si>
  <si>
    <t>BB23120024</t>
  </si>
  <si>
    <t>PICKUP SINGLE MIDDLE Open BK 6ST</t>
  </si>
  <si>
    <t>BB24060026</t>
  </si>
  <si>
    <t>PICKUP SINGLE BRIDGE Open BK 6ST</t>
  </si>
  <si>
    <t>BB23090003</t>
  </si>
  <si>
    <t>PICKUP SINGLE TELECASTER BK, ALNICO BRIDGE -</t>
  </si>
  <si>
    <t>BB23090045</t>
  </si>
  <si>
    <t>HEAD MACHINE J-05 CR L2 R2 -</t>
  </si>
  <si>
    <t>BB19091035</t>
  </si>
  <si>
    <t>JB-150-CR (L2.R2) -</t>
  </si>
  <si>
    <t>BB23090046</t>
  </si>
  <si>
    <t>HEAD MACHINE J-05 CR L4 R4 -</t>
  </si>
  <si>
    <t>BB24030005</t>
  </si>
  <si>
    <t>HEAD MACHINE J-05-CR R6 Crafter</t>
  </si>
  <si>
    <t>BB24030030</t>
  </si>
  <si>
    <t>STRING RETAINERS HS013 BK</t>
  </si>
  <si>
    <t>BB24030031</t>
  </si>
  <si>
    <t>KNOB PB-3 CR</t>
  </si>
  <si>
    <t>BB23090002</t>
  </si>
  <si>
    <t>PICKUP SINGLE TELECASTER CR, ALNICO NECK -</t>
  </si>
  <si>
    <t>BB24040025</t>
  </si>
  <si>
    <t>BRIDGE BM003 W/MB003 CS</t>
  </si>
  <si>
    <t>BB24040026</t>
  </si>
  <si>
    <t>STRING MOUNTING FERRULES HS014 CS</t>
  </si>
  <si>
    <t>BB20030028</t>
  </si>
  <si>
    <t>STRING MOUNTING FERRULES HS015 NS</t>
  </si>
  <si>
    <t>BB24050041</t>
  </si>
  <si>
    <t>PICKUP NECK FISHMAN HUMBUCKER 6ST ALNICO</t>
  </si>
  <si>
    <t>BB24050042</t>
  </si>
  <si>
    <t>PICKUP BRIDGE FISHMAN HUMBUCKER 6ST CERAMIC</t>
  </si>
  <si>
    <t>BB24060010</t>
  </si>
  <si>
    <t>JB-150 CR R4</t>
  </si>
  <si>
    <t>BB24060009</t>
  </si>
  <si>
    <t>HS503 GD</t>
  </si>
  <si>
    <t>BB24050040</t>
  </si>
  <si>
    <t>DECAL SERIAL NUMBER CRAFTER "SDFRI1001" until "SDFRI1200"</t>
  </si>
  <si>
    <t>BB24060022</t>
  </si>
  <si>
    <t>HE004 BK</t>
  </si>
  <si>
    <t>BB19091184</t>
  </si>
  <si>
    <t>JOINT BUSHING HB007 BN -</t>
  </si>
  <si>
    <t>BB19091190</t>
  </si>
  <si>
    <t>HB011 CR -</t>
  </si>
  <si>
    <t>BB19091193</t>
  </si>
  <si>
    <t>JACK PLATE HJ001 CR -</t>
  </si>
  <si>
    <t>BB19091199</t>
  </si>
  <si>
    <t>JACK PLATE HJ003 CR -</t>
  </si>
  <si>
    <t>BB19091200</t>
  </si>
  <si>
    <t>JACK PLATE DR-002 IV -</t>
  </si>
  <si>
    <t>BB19091203</t>
  </si>
  <si>
    <t>JACK PLATE DR-002 BK -</t>
  </si>
  <si>
    <t>BB19091204</t>
  </si>
  <si>
    <t>JACK PLATE HJ001 GD -</t>
  </si>
  <si>
    <t>BB19091207</t>
  </si>
  <si>
    <t>JACK PLATE HJ005 CR -</t>
  </si>
  <si>
    <t>BB19091209</t>
  </si>
  <si>
    <t>JACK PLATE HJ010 CR -</t>
  </si>
  <si>
    <t>BB19091212</t>
  </si>
  <si>
    <t>JACK PLATE HJ005 GD -</t>
  </si>
  <si>
    <t>BB19091216</t>
  </si>
  <si>
    <t>JACK PLATE HJ005 BK -</t>
  </si>
  <si>
    <t>BB19091219</t>
  </si>
  <si>
    <t>JACK PLATE HJ001 BK -</t>
  </si>
  <si>
    <t>BB19091221</t>
  </si>
  <si>
    <t>JACK PLATE HJ003 BK -</t>
  </si>
  <si>
    <t>BB19091234</t>
  </si>
  <si>
    <t>JACK PLATE HJ004 CR -</t>
  </si>
  <si>
    <t>BB19091236</t>
  </si>
  <si>
    <t>JACK COVER F-1003 CR -</t>
  </si>
  <si>
    <t>BB24040003</t>
  </si>
  <si>
    <t>JACK COVER F-1003 BK -</t>
  </si>
  <si>
    <t>BB19091237</t>
  </si>
  <si>
    <t>JACK COVER F-1008 CR -</t>
  </si>
  <si>
    <t>BB19091238</t>
  </si>
  <si>
    <t>JACK COVER F-1008 GD -</t>
  </si>
  <si>
    <t>BB19091239</t>
  </si>
  <si>
    <t>JACK PLATE HJ002 NS -</t>
  </si>
  <si>
    <t>BB19091250</t>
  </si>
  <si>
    <t>JACK HYT (JACK PHONE 3P) -</t>
  </si>
  <si>
    <t>BB19091256</t>
  </si>
  <si>
    <t>JOINT PLATE HN001 W/NO LOGO CR -</t>
  </si>
  <si>
    <t>BB19091282</t>
  </si>
  <si>
    <t>HN001 CR -MICHAEL KELLY- LOGO -</t>
  </si>
  <si>
    <t>BB23110002</t>
  </si>
  <si>
    <t>JOINT PLATE HN001 GD -</t>
  </si>
  <si>
    <t>BB19091262</t>
  </si>
  <si>
    <t>JOINT PLATE HN007 CR -</t>
  </si>
  <si>
    <t>BB23110003</t>
  </si>
  <si>
    <t>NECK PLATE HN007 GD</t>
  </si>
  <si>
    <t>BB19110031</t>
  </si>
  <si>
    <t>JOINT PLATE HN007 BK -HB- LOGO -</t>
  </si>
  <si>
    <t>BB19091264</t>
  </si>
  <si>
    <t>JOINT PLATE HN007 NI -</t>
  </si>
  <si>
    <t>BB19091277</t>
  </si>
  <si>
    <t>HN001 CR (LTD) LOGO -</t>
  </si>
  <si>
    <t>BB19091268</t>
  </si>
  <si>
    <t>HN001 BK W/NO LOGO -</t>
  </si>
  <si>
    <t>BB19091270</t>
  </si>
  <si>
    <t>HN006 (LTD) CR -</t>
  </si>
  <si>
    <t>BB19091271</t>
  </si>
  <si>
    <t>HN006 (LTD) BN -</t>
  </si>
  <si>
    <t>BB19091272</t>
  </si>
  <si>
    <t>HN006 (LTD) BK -</t>
  </si>
  <si>
    <t>BB19091297</t>
  </si>
  <si>
    <t>HN006 NI -</t>
  </si>
  <si>
    <t>BB19091284</t>
  </si>
  <si>
    <t>HN006 CR -MICHAEL KELLY- LOGO -</t>
  </si>
  <si>
    <t>BB19091285</t>
  </si>
  <si>
    <t>HN001 BK -MICHAEL KELLY- LOGO -</t>
  </si>
  <si>
    <t>BB19091253</t>
  </si>
  <si>
    <t>HN001 CR LOGO SWING -</t>
  </si>
  <si>
    <t>BB19091288</t>
  </si>
  <si>
    <t>HN001 CR LOGO TAGIMA -</t>
  </si>
  <si>
    <t>BB19091289</t>
  </si>
  <si>
    <t>NEXT JOINT PLATE R-2006 CR -</t>
  </si>
  <si>
    <t>BB19091299</t>
  </si>
  <si>
    <t>KNOB NB002 CR -</t>
  </si>
  <si>
    <t>BB19091302</t>
  </si>
  <si>
    <t>KNOB NB002 GD -</t>
  </si>
  <si>
    <t>BB19091305</t>
  </si>
  <si>
    <t>KNOB KN-002 (*1) GD -</t>
  </si>
  <si>
    <t>BB19091306</t>
  </si>
  <si>
    <t>KNOB KN-002 (*4) BK - V&amp;T</t>
  </si>
  <si>
    <t>BB19091307</t>
  </si>
  <si>
    <t>KNOB KN-009 (01) BK -</t>
  </si>
  <si>
    <t>BB19091308</t>
  </si>
  <si>
    <t>KNOB KN-009 (02) BK -</t>
  </si>
  <si>
    <t>BB19091309</t>
  </si>
  <si>
    <t>KNOB KN-001 BK -</t>
  </si>
  <si>
    <t>BB19091310</t>
  </si>
  <si>
    <t>KNOB KN-001 GD -</t>
  </si>
  <si>
    <t>BB19091329</t>
  </si>
  <si>
    <t>KNOB NC003 BK -</t>
  </si>
  <si>
    <t>BB22090035</t>
  </si>
  <si>
    <t>KNOB NC003 BN -</t>
  </si>
  <si>
    <t>BB19091322</t>
  </si>
  <si>
    <t>KNOB NB104 CR -</t>
  </si>
  <si>
    <t>BB19091325</t>
  </si>
  <si>
    <t>KNOB NB003 CR -</t>
  </si>
  <si>
    <t>BB19091326</t>
  </si>
  <si>
    <t>KNOB NB003 BN -</t>
  </si>
  <si>
    <t>BB19091327</t>
  </si>
  <si>
    <t>KNOB NB003 BK -</t>
  </si>
  <si>
    <t>BB19091320</t>
  </si>
  <si>
    <t>KNOB NC003 CR -</t>
  </si>
  <si>
    <t>BB19091334</t>
  </si>
  <si>
    <t>KNOB NB003 NI -</t>
  </si>
  <si>
    <t>BB19091338</t>
  </si>
  <si>
    <t>KNOB KN-007 (*3) GD (TONE) -</t>
  </si>
  <si>
    <t>BB19091340</t>
  </si>
  <si>
    <t>KNOB KN-007 (*7) GD (VOLUME) -</t>
  </si>
  <si>
    <t>BB19091342</t>
  </si>
  <si>
    <t>KNOB NS102 CR -</t>
  </si>
  <si>
    <t>BB19110042</t>
  </si>
  <si>
    <t>NS003 CR -</t>
  </si>
  <si>
    <t>BB20010012</t>
  </si>
  <si>
    <t>C-1007 CR</t>
  </si>
  <si>
    <t>BB19091345</t>
  </si>
  <si>
    <t>KNOB NS102 GD -</t>
  </si>
  <si>
    <t>BB19091348</t>
  </si>
  <si>
    <t>NB005 CR -</t>
  </si>
  <si>
    <t>BB19091349</t>
  </si>
  <si>
    <t>NS006 CR -</t>
  </si>
  <si>
    <t>BB19091353</t>
  </si>
  <si>
    <t>KNOB C-1003 NI -</t>
  </si>
  <si>
    <t>BB19091354</t>
  </si>
  <si>
    <t>KNOB C-1003 BK -</t>
  </si>
  <si>
    <t>BB19091356</t>
  </si>
  <si>
    <t>KNOB KN-002 *05 AM -</t>
  </si>
  <si>
    <t>BB19091362</t>
  </si>
  <si>
    <t>KN-017-02 BK -</t>
  </si>
  <si>
    <t>BB19091363</t>
  </si>
  <si>
    <t>KN-006-01 WH (ST KNOB) TONE -</t>
  </si>
  <si>
    <t>BB19091364</t>
  </si>
  <si>
    <t>KN-006-05 WH (ST KNOB) VOL -</t>
  </si>
  <si>
    <t>BB19091368</t>
  </si>
  <si>
    <t>NB004 (PUSH FIT) BK -</t>
  </si>
  <si>
    <t>BB19091321</t>
  </si>
  <si>
    <t>KNOB NC003 GD -</t>
  </si>
  <si>
    <t>BB19091373</t>
  </si>
  <si>
    <t>KN-006-02 BK (TONE) -</t>
  </si>
  <si>
    <t>BB19091376</t>
  </si>
  <si>
    <t>KNOB C-1013 CR -</t>
  </si>
  <si>
    <t>BB22120130</t>
  </si>
  <si>
    <t>KNOB PN-SIT BK</t>
  </si>
  <si>
    <t>BB22120129</t>
  </si>
  <si>
    <t>KNOB PN-SIV BK</t>
  </si>
  <si>
    <t>BB19091377</t>
  </si>
  <si>
    <t>KNOB C-2001-T WH -</t>
  </si>
  <si>
    <t>BB19091378</t>
  </si>
  <si>
    <t>KNOB C-2001-V WH -</t>
  </si>
  <si>
    <t>BB19091381</t>
  </si>
  <si>
    <t>KNOB C-2006 BK -</t>
  </si>
  <si>
    <t>BB19091384</t>
  </si>
  <si>
    <t>KNOB NB002 NS -</t>
  </si>
  <si>
    <t>BB19091386</t>
  </si>
  <si>
    <t>KNOB NB004 BS -</t>
  </si>
  <si>
    <t>BB19091421</t>
  </si>
  <si>
    <t>HEAD TOP LOGO, DESIGNED BY ESP BK (DECAL) -</t>
  </si>
  <si>
    <t>BB19091422</t>
  </si>
  <si>
    <t>HEAD TOP LOGO, DESIGNED BY ESP SILVER (DECAL) -</t>
  </si>
  <si>
    <t>BB19091424</t>
  </si>
  <si>
    <t>HEAD TOP LOGO, CE/ROHS/WEEE LOGO BLACK (DECAL) -</t>
  </si>
  <si>
    <t>BB19092943</t>
  </si>
  <si>
    <t>STRING BASS DADDARIO 4STR(045-105) -</t>
  </si>
  <si>
    <t>BB19093152</t>
  </si>
  <si>
    <t>OLYMPIA E/G -7 (010-059) -</t>
  </si>
  <si>
    <t>BB19093167</t>
  </si>
  <si>
    <t>STRING MOUNTING FERRULES HS028 CR -</t>
  </si>
  <si>
    <t>BB19093185</t>
  </si>
  <si>
    <t>STRING BUSHING [HS019] - CR PLATING -</t>
  </si>
  <si>
    <t>BB19093203</t>
  </si>
  <si>
    <t>SPRING HUMBUCKER -</t>
  </si>
  <si>
    <t>BB19093221</t>
  </si>
  <si>
    <t>STRAP PINE  HE007 CR -</t>
  </si>
  <si>
    <t>BB19093222</t>
  </si>
  <si>
    <t>STRAP PINE  HE007 BN -</t>
  </si>
  <si>
    <t>BB19093224</t>
  </si>
  <si>
    <t>STRAP PINE  HE007 GD -</t>
  </si>
  <si>
    <t>BB19093226</t>
  </si>
  <si>
    <t>STRAP PINE HE007 BK -</t>
  </si>
  <si>
    <t>BB19093231</t>
  </si>
  <si>
    <t>STRAP PINE HE012 BN -</t>
  </si>
  <si>
    <t>BB19093232</t>
  </si>
  <si>
    <t>STRAP PINE HE012 BK -</t>
  </si>
  <si>
    <t>BB19093233</t>
  </si>
  <si>
    <t>STRAP PINE HE012 CR -</t>
  </si>
  <si>
    <t>BB19093234</t>
  </si>
  <si>
    <t>STRAP PINE HE012 GD -</t>
  </si>
  <si>
    <t>BB19093237</t>
  </si>
  <si>
    <t>HE005 CR -</t>
  </si>
  <si>
    <t>BB19093248</t>
  </si>
  <si>
    <t>END PIN E-1001 BK -</t>
  </si>
  <si>
    <t>BB19093253</t>
  </si>
  <si>
    <t>HE007 - NI PLATING -</t>
  </si>
  <si>
    <t>BB19093257</t>
  </si>
  <si>
    <t>STRAP BUTTON HE005 BK -</t>
  </si>
  <si>
    <t>BB19093258</t>
  </si>
  <si>
    <t>STRAP BUTTON E-1009 CR -</t>
  </si>
  <si>
    <t>BB19093259</t>
  </si>
  <si>
    <t>STRAP BUTTON E-1009 GD -</t>
  </si>
  <si>
    <t>BB23030064</t>
  </si>
  <si>
    <t>STRAP BUTTON E-1005 CR -</t>
  </si>
  <si>
    <t>BB24040002</t>
  </si>
  <si>
    <t>STRAP BUTTON E-1005 BK -</t>
  </si>
  <si>
    <t>BB19093263</t>
  </si>
  <si>
    <t>STRAP PINE HE007 NS -</t>
  </si>
  <si>
    <t>BB20070011</t>
  </si>
  <si>
    <t>STRING RETAINERS HS008 BK -</t>
  </si>
  <si>
    <t>BB19093276</t>
  </si>
  <si>
    <t>STRING RETAINERS HS008 CR -</t>
  </si>
  <si>
    <t>BB19093288</t>
  </si>
  <si>
    <t>HS503 CR -</t>
  </si>
  <si>
    <t>BB19093289</t>
  </si>
  <si>
    <t>STRING GUIDE KB-1001 NI -</t>
  </si>
  <si>
    <t>BB19093290</t>
  </si>
  <si>
    <t>STRING GUIDE KB-1001 BK -</t>
  </si>
  <si>
    <t>BB19093296</t>
  </si>
  <si>
    <t>HS106 CR -</t>
  </si>
  <si>
    <t>BB19093297</t>
  </si>
  <si>
    <t>HS106 BK -</t>
  </si>
  <si>
    <t>BB19093299</t>
  </si>
  <si>
    <t>HS003 CR -</t>
  </si>
  <si>
    <t>BB19093303</t>
  </si>
  <si>
    <t>STRING RETAINER KB-1001 CR -</t>
  </si>
  <si>
    <t>BB19093304</t>
  </si>
  <si>
    <t>STRING RETAINER KB-1001 GD -</t>
  </si>
  <si>
    <t>BB19093310</t>
  </si>
  <si>
    <t>SELECTOR LEVER SWITCH 5-WAY</t>
  </si>
  <si>
    <t>BB19093355</t>
  </si>
  <si>
    <t>BRIDGE BS003 CR -</t>
  </si>
  <si>
    <t>BB19090031</t>
  </si>
  <si>
    <t>BRIDGE BS213 CR -</t>
  </si>
  <si>
    <t>BB19093358</t>
  </si>
  <si>
    <t>BRIDGE BS108 CR -</t>
  </si>
  <si>
    <t>BB19093360</t>
  </si>
  <si>
    <t>BRIDGE BB009 CR -</t>
  </si>
  <si>
    <t>BB19093370</t>
  </si>
  <si>
    <t>BRIDGE BM003 W/MB003 CR -</t>
  </si>
  <si>
    <t>BB19093392</t>
  </si>
  <si>
    <t>BRIDGE WV2CR TREMOLO WILKINSON 5B</t>
  </si>
  <si>
    <t>BB19093393</t>
  </si>
  <si>
    <t>BRIDGE BB405 CR -</t>
  </si>
  <si>
    <t>BB19093394</t>
  </si>
  <si>
    <t>BRIDGE BM022 W/MB003 CR -</t>
  </si>
  <si>
    <t>BB19093395</t>
  </si>
  <si>
    <t>BRIDGE BM022 W/MB003 GD -</t>
  </si>
  <si>
    <t>BB19093408</t>
  </si>
  <si>
    <t>BRIDGE BB104 GD -</t>
  </si>
  <si>
    <t>BB19093415</t>
  </si>
  <si>
    <t>BRIDGE BS202 CR (BLOCK SIZE 40MM) -</t>
  </si>
  <si>
    <t>BB19093418</t>
  </si>
  <si>
    <t>BRIDGE BN201 BN -</t>
  </si>
  <si>
    <t>BB19093423</t>
  </si>
  <si>
    <t>BRIDGE BB105 BK -</t>
  </si>
  <si>
    <t>BB19093426</t>
  </si>
  <si>
    <t>BRIDGE BM022 BN W/POST -</t>
  </si>
  <si>
    <t>BB19093427</t>
  </si>
  <si>
    <t>BRIDGE BM022 BK W/POS -</t>
  </si>
  <si>
    <t>BB19093434</t>
  </si>
  <si>
    <t>BRIDGE BN201 NI -</t>
  </si>
  <si>
    <t>BB19093442</t>
  </si>
  <si>
    <t>BRIDGE BM003 BK W/POST -</t>
  </si>
  <si>
    <t>BB19093514</t>
  </si>
  <si>
    <t>BRIDGE BM003 BK LH W/POST -</t>
  </si>
  <si>
    <t>BB19093443</t>
  </si>
  <si>
    <t>BRIDGE BM007 CR W/POST -</t>
  </si>
  <si>
    <t>BB19093444</t>
  </si>
  <si>
    <t>BRIDGE BM116 CR W/POST -</t>
  </si>
  <si>
    <t>BB19093455</t>
  </si>
  <si>
    <t>BRIDGE BB010 CR -</t>
  </si>
  <si>
    <t>BB19093460</t>
  </si>
  <si>
    <t>BT004 CR -</t>
  </si>
  <si>
    <t>BB19093465</t>
  </si>
  <si>
    <t>W-1004 BK/HEAD LESS -</t>
  </si>
  <si>
    <t>BB19093464</t>
  </si>
  <si>
    <t>W-1003 BK/HEAD LESS -</t>
  </si>
  <si>
    <t>BB19093475</t>
  </si>
  <si>
    <t>BRIDGE BT001 CR -</t>
  </si>
  <si>
    <t>BB19093481</t>
  </si>
  <si>
    <t>BRIDGE WILKINSON-50 II K NI (SWING LOGO) -</t>
  </si>
  <si>
    <t>BB19093488</t>
  </si>
  <si>
    <t>BN106 BK -</t>
  </si>
  <si>
    <t>BB19093493</t>
  </si>
  <si>
    <t>BB081 CR -</t>
  </si>
  <si>
    <t>BB19093511</t>
  </si>
  <si>
    <t>WILKINSON WVP2 CR -</t>
  </si>
  <si>
    <t>BB19093518</t>
  </si>
  <si>
    <t>BM007 W/MB003 BS -</t>
  </si>
  <si>
    <t>BB19093530</t>
  </si>
  <si>
    <t>BN106 BK (LH) -</t>
  </si>
  <si>
    <t>BB19093469</t>
  </si>
  <si>
    <t>BM003 W/MB003 CR LH -</t>
  </si>
  <si>
    <t>BB19093536</t>
  </si>
  <si>
    <t>BT004 BK -</t>
  </si>
  <si>
    <t>BB19093537</t>
  </si>
  <si>
    <t>BRIDGE BS184E CR -</t>
  </si>
  <si>
    <t>BB19093557</t>
  </si>
  <si>
    <t>BRIDGE BN101 BK -</t>
  </si>
  <si>
    <t>BB19093572</t>
  </si>
  <si>
    <t>BRIDGE VBT005 CR -</t>
  </si>
  <si>
    <t>BB19093574</t>
  </si>
  <si>
    <t>BRIDGE BG-1004-A GD -</t>
  </si>
  <si>
    <t>BB19093573</t>
  </si>
  <si>
    <t>BRIDGE BG-1004-A CR -</t>
  </si>
  <si>
    <t>BB19093575</t>
  </si>
  <si>
    <t>BRIDGE BG-2002-D CR -</t>
  </si>
  <si>
    <t>BB19093581</t>
  </si>
  <si>
    <t>BRIDGE WVS50IIK GD -</t>
  </si>
  <si>
    <t>BB19093582</t>
  </si>
  <si>
    <t>BRIDGE BN201 BK -</t>
  </si>
  <si>
    <t>BB19093588</t>
  </si>
  <si>
    <t>GUITAR BRIDGE BB008 CR -</t>
  </si>
  <si>
    <t>BB19093590</t>
  </si>
  <si>
    <t>BRIDGE BN201 CR -</t>
  </si>
  <si>
    <t>BB19093593</t>
  </si>
  <si>
    <t>BRIDGE WVS50IIK CR -</t>
  </si>
  <si>
    <t>BB19093595</t>
  </si>
  <si>
    <t>BRIDGE WVS50IIK NS -</t>
  </si>
  <si>
    <t>BB19093598</t>
  </si>
  <si>
    <t>TAIL PIECE HL3J CR -</t>
  </si>
  <si>
    <t>BB19093597</t>
  </si>
  <si>
    <t>TAIL PIECE TS001 W/TB001 CR -</t>
  </si>
  <si>
    <t>BB19093599</t>
  </si>
  <si>
    <t>TAIL PIECE TS001 W/TB001 GD -</t>
  </si>
  <si>
    <t>BB19093607</t>
  </si>
  <si>
    <t>TAIL PIECE TS001 GD -</t>
  </si>
  <si>
    <t>BB19093611</t>
  </si>
  <si>
    <t>TAIL PIECE TS001 BN W/POST -</t>
  </si>
  <si>
    <t>BB19093612</t>
  </si>
  <si>
    <t>TAIL PIECE TS001 BK W/POST -</t>
  </si>
  <si>
    <t>BB19093614</t>
  </si>
  <si>
    <t>TAIL PIECE TS001 W/TB001 NI -</t>
  </si>
  <si>
    <t>BB20010019</t>
  </si>
  <si>
    <t>KNOB C-2001-T MINT GREEN -</t>
  </si>
  <si>
    <t>BB20010020</t>
  </si>
  <si>
    <t>KNOB C-2001-V MINT GREEN -</t>
  </si>
  <si>
    <t>BB20010021</t>
  </si>
  <si>
    <t>JACK PLATE F-1004 CR -</t>
  </si>
  <si>
    <t>BB20020020</t>
  </si>
  <si>
    <t>STRAP BUTTON E-1001 CR -</t>
  </si>
  <si>
    <t>BB20020022</t>
  </si>
  <si>
    <t>JACK COVER F-1002 CR -</t>
  </si>
  <si>
    <t>BB20020025</t>
  </si>
  <si>
    <t>STRAP BUTON HE005 GD -</t>
  </si>
  <si>
    <t>BB20020031</t>
  </si>
  <si>
    <t>SPONGE W/SPRING 13T*20*40MM HITAM  -</t>
  </si>
  <si>
    <t>BB20020046</t>
  </si>
  <si>
    <t>JACK EG-3P STEREO -</t>
  </si>
  <si>
    <t>BB20050008</t>
  </si>
  <si>
    <t>KNOB NB001 CR -</t>
  </si>
  <si>
    <t>BB20050010</t>
  </si>
  <si>
    <t>KN-006 IVORY (TONE) -</t>
  </si>
  <si>
    <t>BB20050011</t>
  </si>
  <si>
    <t>KN-006-03 MINT GREEN (TONE) -</t>
  </si>
  <si>
    <t>BB20050012</t>
  </si>
  <si>
    <t>KN-006 IVORY (VOLUME) -</t>
  </si>
  <si>
    <t>BB22100069</t>
  </si>
  <si>
    <t>BRIDGE WILKINSON WBBC CR -</t>
  </si>
  <si>
    <t>BB20070009</t>
  </si>
  <si>
    <t>BRIDGE WTB CR -</t>
  </si>
  <si>
    <t>BB20070012</t>
  </si>
  <si>
    <t>KNOB KN-007-01 BK (TONE) -</t>
  </si>
  <si>
    <t>BB20070013</t>
  </si>
  <si>
    <t>KNOB KN-007-05 BK (VOLUME) -</t>
  </si>
  <si>
    <t>BB20080009</t>
  </si>
  <si>
    <t>BRIDGE BB015 CR -</t>
  </si>
  <si>
    <t>BB20090010</t>
  </si>
  <si>
    <t>HEAD MACHINE GB400 CR L4-R1 -</t>
  </si>
  <si>
    <t>BB23010054</t>
  </si>
  <si>
    <t>HEAD MACHINE GB813 C01 CR L4 R1 -</t>
  </si>
  <si>
    <t>BB23070095</t>
  </si>
  <si>
    <t>HEAD MACHINE GB809 CR L4R2 -</t>
  </si>
  <si>
    <t>BB23070096</t>
  </si>
  <si>
    <t>HEAD MACHINE GB813 CR L4R1 -</t>
  </si>
  <si>
    <t>BB20090057</t>
  </si>
  <si>
    <t>BRIDGE BM004 W/TB002 CR -</t>
  </si>
  <si>
    <t>BB20100002</t>
  </si>
  <si>
    <t>KNOB C-2007 BK -</t>
  </si>
  <si>
    <t>BB20110033</t>
  </si>
  <si>
    <t>BRIDGE BB404 CR -</t>
  </si>
  <si>
    <t>BB21010004</t>
  </si>
  <si>
    <t>HEAD MACHINE LCGH305 S.BK L7 -</t>
  </si>
  <si>
    <t>BB21010006</t>
  </si>
  <si>
    <t>HEAD MACHINE LCGH305 BK R6 -</t>
  </si>
  <si>
    <t>BB21020003</t>
  </si>
  <si>
    <t>GTR.BRIDGE HS9066 CR -</t>
  </si>
  <si>
    <t>BB21020014</t>
  </si>
  <si>
    <t>BRIDGE MB501 CR -</t>
  </si>
  <si>
    <t>BB21030010</t>
  </si>
  <si>
    <t>TUNOMATIC BRIDGE GE101 Z TGG GOLD -</t>
  </si>
  <si>
    <t>BB21060013</t>
  </si>
  <si>
    <t>BRIDGE BT005 NI -</t>
  </si>
  <si>
    <t>BB21060019</t>
  </si>
  <si>
    <t>KNOB KN-006 PARCHMENT C-2002-T (TONE) -</t>
  </si>
  <si>
    <t>BB21060020</t>
  </si>
  <si>
    <t>KNOB KN-006 PARCHMENT C-2002-V (VOLUME) -</t>
  </si>
  <si>
    <t>BB21070045</t>
  </si>
  <si>
    <t>STRING RETAINER HS106 NI -</t>
  </si>
  <si>
    <t>BB22010001</t>
  </si>
  <si>
    <t>STRING RETAINERS HS003 GD  -</t>
  </si>
  <si>
    <t>BB22020006</t>
  </si>
  <si>
    <t>WVS50IIK BK BRIDGE -</t>
  </si>
  <si>
    <t>BB22030004</t>
  </si>
  <si>
    <t>KNOB NB007 CR -</t>
  </si>
  <si>
    <t>BB22060003</t>
  </si>
  <si>
    <t>KNOB KN-005-01 WH (TONE) -</t>
  </si>
  <si>
    <t>BB22060004</t>
  </si>
  <si>
    <t>KNOB KN-005-05 WH (VOLUME) -</t>
  </si>
  <si>
    <t>BB22090018</t>
  </si>
  <si>
    <t>PICKUP NECK P-3002 GD -</t>
  </si>
  <si>
    <t>BB22090019</t>
  </si>
  <si>
    <t>PICKUP BRIDGE P-3002 GD -</t>
  </si>
  <si>
    <t>BB22090020</t>
  </si>
  <si>
    <t>PICKUP NECK P-3002 CR -</t>
  </si>
  <si>
    <t>BB22090021</t>
  </si>
  <si>
    <t>PICKUP BRIDGE P-3002 CR -</t>
  </si>
  <si>
    <t>BB19091372</t>
  </si>
  <si>
    <t>NC003 ONLY TOP HEAD - CR PLATING - (di PL NC001)</t>
  </si>
  <si>
    <t>BB22090081</t>
  </si>
  <si>
    <t>HEAD MACHINE M-1001 L3,R3 CR -</t>
  </si>
  <si>
    <t>BB22100018</t>
  </si>
  <si>
    <t>HEAD MACHINE MB-3101-R4 CR -</t>
  </si>
  <si>
    <t>BB22100090</t>
  </si>
  <si>
    <t>STR.RETAINER SSG-L-CR -</t>
  </si>
  <si>
    <t>BB22100091</t>
  </si>
  <si>
    <t>STR.RETAINER SSG-S-CR -</t>
  </si>
  <si>
    <t>BB22100092</t>
  </si>
  <si>
    <t>STR.RETAINER SSG-L-BK -</t>
  </si>
  <si>
    <t>BB22100093</t>
  </si>
  <si>
    <t>STR.RETAINER SSG-S-BK -</t>
  </si>
  <si>
    <t>BB22100094</t>
  </si>
  <si>
    <t>STR.RETAINER SSG-L-GD -</t>
  </si>
  <si>
    <t>BB22100095</t>
  </si>
  <si>
    <t>STR.RETAINER SSG-S-GD -</t>
  </si>
  <si>
    <t>BB22100105</t>
  </si>
  <si>
    <t>NUBONE 42MM ELECTRIC NUT (BC-5042-00) -</t>
  </si>
  <si>
    <t>BB23070024</t>
  </si>
  <si>
    <t>STRING GUIDE HS513 GD -</t>
  </si>
  <si>
    <t>BB22120004</t>
  </si>
  <si>
    <t>PB PU COVER BLK BT5 SP -</t>
  </si>
  <si>
    <t>BB22120005</t>
  </si>
  <si>
    <t>PB PU COVER JF10R CD BLK -</t>
  </si>
  <si>
    <t>BB22120006</t>
  </si>
  <si>
    <t>PB PU COVER JF10F CD BLK -</t>
  </si>
  <si>
    <t>BB22120057</t>
  </si>
  <si>
    <t>TAIL PIECE TS001/TB001 CR - (SAMPLE SLX)</t>
  </si>
  <si>
    <t>BB22120088</t>
  </si>
  <si>
    <t>PICKUP NECK P-2012 BK 6ST SHIELD 1P LH LOGO SCHECTER -</t>
  </si>
  <si>
    <t>BB22120089</t>
  </si>
  <si>
    <t>PICKUP BRIDGE P-2012 BK 6ST SHIELD 1P LH LOGO SCHECTER -</t>
  </si>
  <si>
    <t>BB22120090</t>
  </si>
  <si>
    <t>PICKUP NECK P-2010 BK 7ST SHIELD 1P LH LOGO SCHECTER -</t>
  </si>
  <si>
    <t>BB22120091</t>
  </si>
  <si>
    <t>PICKUP BRIDGE P-2011 BK 7ST SHIELD 1P LH LOGO SCHECTER -</t>
  </si>
  <si>
    <t>BB23010027</t>
  </si>
  <si>
    <t>BRIDGE BM007 LH BN -</t>
  </si>
  <si>
    <t>BB23010036</t>
  </si>
  <si>
    <t>OLYMPIA E/G - 8 STRING (009-080) -</t>
  </si>
  <si>
    <t>BB24040001</t>
  </si>
  <si>
    <t>NECK PLATE R-2003 CR LOGO CRAFTER</t>
  </si>
  <si>
    <t>BB19093532</t>
  </si>
  <si>
    <t>BM003 W/MB003 BN LH -</t>
  </si>
  <si>
    <t>BB23010105</t>
  </si>
  <si>
    <t>GTR.BRIDGE HS9077-MBK -</t>
  </si>
  <si>
    <t>BB23020012</t>
  </si>
  <si>
    <t>KNOB CKN-010 CLEAR GRIP TIP -</t>
  </si>
  <si>
    <t>BB23020023</t>
  </si>
  <si>
    <t>PICKUP HERETIC-5 BASS J BUCKER N -</t>
  </si>
  <si>
    <t>BB23020025</t>
  </si>
  <si>
    <t>PICKUP HERETIC-6 TREM BLACK SMOKE CLEAR -</t>
  </si>
  <si>
    <t>BB23020030</t>
  </si>
  <si>
    <t>PICKUP HERETIC-7 BRIDGE BLACK SMOKE CLEAR LH -</t>
  </si>
  <si>
    <t>BB23020035</t>
  </si>
  <si>
    <t>PICKUP HERETIC-6 NECK BLACK SMOKE CLEAR -</t>
  </si>
  <si>
    <t>BB23020209</t>
  </si>
  <si>
    <t>PICKUP BRIDGE HERETIC-7 TREM MULTISCALE LH -</t>
  </si>
  <si>
    <t>BB23020040</t>
  </si>
  <si>
    <t>PICKUP HERETIC-7 NECK BLACK SMOKE CLEAR LH -</t>
  </si>
  <si>
    <t>BB23020211</t>
  </si>
  <si>
    <t>PICKUP HERETIC-7 NECK MULTISCALE LH -</t>
  </si>
  <si>
    <t>BB23020044</t>
  </si>
  <si>
    <t>PICKUP NECK SOAPBAR 8ST BK LOGO SCHECTER -</t>
  </si>
  <si>
    <t>BB23020045</t>
  </si>
  <si>
    <t>PICKUP BRIDGE SOAPBAR 8ST BK LOGO SCHECTER -</t>
  </si>
  <si>
    <t>BB23020048</t>
  </si>
  <si>
    <t>PICKUP BRIDGE HUMBUCKER OPEN COIL BK 7 STRING WITH SCHECTER LOGO -</t>
  </si>
  <si>
    <t>BB23020049</t>
  </si>
  <si>
    <t>PICKUP BRIDGE HUMBUCKER OPEN COIL BK 6 STRING WITH SCHECTER LOGO -</t>
  </si>
  <si>
    <t>BB23020052</t>
  </si>
  <si>
    <t>PICKUP NECK HUMBUCKER OPEN COIL BK 7 STRING WITH SCHECTER LOGO -</t>
  </si>
  <si>
    <t>BB23020053</t>
  </si>
  <si>
    <t>PICKUP NECK HUMBUCKER OPEN COIL BK 6 STRING WITH SCHECTER LOGO -</t>
  </si>
  <si>
    <t>BB23020062</t>
  </si>
  <si>
    <t>PICKUP NECK OMEN EXTREME-6 HUMB OPEN COIL BK 6 STRING (SLUG-SLUG) SCHECTER LOGO GD 4P LH (POLE PIECE GD -</t>
  </si>
  <si>
    <t>BB23020065</t>
  </si>
  <si>
    <t>PICKUP BRIDGE OMEN EXTREME HUMBUCKER OPEN COIL BK 6 STRING (SLUG-SLUG) SCHECTER LOGO GD 4P LH (POLE PIE -</t>
  </si>
  <si>
    <t>BB23020061</t>
  </si>
  <si>
    <t>PICKUP NECK OMEN EXTREME-6 HUMB OPEN COIL BK 6 STRING (SLUG-SLUG) SCHECTER LOGO GD 4P (POLE PIECE GD -</t>
  </si>
  <si>
    <t>BB23020066</t>
  </si>
  <si>
    <t>PICKUP BRIDGE OMEN EXTREME HUMBUCKER OPEN COIL BK 6 STRING (SLUG-SLUG) SCHECTER LOGO GD 4P (POLE PIE -</t>
  </si>
  <si>
    <t>BB23020055</t>
  </si>
  <si>
    <t>PICKUP NECK C-8 HUMB OPEN COIL BK 8 STRING WITH LOGO SCHECTER -</t>
  </si>
  <si>
    <t>BB23020057</t>
  </si>
  <si>
    <t>PICKUP BRIDGE C-8 HUMBUCKER OPEN COIL BK 8 STRING WITH SCHECTER LOGO -</t>
  </si>
  <si>
    <t>BB23020138</t>
  </si>
  <si>
    <t>NICKEL WOUND GUITAR P00542 -</t>
  </si>
  <si>
    <t>BB23020171</t>
  </si>
  <si>
    <t>CE/ROHS/WEEE/UKCA LOGO BK NO.1 (LOGO LTD) -</t>
  </si>
  <si>
    <t>BB23020206</t>
  </si>
  <si>
    <t>PICKUP HERETIC-5 BASS J-BUCKER B -</t>
  </si>
  <si>
    <t>BB23020210</t>
  </si>
  <si>
    <t>PICKUP HERETIC-8 BRIDGE MULTISCALE LH -</t>
  </si>
  <si>
    <t>BB23020212</t>
  </si>
  <si>
    <t>PICKUP HERETIC-8 NECK MULTISCALE LH -</t>
  </si>
  <si>
    <t>BB23030096</t>
  </si>
  <si>
    <t>PICKUP NECK P-2010 BK 7ST SHIELD 1P LOGO SCHECTER -</t>
  </si>
  <si>
    <t>BB23030097</t>
  </si>
  <si>
    <t>PICKUP BRIDGE P-2011 BK 7ST SHIELD 1P LOGO SCHECTER -</t>
  </si>
  <si>
    <t>BB23030099</t>
  </si>
  <si>
    <t>PICKUP BRIDGE LOGO SCHECTER GD PTP8113-2 -</t>
  </si>
  <si>
    <t>BB23030100</t>
  </si>
  <si>
    <t>PICKUP NECK LOGO SCHECTER GD PTP8114-2 -</t>
  </si>
  <si>
    <t>BB23030102</t>
  </si>
  <si>
    <t>BRIDGE BM007/MB003 LH CR -</t>
  </si>
  <si>
    <t>BB23030109</t>
  </si>
  <si>
    <t>PICKUP NECK C-8 BK SCHECTER LOGO PTP4084 -</t>
  </si>
  <si>
    <t>BB23030110</t>
  </si>
  <si>
    <t>PICKUP BRIDGE C-8 BK SCHECTER LOGO PTP4085 -</t>
  </si>
  <si>
    <t>BB23030147</t>
  </si>
  <si>
    <t>HEAD MACHINE JB-150 BK L2 R3  LOGO SCHECTER -</t>
  </si>
  <si>
    <t>BB23030151</t>
  </si>
  <si>
    <t>PICKUP NECK OMEN EXTREME LH LOGO SCHECTER PTP8113-1 -</t>
  </si>
  <si>
    <t>BB23030152</t>
  </si>
  <si>
    <t>PICKUP BRIDGE OMEN EXTREME LH LOGO SCHECTER PTP8114-1 -</t>
  </si>
  <si>
    <t>BB23040003</t>
  </si>
  <si>
    <t>PICKUP NECK HERETIC-4 J BUCKER -</t>
  </si>
  <si>
    <t>BB23040004</t>
  </si>
  <si>
    <t>PICKUP BRIDGE HERETIC-4 J BUCKER -</t>
  </si>
  <si>
    <t>BB23040056</t>
  </si>
  <si>
    <t>PICKUP NECK LOGO SCHECTER GD LH PTP8113-3 -</t>
  </si>
  <si>
    <t>BB23040057</t>
  </si>
  <si>
    <t>PICKUP BRIDGE LOGO SCHECTER GD LH PTP8114-3 -</t>
  </si>
  <si>
    <t>BB23050001</t>
  </si>
  <si>
    <t>ELECTRO LTD-B 3BAND,IV,1 BALL,1 BASS, 1 MID,1 TRIB,J3P -</t>
  </si>
  <si>
    <t>BB23050002</t>
  </si>
  <si>
    <t>ELECTRO LTD-B LH 3BAND,IV,1 BALL,1 BASS, 1 MID,1 TRIB,J3P -</t>
  </si>
  <si>
    <t>BB23050061</t>
  </si>
  <si>
    <t>ELECTRO EC-256-BLK 3-WAY T/G OPEN GD W/CAP BK, 2V, 1T, 1J EG-2P -</t>
  </si>
  <si>
    <t>BB23050068</t>
  </si>
  <si>
    <t>ELECTRO EC-256-SW 3-WAY T/G OPEN BK W/CAP BK, 2V, 1T, 1J EG-2P -</t>
  </si>
  <si>
    <t>BB23050092</t>
  </si>
  <si>
    <t>PICKUP NECK P-2012 BK NO LOGO -</t>
  </si>
  <si>
    <t>BB23050093</t>
  </si>
  <si>
    <t>PICKUP BRIDGE P-2012 BK NO LOGO -</t>
  </si>
  <si>
    <t>BB23060035</t>
  </si>
  <si>
    <t>PICKUP NECK SOAPBAR 4ST NO LOGO PTP7104-6 LTD -</t>
  </si>
  <si>
    <t>BB23060036</t>
  </si>
  <si>
    <t>PICKUP BRIDGE SOAPBAR 4ST NO LOGO PTP7105-6 LTD -</t>
  </si>
  <si>
    <t>BB23060037</t>
  </si>
  <si>
    <t>PICKUP NECK SOAPBAR 5ST NO LOGO PTP7106-5 LTD -</t>
  </si>
  <si>
    <t>BB23060038</t>
  </si>
  <si>
    <t>PICKUP BRIDGE SOAPBAR 5ST NO LOGO PTP7107-5 LTD -</t>
  </si>
  <si>
    <t>BB23060062</t>
  </si>
  <si>
    <t>POTENSION B500K 24-18 MM CTS BRASS -</t>
  </si>
  <si>
    <t>BB23060063</t>
  </si>
  <si>
    <t>POTENSION PUSHPULL A500K 16-18 MM BRASS -</t>
  </si>
  <si>
    <t>BB23070025</t>
  </si>
  <si>
    <t>KNOB NC004 CR -</t>
  </si>
  <si>
    <t>BB23070026</t>
  </si>
  <si>
    <t>KNOB NC004 GD -</t>
  </si>
  <si>
    <t>BB23070028</t>
  </si>
  <si>
    <t>KNOB NS004 CR -</t>
  </si>
  <si>
    <t>BB23070029</t>
  </si>
  <si>
    <t>KNOB NS004 GD -</t>
  </si>
  <si>
    <t>BB23080027</t>
  </si>
  <si>
    <t>PICKUP  EMG-40HZ BLACK OEM</t>
  </si>
  <si>
    <t>BB23100062</t>
  </si>
  <si>
    <t>PICKUP NECK EMG-45HZ BLACK OEM</t>
  </si>
  <si>
    <t>BB23080051</t>
  </si>
  <si>
    <t>ELECTRIC 1V, 1T CTS BRASS, SWL3 BLADE-BAREL BK J2P (LA CLASSIC) -</t>
  </si>
  <si>
    <t>BB23080052</t>
  </si>
  <si>
    <t>ELECTRIC 1V, 1T CTS BRASS, SWL5 BLADE-BAREL BK J2P (LA FLYCASTER) -</t>
  </si>
  <si>
    <t>BB23080053</t>
  </si>
  <si>
    <t>ELECTRIC 1V, 2T CTS BRASS, SWL5 BLADE-BK J2P (LA PURE BK) -</t>
  </si>
  <si>
    <t>BB23080054</t>
  </si>
  <si>
    <t>ELECTRIC 1V, 2T CTS BRASS, SWL5 BLADE-MINTGREEN J2P (LA NEBULA) -</t>
  </si>
  <si>
    <t>BB23080055</t>
  </si>
  <si>
    <t>ELECTRIC 1V, 2T CTS BRASS, SWL5 BLADE-AGEDWHITE J2P (LA METALIC) -</t>
  </si>
  <si>
    <t>BB23080056</t>
  </si>
  <si>
    <t>ELECTRIC 1V, 2T CTS BRASS, SWL5 BLADE-WH J2P (LA MODERN SILVER) -</t>
  </si>
  <si>
    <t>BB23080064</t>
  </si>
  <si>
    <t>PICKUP MOZER HUMB LP OPEN CR FIBER HEXA BK 12P-B HYPERION -</t>
  </si>
  <si>
    <t>BB23090007</t>
  </si>
  <si>
    <t>KNOB NB051 BK -</t>
  </si>
  <si>
    <t>BB23090008</t>
  </si>
  <si>
    <t>KNOB NB051 CR -</t>
  </si>
  <si>
    <t>BB23090031</t>
  </si>
  <si>
    <t>TS108 CR -</t>
  </si>
  <si>
    <t>BB23090036</t>
  </si>
  <si>
    <t>ELECTRO BTS V7 CONTROL OEM HW (STILETTO CUSTOM)</t>
  </si>
  <si>
    <t>BB23090048</t>
  </si>
  <si>
    <t>BB115 GS</t>
  </si>
  <si>
    <t>BB23100001</t>
  </si>
  <si>
    <t>PICKUP SOAPBAR BASS 12 ST BK NECK 39MM -</t>
  </si>
  <si>
    <t>BB23100002</t>
  </si>
  <si>
    <t>PICKUP SOAPBAR BASS 12 ST BK BRIDGE 39MM -</t>
  </si>
  <si>
    <t>BB23100003</t>
  </si>
  <si>
    <t>PICKUP SOAPBAR BASS 8 ST BK NECK 39MM -</t>
  </si>
  <si>
    <t>BB23100004</t>
  </si>
  <si>
    <t>PICKUP SOAPBAR BASS 8 ST BK BRIDGE 39MM -</t>
  </si>
  <si>
    <t>BB23100005</t>
  </si>
  <si>
    <t>ELECTRO WATERSTONE TP 2V, 2T, SWT-3 BK-NI, CJST CR</t>
  </si>
  <si>
    <t>BB23100006</t>
  </si>
  <si>
    <t>ELECTRO WATERSTONE B2 SHB 1V, 1T, 12P -</t>
  </si>
  <si>
    <t>BB23100013</t>
  </si>
  <si>
    <t>PICKUP BRIDGE HUMBUCKER OPEN BK FERRITE P-2002 -</t>
  </si>
  <si>
    <t>BB23100012</t>
  </si>
  <si>
    <t>PICKUP NECK HUMBUCKER OPEN BK FERRITE P-2002 -</t>
  </si>
  <si>
    <t>BB23100017</t>
  </si>
  <si>
    <t>PICKUP PB OPEN BK 2ST (9.5) WATERSTONE -</t>
  </si>
  <si>
    <t>BB24050022</t>
  </si>
  <si>
    <t>ELECTRIC 2V, 2T, J2P WATERSTONE V8 -</t>
  </si>
  <si>
    <t>BB23100023</t>
  </si>
  <si>
    <t>ELECTRIC 2V, 2T, J2P HW BK WATERSTONE SB 4 -</t>
  </si>
  <si>
    <t>BB23100024</t>
  </si>
  <si>
    <t>ELECTRIC 2V, 2T, J2P HW CR WATERSTONE SB 5 -</t>
  </si>
  <si>
    <t>BB23100025</t>
  </si>
  <si>
    <t>ELECTRIC 2V,2T, SWT3, IV, NI, J2P WATERSTONE MG 6 -</t>
  </si>
  <si>
    <t>BB23100027</t>
  </si>
  <si>
    <t>HEADMECHINE LCGH305 D04 BK L3R3 MOZER -</t>
  </si>
  <si>
    <t>BB23100028</t>
  </si>
  <si>
    <t>HEADMECHINE LCGH305 D04 CR L6 MOZER -</t>
  </si>
  <si>
    <t>BB23100029</t>
  </si>
  <si>
    <t>HEADMECHINE LCGH305 D04 BK L6 MOZER -</t>
  </si>
  <si>
    <t>BB23100055</t>
  </si>
  <si>
    <t>POTENSIO BL MN250K 16 -</t>
  </si>
  <si>
    <t>BB24030004</t>
  </si>
  <si>
    <t>NUT WASHER</t>
  </si>
  <si>
    <t>BB23100056</t>
  </si>
  <si>
    <t>PICKUP NECK SOAPBAR 4ST BK FERRITE WATERSTONE -</t>
  </si>
  <si>
    <t>BB23100057</t>
  </si>
  <si>
    <t>PICKUP BRIDGE SOAPBAR 4ST BK FERRITE WATERSTONE -</t>
  </si>
  <si>
    <t>BB23100058</t>
  </si>
  <si>
    <t>PICKUP NECK SOAPBAR 5ST BK FERRITE WATERSTONE -</t>
  </si>
  <si>
    <t>BB23100059</t>
  </si>
  <si>
    <t>PICKUP BRIDGE SOAPBAR 5ST BK FERRITE WATERSTONE -</t>
  </si>
  <si>
    <t>BB23100060</t>
  </si>
  <si>
    <t>PICKUP NECK P-90 NECK CREAME ALNICO V WATERSTONE -</t>
  </si>
  <si>
    <t>BB23100061</t>
  </si>
  <si>
    <t>PICKUP BRIDGE P-90 BRIDGE CREAME ALNICO V WATERSTONE -</t>
  </si>
  <si>
    <t>BB23100077</t>
  </si>
  <si>
    <t>STRING DADDARIO EXL 170-12 SET BASS XL 45-100 LONG 12STR -</t>
  </si>
  <si>
    <t>BB23100078</t>
  </si>
  <si>
    <t>STRING DADDARIO EXL 170-8 SET BASS XL 45-100 LONG 8STR -</t>
  </si>
  <si>
    <t>BB23110013</t>
  </si>
  <si>
    <t>HIPSHOT 8 STRING FIXED GUITAR BRIDGE .125" FLOOR HEIGHT BLACK - 41080B</t>
  </si>
  <si>
    <t>BB23110021</t>
  </si>
  <si>
    <t>LCGH305-D04 (R6) CR</t>
  </si>
  <si>
    <t>BB23110022</t>
  </si>
  <si>
    <t>LCGH305-D04 (R6) BK</t>
  </si>
  <si>
    <t>BB23110030</t>
  </si>
  <si>
    <t>BRIDGE BB114 GS</t>
  </si>
  <si>
    <t>BB23110031</t>
  </si>
  <si>
    <t>BRIDGE BB114 GS (LH)</t>
  </si>
  <si>
    <t>BB23110037</t>
  </si>
  <si>
    <t>JACK EG-3P STEREO GD</t>
  </si>
  <si>
    <t>BB23110039</t>
  </si>
  <si>
    <t>ELECTRIC GUITAR ACCESSORIES SET</t>
  </si>
  <si>
    <t>BB23110040</t>
  </si>
  <si>
    <t>PICKUP BRIDGE FLUENCE MODERN 3, 8 STRING, SOAPBAR, CERAMIC, BK</t>
  </si>
  <si>
    <t>BB23110041</t>
  </si>
  <si>
    <t>STRING MOUNTING FERRULES HS015 BS</t>
  </si>
  <si>
    <t>BB23110042</t>
  </si>
  <si>
    <t>STRAP BUTTON HE009 BS</t>
  </si>
  <si>
    <t>BB23110043</t>
  </si>
  <si>
    <t>KNOB PB-3/1 BS</t>
  </si>
  <si>
    <t>BB23110044</t>
  </si>
  <si>
    <t>JACK PLATE HJ002 BS</t>
  </si>
  <si>
    <t>BB23110045</t>
  </si>
  <si>
    <t>HEAD MACHINE CLASSIC CLOSED BKS (TREBLE SIDE) 6EN0BT-21</t>
  </si>
  <si>
    <t>BB23110046</t>
  </si>
  <si>
    <t>HEAD MACHINE CLASSIC CLOSED BKS 6EN0B-21</t>
  </si>
  <si>
    <t>BB23110047</t>
  </si>
  <si>
    <t>HEAD MACHINE GRIP-LOCK TM OPEN BKS (TREBLE SIDE) 6GL0BT-21</t>
  </si>
  <si>
    <t>BB23110048</t>
  </si>
  <si>
    <t>HEAD MACHINE GRIP-LOCK TM OPEN BKS 6GL0B-21</t>
  </si>
  <si>
    <t>BB23110050</t>
  </si>
  <si>
    <t>Pickup Bass 5st PK-3002 Cream WATERSTONE</t>
  </si>
  <si>
    <t>BB23090005</t>
  </si>
  <si>
    <t>PICKUP EMG-35HZ BLACK OEM</t>
  </si>
  <si>
    <t>BB23110028</t>
  </si>
  <si>
    <t>Decal Serial GD "RO23120001" until "RO23120400"</t>
  </si>
  <si>
    <t>BB24020015</t>
  </si>
  <si>
    <t>BRIDGE BN108 CR</t>
  </si>
  <si>
    <t>BB24020016</t>
  </si>
  <si>
    <t>BRIDGE BN108 CR LH -</t>
  </si>
  <si>
    <t>BB23120006</t>
  </si>
  <si>
    <t>GUITAR PARTS SET SCHECTER SULLIVAN</t>
  </si>
  <si>
    <t>BB23120004</t>
  </si>
  <si>
    <t>KNOB C-2001-V Cream</t>
  </si>
  <si>
    <t>BB23120005</t>
  </si>
  <si>
    <t>KNOB C-2001-T Cream</t>
  </si>
  <si>
    <t>BB23120003</t>
  </si>
  <si>
    <t>NEXT JOINT PLATE R-2006 GD</t>
  </si>
  <si>
    <t>BB23120019</t>
  </si>
  <si>
    <t>8 STRING MULTISCALE FIXED GUITAR BRIDGE 26 DEGREE BK - 4MS08260B</t>
  </si>
  <si>
    <t>BB23120036</t>
  </si>
  <si>
    <t>GUITAR PARTS SET JB 4ST</t>
  </si>
  <si>
    <t>BB23120037</t>
  </si>
  <si>
    <t>GUITAR PARTS SET JB 5ST</t>
  </si>
  <si>
    <t>BB24010001</t>
  </si>
  <si>
    <t>BT005 GD</t>
  </si>
  <si>
    <t>BB22100113</t>
  </si>
  <si>
    <t>BRIDGE BS184 BK</t>
  </si>
  <si>
    <t>BB23090010</t>
  </si>
  <si>
    <t>BRIDGE BS184 CR SADDLE STEEL</t>
  </si>
  <si>
    <t>BB23090011</t>
  </si>
  <si>
    <t>BRIDGE BS184 GD SADDLE STEEL -</t>
  </si>
  <si>
    <t>BB23070013</t>
  </si>
  <si>
    <t>HEAD MACHINE J-07 CR R6 -</t>
  </si>
  <si>
    <t>BB24010002</t>
  </si>
  <si>
    <t>HEAD MACHINE J-07 CR L2R4</t>
  </si>
  <si>
    <t>BB24010003</t>
  </si>
  <si>
    <t>HEAD MACHINE J-07 BK L2R4</t>
  </si>
  <si>
    <t>BB24030006</t>
  </si>
  <si>
    <t>HEAD MACHINE J-55 CR R6 Crafter [S.P L.K] (18,19,20)</t>
  </si>
  <si>
    <t>BB24030007</t>
  </si>
  <si>
    <t>HEAD MACHINE J-55 BK R6 Crafter [S.P L.K] (18,19,20)</t>
  </si>
  <si>
    <t>BB23030071</t>
  </si>
  <si>
    <t>HEAD MACHINE J-55 CR R6 (S.P.L.K) -</t>
  </si>
  <si>
    <t>BB24010004</t>
  </si>
  <si>
    <t>HEAD MACHINE J-55 CR R6 (S.P.L.K) LOGO JS</t>
  </si>
  <si>
    <t>BB22110013</t>
  </si>
  <si>
    <t>HEAD MACHINE JN-07 R6 BK (S,P L,K) FTS (4S,2M ) -</t>
  </si>
  <si>
    <t>BB22110015</t>
  </si>
  <si>
    <t>HEAD MACHINE JN-07 R6 GD (S,P L,K) FTS (4S,2M) -</t>
  </si>
  <si>
    <t>BB24010005</t>
  </si>
  <si>
    <t>HEAD MACHINE JN-07 CR R6 [S.P L.K] [FTS] (2S2M2L) LOGO JS</t>
  </si>
  <si>
    <t>BB24010006</t>
  </si>
  <si>
    <t>HEAD MACHINE JN-07 GD R6 [S.P L.K] [FTS] (2S2M2L) LOGO JS</t>
  </si>
  <si>
    <t>BB19091034</t>
  </si>
  <si>
    <t>HEAD MACHINE M-1001 (M-1009-B1) 6L CR -</t>
  </si>
  <si>
    <t>BB23120015</t>
  </si>
  <si>
    <t>ELECTRONIC ASSY DELTA 3-WAY 1V,1T BK J2P</t>
  </si>
  <si>
    <t>BB23090001</t>
  </si>
  <si>
    <t>PICKUP SINGLE TELECASTER GD, ALNICO NECK -</t>
  </si>
  <si>
    <t>BB23120025</t>
  </si>
  <si>
    <t>PICKUP MINI HUMB LP GD, ALNICO BRIDGE</t>
  </si>
  <si>
    <t>BB23120026</t>
  </si>
  <si>
    <t>ELECTRONIC ASSY DELTA 5-WAY 1V,2T IV</t>
  </si>
  <si>
    <t>BB23120027</t>
  </si>
  <si>
    <t>ELECTRONIC ASSY JS JOZZH 3-WAY (KNOB BK), 1V,1T BRASS SHAFT</t>
  </si>
  <si>
    <t>BB23120031</t>
  </si>
  <si>
    <t>ELECTRONIC ASSY JS TL PREM 3-WAY L/S (KNOB BK BARREL TYPE), 1V, 1T BRASS SHAFT</t>
  </si>
  <si>
    <t>BB23070072</t>
  </si>
  <si>
    <t>ELECTRONIC ASSY JS ST2 5-WAY L/S (KNOB BK), 1V, 2T</t>
  </si>
  <si>
    <t>BB23120028</t>
  </si>
  <si>
    <t>ELECTRONIC ASSY JS ST PREM 5-WAY (KNOB IV), 1V,2T BRASS SHAFT</t>
  </si>
  <si>
    <t>BB24010015</t>
  </si>
  <si>
    <t>PICKUP DOUBLE COIL 5 ST FERITE BN 4P NECK M 9.5</t>
  </si>
  <si>
    <t>BB24010016</t>
  </si>
  <si>
    <t>PICKUP DOUBLE COIL 5 ST FERITE BN 4P BRIDGE M 9.5</t>
  </si>
  <si>
    <t>BB24010017</t>
  </si>
  <si>
    <t>EQUALIZER M5 1 M/V P/P, 1 MID, 1 TRE, 1 BASS, 1 BALL, 1 JACK HYT</t>
  </si>
  <si>
    <t>BB24020008</t>
  </si>
  <si>
    <t>DECAL SERIAL NUMBER GD SCHECTER (RO24040001-R024041200)</t>
  </si>
  <si>
    <t>BB24030015</t>
  </si>
  <si>
    <t>BRIDGE FR CRAFTER TREMOLO SYSTEM BLACK, WITH R-2 LOCKING NUTS, AND 34MM BLOCKS</t>
  </si>
  <si>
    <t>BB24030028</t>
  </si>
  <si>
    <t>BRIDGE FR CRAFTER TREMOLO SYSTEM BN, WITH R-2 LOCKING NUTS, AND 34MM BLOCK</t>
  </si>
  <si>
    <t>BB24030021</t>
  </si>
  <si>
    <t>BRIDGE Wilkinson WOV06-CR Alloy Saddle (Charlotte)</t>
  </si>
  <si>
    <t>BB24030022</t>
  </si>
  <si>
    <t>BRIDGE Wilkinson WOV06-CR Brass (Crema)</t>
  </si>
  <si>
    <t>BB24030023</t>
  </si>
  <si>
    <t>BRIDGE Wilkinson WOV06-CR Gloss Chrome (Modern Soul)</t>
  </si>
  <si>
    <t>BB24030024</t>
  </si>
  <si>
    <t>BRIDGE Tele Wilkinson WOT01-CR (Saddle Brass 3EA-screw 8mm) (Modern Soul)</t>
  </si>
  <si>
    <t>BB24030026</t>
  </si>
  <si>
    <t>BRIDGE TELE WILKINSON WOT01T-CR (IRON SADDLE 3EA-SCREW 8MM) (Charlotte)</t>
  </si>
  <si>
    <t>BB24030025</t>
  </si>
  <si>
    <t>BRIDGE Tele Wilkinson WOT02-CR (Saddle Brass-screw 8mm) (Crema)</t>
  </si>
  <si>
    <t>BB23110005</t>
  </si>
  <si>
    <t>BRIDGE BM025 CR</t>
  </si>
  <si>
    <t>BB24020010</t>
  </si>
  <si>
    <t>BRIDGE BM025 GD</t>
  </si>
  <si>
    <t>BB23100076</t>
  </si>
  <si>
    <t>BRIDGE WATERSTONE BIGSBY TREMOLOS B70 CR</t>
  </si>
  <si>
    <t>BB24020009</t>
  </si>
  <si>
    <t>BRIDGE WATERSTONE BIGSBY TREMOLOS B70 GD</t>
  </si>
  <si>
    <t>BB24030008</t>
  </si>
  <si>
    <t>BRIDGE HT9066-MBK</t>
  </si>
  <si>
    <t>BB24030009</t>
  </si>
  <si>
    <t>BRIDGE HT9077-MBK</t>
  </si>
  <si>
    <t>BB24030010</t>
  </si>
  <si>
    <t>KNOB TC72-VOLUME</t>
  </si>
  <si>
    <t>BB24030011</t>
  </si>
  <si>
    <t>KNOB TC72-TONE</t>
  </si>
  <si>
    <t>BB23110016</t>
  </si>
  <si>
    <t>HEAD MACHINE J-03M CR L3 R3 WATERSTONE</t>
  </si>
  <si>
    <t>BB24020011</t>
  </si>
  <si>
    <t>HEAD MACHINE J-03M GD L3 R3 WATERSTONE</t>
  </si>
  <si>
    <t>BB19090835</t>
  </si>
  <si>
    <t>HEAD MACHINE JBL-200 4R CR -</t>
  </si>
  <si>
    <t>BB23070015</t>
  </si>
  <si>
    <t>HEAD MACHINE JBL-200 GD R4 -</t>
  </si>
  <si>
    <t>BB23070016</t>
  </si>
  <si>
    <t>HEAD MACHINE JBL-200 GD R4 L1 -</t>
  </si>
  <si>
    <t>BB23090047</t>
  </si>
  <si>
    <t>HEAD MACHINE JBL-200 BK L1 R1 -</t>
  </si>
  <si>
    <t>BB23110017</t>
  </si>
  <si>
    <t>HEAD MACHINE JBL-200 R4 BK WATERSTONE</t>
  </si>
  <si>
    <t>BB23110018</t>
  </si>
  <si>
    <t>HEAD MACHINE JBL-200 R4 L1 CR WATERSTONE</t>
  </si>
  <si>
    <t>BB24030013</t>
  </si>
  <si>
    <t>POSITION INLAY ALUMINIUM CIRCLE (CINCIN)</t>
  </si>
  <si>
    <t>BB24030032</t>
  </si>
  <si>
    <t>CONTROL PLATE HC011 CR (Cooper Steel Plate)</t>
  </si>
  <si>
    <t>BB24030016</t>
  </si>
  <si>
    <t>PICKUP EMG 85 BLACK OEM</t>
  </si>
  <si>
    <t>BB24030017</t>
  </si>
  <si>
    <t>PICKUP EMG 81 BLACK OEM</t>
  </si>
  <si>
    <t>BB24030018</t>
  </si>
  <si>
    <t>POTENSIO A25K POTS</t>
  </si>
  <si>
    <t>BB24030019</t>
  </si>
  <si>
    <t>OUTPUT JACK 12B EMG &amp; (HYT 9 PIN)</t>
  </si>
  <si>
    <t>BB24030020</t>
  </si>
  <si>
    <t>CAPACITOR Poly Radial - .1uf 100V</t>
  </si>
  <si>
    <t>BB24040017</t>
  </si>
  <si>
    <t>Hipshot 6 String Fixed Guitar Bridge BK Matte</t>
  </si>
  <si>
    <t>BB24040011</t>
  </si>
  <si>
    <t>ELECTRO C-1 1V, 1T, SWT-3 BK, J3P</t>
  </si>
  <si>
    <t>BB24040012</t>
  </si>
  <si>
    <t>ELECTRO SUNSET-1 EXTREME 1V, CTS SWL5 2502N BK, J2P</t>
  </si>
  <si>
    <t>BB24040013</t>
  </si>
  <si>
    <t>ELECTRO SUNSET-1 EXTREME LH 1V, CTS SWL5 2502N BK, J2P</t>
  </si>
  <si>
    <t>BB24040014</t>
  </si>
  <si>
    <t>ELECTRO SUNSET-2 TRIAD 1V, CTS SWL5 BLADE BK 20P, J2P</t>
  </si>
  <si>
    <t>BB24040015</t>
  </si>
  <si>
    <t>ELECTRO SUNSET-2 TRIAD LH 1V, CTS SWL5 BLADE BK 20P, J2P</t>
  </si>
  <si>
    <t>BB24040016</t>
  </si>
  <si>
    <t>ELECTRO PT EX 1V, CTS SWL5 2502N BK, J2P</t>
  </si>
  <si>
    <t>BB24040023</t>
  </si>
  <si>
    <t>HEAD MACHINE GROVER GH102 L3,R3 CS</t>
  </si>
  <si>
    <t>BB23010094</t>
  </si>
  <si>
    <t>NECK PLATE HNS101 GD LOGO SCHECTER -</t>
  </si>
  <si>
    <t>BB24040027</t>
  </si>
  <si>
    <t>STRING MOUNTING FERRULES HS015 CS</t>
  </si>
  <si>
    <t>BB24040028</t>
  </si>
  <si>
    <t>HE011 CS</t>
  </si>
  <si>
    <t>BB24040029</t>
  </si>
  <si>
    <t>KNOB PB-3/1 CS</t>
  </si>
  <si>
    <t>BB24040030</t>
  </si>
  <si>
    <t>JACK COVER HJ002 CS</t>
  </si>
  <si>
    <t>BB24030035</t>
  </si>
  <si>
    <t>HEAD MACHINE JN-03 BK R3, L3 SCHECTER LOGO</t>
  </si>
  <si>
    <t>BB24040031</t>
  </si>
  <si>
    <t>HEAD MACHINE JN-03M BK R3, L4 SCHECTER LOGO</t>
  </si>
  <si>
    <t>BB24040032</t>
  </si>
  <si>
    <t>HEAD MACHINE JN-03M BK R4, L3 SCHECTER LOGO</t>
  </si>
  <si>
    <t>BB24040033</t>
  </si>
  <si>
    <t>HEAD MACHINE JN-03M CR R6 SCHECTER LOGO</t>
  </si>
  <si>
    <t>BB24040034</t>
  </si>
  <si>
    <t>HEAD MACHINE J-55 L6 Vintage Nickel</t>
  </si>
  <si>
    <t>BB24040035</t>
  </si>
  <si>
    <t>BRIDGE MTB604 NI</t>
  </si>
  <si>
    <t>BB24040036</t>
  </si>
  <si>
    <t>TAILPIECE VBT005 NI</t>
  </si>
  <si>
    <t>BB23090029</t>
  </si>
  <si>
    <t>BRIDGE BM108 CR -</t>
  </si>
  <si>
    <t>BB23110006</t>
  </si>
  <si>
    <t>BRIDGE BB100 BK</t>
  </si>
  <si>
    <t>BB24040038</t>
  </si>
  <si>
    <t>DECAL SERIAL NUMBER GD SCHECTER (RO24050001-R024051300)</t>
  </si>
  <si>
    <t>BB24050001</t>
  </si>
  <si>
    <t>PICKUP NECK SEYMOUR DUNCAN SH-1N BLK 4-C</t>
  </si>
  <si>
    <t>BB24050002</t>
  </si>
  <si>
    <t>PICKUP BRIDGE SEYMOUR DUNCAN SH-4B BLK</t>
  </si>
  <si>
    <t>BB24050003</t>
  </si>
  <si>
    <t>PICKUP NECK SEYMOUR DUNCAN SH-2N JAZZ NICKEL</t>
  </si>
  <si>
    <t>BB24050004</t>
  </si>
  <si>
    <t>PICKUP BRIDGE SEYMOUR DUNCAN SH-11 CUSTOM NICKEL COVER</t>
  </si>
  <si>
    <t>BB24050031</t>
  </si>
  <si>
    <t>BRIDGE BB021 CR 4ST</t>
  </si>
  <si>
    <t>BB24050032</t>
  </si>
  <si>
    <t>BRIDGE BB021 CR 5ST</t>
  </si>
  <si>
    <t>BB24040019</t>
  </si>
  <si>
    <t>DADDARIO CRAFTER 6STR</t>
  </si>
  <si>
    <t>BB24050038</t>
  </si>
  <si>
    <t>DECAL SERIAL NUMBER GD SCHECTER (RO24060001-R024061300)</t>
  </si>
  <si>
    <t>BB24030036</t>
  </si>
  <si>
    <t>DECAL HEAD LOGO CRAFTER (TYPE-1) OUT=BK + IN=GOLD (MODERN SEOUL)</t>
  </si>
  <si>
    <t>BB24030038</t>
  </si>
  <si>
    <t>DECAL HEAD LOGO CRAFTER (TYPE-3) OUT=BK + IN=GOLD (CHARLOTTE)</t>
  </si>
  <si>
    <t>BB24060019</t>
  </si>
  <si>
    <t>DECAL SERIAL NUMBER GD SCHECTER (RO24070001-RO25020500)</t>
  </si>
  <si>
    <t>BB24030037</t>
  </si>
  <si>
    <t>DECAL HEAD LOGO CRAFTER (TYPE-2) OUT=BK + IN=GOLD (CREMA)</t>
  </si>
  <si>
    <t>BB25020010</t>
  </si>
  <si>
    <t>SERIAL NUMBER BK SEED</t>
  </si>
  <si>
    <t>BB24050035</t>
  </si>
  <si>
    <t>HEAD MACHINE J-55 BK L6 Crafter [S.P L.K] (18,19,20)</t>
  </si>
  <si>
    <t>BB24050037</t>
  </si>
  <si>
    <t>HEAD MACHINE BJ4 L4 CR (Acrylic Knob)</t>
  </si>
  <si>
    <t>BB19093282</t>
  </si>
  <si>
    <t>STRING RETAINERS HS008 NI -</t>
  </si>
  <si>
    <t>BB19091187</t>
  </si>
  <si>
    <t>JOINT BUSHING HB007 NI -</t>
  </si>
  <si>
    <t>BB19091336</t>
  </si>
  <si>
    <t>KNOB NB002 BK -</t>
  </si>
  <si>
    <t>BB19091370</t>
  </si>
  <si>
    <t>KNOB NB002 NI -</t>
  </si>
  <si>
    <t>BB19091229</t>
  </si>
  <si>
    <t>JACK PLATE HJ002 NI -</t>
  </si>
  <si>
    <t>BB23030065</t>
  </si>
  <si>
    <t>JOINT PLATE R-2011 CR COVER BK PLASTIC ( LOGO CRAFTER) -</t>
  </si>
  <si>
    <t>BB24060012</t>
  </si>
  <si>
    <t>HEAD MACHINE GROVER GH505BC 9R</t>
  </si>
  <si>
    <t>BB24040039</t>
  </si>
  <si>
    <t>PICKUP PASADENA NECK BLACK</t>
  </si>
  <si>
    <t>BB24040043</t>
  </si>
  <si>
    <t>PICKUP APOC-SC 7 NK</t>
  </si>
  <si>
    <t>BB24040046</t>
  </si>
  <si>
    <t>PICKUP SUNSET STRIP TREM BMB</t>
  </si>
  <si>
    <t>BB24040049</t>
  </si>
  <si>
    <t>PICKUP TRI POCALYPSE 6 BR</t>
  </si>
  <si>
    <t>BB24040041</t>
  </si>
  <si>
    <t>PICKUP PASADENA BLK MTL7STN</t>
  </si>
  <si>
    <t>BB24040048</t>
  </si>
  <si>
    <t>PICKUP SUNSET STRIP BLK MTL 7 BRIDGE</t>
  </si>
  <si>
    <t>BB24040053</t>
  </si>
  <si>
    <t>CRAFTER TYPE1 MINT GREEN 3PLY (MODERN SEOUL S)</t>
  </si>
  <si>
    <t>BB24040055</t>
  </si>
  <si>
    <t>CRAFTER TYPE3 MINT GREEN 3PLY (CHARLOTTE S)</t>
  </si>
  <si>
    <t>BB24040057</t>
  </si>
  <si>
    <t>CRAFTER TYPE1 TELE MINT GREEN 3PLY (MODERN SEOUL T)</t>
  </si>
  <si>
    <t>BB24040059</t>
  </si>
  <si>
    <t>CRAFTER TYPE3 TELE MINT GREEN 3PLY (CHARLOTTE T)</t>
  </si>
  <si>
    <t>BB24040056</t>
  </si>
  <si>
    <t>CRAFTER TYPE1 TELE BK (MODERN SEOUL T BS)</t>
  </si>
  <si>
    <t>BB24040054</t>
  </si>
  <si>
    <t>CRAFTER TYPE2 TORTOISE 3PLY (CREMA S)</t>
  </si>
  <si>
    <t>BB24060014</t>
  </si>
  <si>
    <t>PICKUP EMG909 9ST BK</t>
  </si>
  <si>
    <t>BB24060027</t>
  </si>
  <si>
    <t>NECK PLATE R-2006 CR (JS Logo)</t>
  </si>
  <si>
    <t>BB24060020</t>
  </si>
  <si>
    <t>PICKUP RING Flat Metal ST BK</t>
  </si>
  <si>
    <t>BB24060021</t>
  </si>
  <si>
    <t>KNOB Bell Knob WS-007 BK</t>
  </si>
  <si>
    <t>BB23110004</t>
  </si>
  <si>
    <t>NECK PLATE HN007 BK</t>
  </si>
  <si>
    <t>BB24060023</t>
  </si>
  <si>
    <t>HEAD MACHINE GB600 4L GD</t>
  </si>
  <si>
    <t>BB24060024</t>
  </si>
  <si>
    <t>HEAD MACHINE GB600 L4,R1 GD</t>
  </si>
  <si>
    <t>BB24060034</t>
  </si>
  <si>
    <t>POSITION TOP INLAY BCR ORTHODOX CROSS (Real MOP)</t>
  </si>
  <si>
    <t>BB24060035</t>
  </si>
  <si>
    <t>POSITION TOP INLAY BCR ORTHODOX CROSS (Real Gold MOP)</t>
  </si>
  <si>
    <t>BB24060033</t>
  </si>
  <si>
    <t>HEAD MACHINE J-55 CR R6 (S.P.L.K) LOGO JS with Button WH</t>
  </si>
  <si>
    <t>BB24120018</t>
  </si>
  <si>
    <t>SCHECTER DIAMOND SERIES (GOTHIC LARGE) WHITE WITH SILVER SHADOW</t>
  </si>
  <si>
    <t>BB23020239</t>
  </si>
  <si>
    <t>SCHECTER DIAMOND SERIES (GOTHIC SMALL) BLACK WITH SILVER SHADOW -</t>
  </si>
  <si>
    <t>BB23020235</t>
  </si>
  <si>
    <t xml:space="preserve">SCHECTER DIAMOND SERIES (GOTHIC SMALL) BLACK WITH WHITE SHADOW - </t>
  </si>
  <si>
    <t>BB23020234</t>
  </si>
  <si>
    <t>SCHECTER DIAMOND SERIES (GOTHIC SMALL) WHITE WITH BLACK SHADOW -</t>
  </si>
  <si>
    <t>BB24060040</t>
  </si>
  <si>
    <t>DECAL SUNSET EXTREME SILVER</t>
  </si>
  <si>
    <t>BB24060041</t>
  </si>
  <si>
    <t>DECAL SUNSET TRIAD SILVER</t>
  </si>
  <si>
    <t>BB24060047</t>
  </si>
  <si>
    <t>PICKUP NECK SOAPBAR DOUBLE COIL 4ST M5</t>
  </si>
  <si>
    <t>BB24060048</t>
  </si>
  <si>
    <t>PICKUP BRIDGE SOAPBAR DOUBLE COIL 4ST M5</t>
  </si>
  <si>
    <t>BB24010013</t>
  </si>
  <si>
    <t>PICKUP NECK SOAPBAR DOUBLE COIL 5ST M5</t>
  </si>
  <si>
    <t>BB24010014</t>
  </si>
  <si>
    <t>PICKUP BRIDGE SOAPBAR DOUBLE COIL 5ST M5</t>
  </si>
  <si>
    <t>BB22120139</t>
  </si>
  <si>
    <t>EQUALIZER GE-2 -</t>
  </si>
  <si>
    <t>BB24060049</t>
  </si>
  <si>
    <t>EQUALIZER 3-BAND EQ JS-BL 1V P/P, 1BL, 1 MID, 1 BASS, 1 TR, MINITOGLE 2X, J3P HYT</t>
  </si>
  <si>
    <t>BB24060050</t>
  </si>
  <si>
    <t>PICKUP NECK HUMBUCKER LP CR</t>
  </si>
  <si>
    <t>BB24060051</t>
  </si>
  <si>
    <t>PICKUP BRIDGE HUMBUCKER LP CR</t>
  </si>
  <si>
    <t>BB24060052</t>
  </si>
  <si>
    <t>PICKUP NECK HUMBUCKER OPEN CR RING</t>
  </si>
  <si>
    <t>BB24060053</t>
  </si>
  <si>
    <t>PICKUP BRIDGE HUMBUCKER OPEN CR RING</t>
  </si>
  <si>
    <t>BB24060054</t>
  </si>
  <si>
    <t>ELECTRO JS-JM001 1V, 1T, SWT-3 IVORY, J2P</t>
  </si>
  <si>
    <t>BB24060055</t>
  </si>
  <si>
    <t>ELECTRO JS-JM002 1V, 1T, SWT-3 BK</t>
  </si>
  <si>
    <t>BB24060056</t>
  </si>
  <si>
    <t>ELECTRO JS-JZ002 1V, 1T, SWL-3 BLADE J2P</t>
  </si>
  <si>
    <t>BB24070007</t>
  </si>
  <si>
    <t>SELECTOR LEVER SWITCH 3-WAY</t>
  </si>
  <si>
    <t>BB23080087</t>
  </si>
  <si>
    <t>BRIDGE BK-19 CR (JS-JB) -</t>
  </si>
  <si>
    <t>BB24080001</t>
  </si>
  <si>
    <t>Bridge Guyker TM85 CR (waterstone)</t>
  </si>
  <si>
    <t>BB24080002</t>
  </si>
  <si>
    <t>Bridge Guyker TM85 GD (waterstone)</t>
  </si>
  <si>
    <t>BB24090008</t>
  </si>
  <si>
    <t>HEAD MACHINE JN-04 BK L3 R3</t>
  </si>
  <si>
    <t>BB24090009</t>
  </si>
  <si>
    <t>HEAD MACHINE JN-04 GD L3 R3</t>
  </si>
  <si>
    <t>BB24090010</t>
  </si>
  <si>
    <t>HEAD MACHINE JBL-200 CR L1 R1</t>
  </si>
  <si>
    <t>BB24090011</t>
  </si>
  <si>
    <t>HEAD MACHINE J-05 CR L1 R1</t>
  </si>
  <si>
    <t>BB24090012</t>
  </si>
  <si>
    <t>PICKUP NECK HUMBUCKER LP BK</t>
  </si>
  <si>
    <t>BB24090013</t>
  </si>
  <si>
    <t>PICKUP BRIDGE HUMBUCKER LP BK</t>
  </si>
  <si>
    <t>BB24090014</t>
  </si>
  <si>
    <t>PICKUP NECK HUMBUCKER LP GD</t>
  </si>
  <si>
    <t>BB24090015</t>
  </si>
  <si>
    <t>PICKUP BRIDGE HUMBUCKER LP GD</t>
  </si>
  <si>
    <t>BB23080077</t>
  </si>
  <si>
    <t>FOAM PU BLK SH-18 20X25X45MM SPONGE</t>
  </si>
  <si>
    <t>BB24090016</t>
  </si>
  <si>
    <t>HEAD MACHINE LC118-D07 6R BK</t>
  </si>
  <si>
    <t>BB24090017</t>
  </si>
  <si>
    <t>BRIDGE GB-HS6 BK</t>
  </si>
  <si>
    <t>BB24090018</t>
  </si>
  <si>
    <t>TREMOLO TRB-150 BK</t>
  </si>
  <si>
    <t>BB23070074</t>
  </si>
  <si>
    <t>ELECTRONIC ASSY JS ST2-BS 5-WAY L/S (KNOB WH), 1V, 2T (di PL js st2 knob bk LH)</t>
  </si>
  <si>
    <t>BB24090020</t>
  </si>
  <si>
    <t>ELECTRO WATERSTONE HEMLOCK-4 1V,1T,J2P</t>
  </si>
  <si>
    <t>BB24090021</t>
  </si>
  <si>
    <t>ELECTRO WATERSTONE TUNDER-8 2V,2T,J2P</t>
  </si>
  <si>
    <t>BB24090022</t>
  </si>
  <si>
    <t>ELECTRO RAVEN PRO 1V,1T,SWL 3 BLADE BK,J3P</t>
  </si>
  <si>
    <t>BB23070100</t>
  </si>
  <si>
    <t>ELECTRO SLX RAVEN BK / PVS6506 -</t>
  </si>
  <si>
    <t>BB24090023</t>
  </si>
  <si>
    <t>ELECTRO GRZENIA BK</t>
  </si>
  <si>
    <t>BB24090024</t>
  </si>
  <si>
    <t>ELECTRO GRZENIA GD</t>
  </si>
  <si>
    <t>BB19091194</t>
  </si>
  <si>
    <t>JACK PLATE HJ101 CR -</t>
  </si>
  <si>
    <t>BB24100001</t>
  </si>
  <si>
    <t>BATTERY CLIP CL-007</t>
  </si>
  <si>
    <t>BB23090004</t>
  </si>
  <si>
    <t>PICKUP MINI HUMB LP CR, ALNICO BRIDGE -</t>
  </si>
  <si>
    <t>BB24100005</t>
  </si>
  <si>
    <t>HEAD MACHINE M-1804SH1-B01 BK (4S,2M) "SLX" Logo</t>
  </si>
  <si>
    <t>BB24100006</t>
  </si>
  <si>
    <t>HEAD MACHINE M-1804SH1-B01 CR (4S,2M) SLX Logo</t>
  </si>
  <si>
    <t>BB24100007</t>
  </si>
  <si>
    <t>NECK PLATE R-2004 BK SLX Logo</t>
  </si>
  <si>
    <t>BB24100008</t>
  </si>
  <si>
    <t>NECK PLATE R-2004 CR SLX Logo</t>
  </si>
  <si>
    <t>BB24100009</t>
  </si>
  <si>
    <t>BRIDGE BG-3007 BK</t>
  </si>
  <si>
    <t>BB24100010</t>
  </si>
  <si>
    <t>HEAD MACHINE MB-1001 B GD L2,R2</t>
  </si>
  <si>
    <t>BB24100011</t>
  </si>
  <si>
    <t>BRIDGE BA-1013 GD</t>
  </si>
  <si>
    <t>BB22120108</t>
  </si>
  <si>
    <t>EL ASSY 3-WAY 1 T/G BN 1V 1T 1J 1 CAPASITOR TOGGLE BN A25K B25K (PVS6502-1) DEMON-</t>
  </si>
  <si>
    <t>BB23030154</t>
  </si>
  <si>
    <t>ELECTRO ASSY DAMIEN PVS6505 -</t>
  </si>
  <si>
    <t>BB24100012</t>
  </si>
  <si>
    <t>Sustainiac Electronic OEM #3915 (sample demon fr-s)</t>
  </si>
  <si>
    <t>BB24100027</t>
  </si>
  <si>
    <t>PICKUP NECK Seymour Duncan 6ST Sentinent BK</t>
  </si>
  <si>
    <t>BB24100028</t>
  </si>
  <si>
    <t>PICKUP BRIDGE Seymour Duncan 6ST Nazgul BK</t>
  </si>
  <si>
    <t>BB24100029</t>
  </si>
  <si>
    <t>PICKUP NECK Seymour Duncan 7ST Sentinent BK</t>
  </si>
  <si>
    <t>BB24100030</t>
  </si>
  <si>
    <t>PICKUP BRIDGE Seymour Duncan 7ST Nazgul BK</t>
  </si>
  <si>
    <t>BB24100013</t>
  </si>
  <si>
    <t>BRIDGE PIN PPS WH/dot BK for Acoustic</t>
  </si>
  <si>
    <t>BB23080083</t>
  </si>
  <si>
    <t>NUT PPS IVORY 43*6T Acoustic-</t>
  </si>
  <si>
    <t>BB24100014</t>
  </si>
  <si>
    <t>Saddle PPS Ivory 72x3x8 for Acoustic</t>
  </si>
  <si>
    <t>BB24100015</t>
  </si>
  <si>
    <t>String Acoustic 6ST (.012 , .016, .024, .032, .042, .053)</t>
  </si>
  <si>
    <t>BB24100017</t>
  </si>
  <si>
    <t>PICKUP NECK Humbucker 7ST BK</t>
  </si>
  <si>
    <t>BB24100018</t>
  </si>
  <si>
    <t>PICKUP BRIDGE Humbucker 7ST BK</t>
  </si>
  <si>
    <t>BB24100020</t>
  </si>
  <si>
    <t>ELECTRONIC ASSY ARTIFICIAL 1V 1J EG-2P</t>
  </si>
  <si>
    <t>BB24100021</t>
  </si>
  <si>
    <t>ELECTRONIC ASSY ARTIFICIAL 1V 1J EG-3P GD</t>
  </si>
  <si>
    <t>BB24100022</t>
  </si>
  <si>
    <t>ELECTRONIC ASSY ARTIFICIAL 5WAY 1V 1J EG-2P</t>
  </si>
  <si>
    <t>BB24100023</t>
  </si>
  <si>
    <t>ELECTRO WATERSTONE ERIC-8</t>
  </si>
  <si>
    <t>BB24100024</t>
  </si>
  <si>
    <t>ELECTRONIC WATERSTONE DNT</t>
  </si>
  <si>
    <t>BB24110003</t>
  </si>
  <si>
    <t>GUITAR PARTS SET SCHECTER LA KING</t>
  </si>
  <si>
    <t>BB24110005</t>
  </si>
  <si>
    <t>BRIDGE HEADLESS HLG6SET-BK</t>
  </si>
  <si>
    <t>BB22080015</t>
  </si>
  <si>
    <t>TOP NUT GRAPHITE (42*6T) 6ST CRÈME (NT-035 WATERSTONE)</t>
  </si>
  <si>
    <t>BB24110008</t>
  </si>
  <si>
    <t>DECAL HEAD LOGO RICK SPRINGFIELD WH (ACOUSTIC)</t>
  </si>
  <si>
    <t>BB24110006</t>
  </si>
  <si>
    <t>PICKUP JB OPEN BK 4ST NECK</t>
  </si>
  <si>
    <t>BB24110007</t>
  </si>
  <si>
    <t>PICKUP JB OPEN BK 4ST BRIDGE</t>
  </si>
  <si>
    <t>BB24100025</t>
  </si>
  <si>
    <t>HEAD MACHINE JN-07 BKS L4,R2 [SPLK]</t>
  </si>
  <si>
    <t>BB24100026</t>
  </si>
  <si>
    <t>HEAD MACHINE JN-07 BKS L5,R2 [SPLK]</t>
  </si>
  <si>
    <t>BB20090027</t>
  </si>
  <si>
    <t>HEAD MACHINE J-03 (L3,R3) CR -</t>
  </si>
  <si>
    <t>BB24110010</t>
  </si>
  <si>
    <t>PICKUP BRIDGE FISHMAN HUMBUCKER 7ST CERAMIC WH</t>
  </si>
  <si>
    <t>BB24110012</t>
  </si>
  <si>
    <t>PICKUP BRIDGE FISHMAN HUMBUCKER 7ST CERAMIC BK</t>
  </si>
  <si>
    <t>BB24110011</t>
  </si>
  <si>
    <t>PICKUP NECK FISHMAN HUMBUCKER 7ST ALNICO BK</t>
  </si>
  <si>
    <t>BB24110013</t>
  </si>
  <si>
    <t>DECAL BODY GUITAR LA KING (SSEOLIM)</t>
  </si>
  <si>
    <t>BB24100019</t>
  </si>
  <si>
    <t>ELECTRONIC ASSY ARTIFICIAL 1V 1J EG-3P</t>
  </si>
  <si>
    <t>BB24110027</t>
  </si>
  <si>
    <t>HEAD MACHINE JB-150 CR L4</t>
  </si>
  <si>
    <t>BB24120002</t>
  </si>
  <si>
    <t>JOINT BUSHING HB007 BS</t>
  </si>
  <si>
    <t>BB24120003</t>
  </si>
  <si>
    <t>STRAP BUTTON HE009 GD</t>
  </si>
  <si>
    <t>BB24120004</t>
  </si>
  <si>
    <t>KNOB NS001 BS</t>
  </si>
  <si>
    <t>BB24110019</t>
  </si>
  <si>
    <t>NUT Bone WH 38*3.4T (4ST)</t>
  </si>
  <si>
    <t>BB24110020</t>
  </si>
  <si>
    <t>NUT Bone WH 42*3.5T (6ST)</t>
  </si>
  <si>
    <t>BB24110021</t>
  </si>
  <si>
    <t>NUT Bone WH 45*3.4t (5ST)</t>
  </si>
  <si>
    <t>BB24110022</t>
  </si>
  <si>
    <t>NUT Bone WH 42*6T (6ST)</t>
  </si>
  <si>
    <t>BB24120005</t>
  </si>
  <si>
    <t>PICKUP BRIDGE Dmarzio Ionizer 8</t>
  </si>
  <si>
    <t>BB24120010</t>
  </si>
  <si>
    <t>PICKUP NECK P-90 CR</t>
  </si>
  <si>
    <t>BB24120011</t>
  </si>
  <si>
    <t>PICKUP BRIDGE P-90 CR</t>
  </si>
  <si>
    <t>BB24120012</t>
  </si>
  <si>
    <t>HEAD MACHINE NON LOCKING ENCLOSED GEAR TREBLE SIDE- BLACK SATIN- 21 MM POST w/ D12 BUTTON</t>
  </si>
  <si>
    <t>BB24120013</t>
  </si>
  <si>
    <t>HEAD MACHINE NON LOCKING ENCLOSED GEAR BLACK SATIN- 21 MM POST w/ D12 BUTTON</t>
  </si>
  <si>
    <t>BB24120014</t>
  </si>
  <si>
    <t>HEAD MACHINE GRIPLOCK OPEN -BLACK SATIN TREBLE SIDE- 21 MM POST w/ D12 BUTTON</t>
  </si>
  <si>
    <t>BB24120015</t>
  </si>
  <si>
    <t>HEAD MACHINE GRIPLOCK OPEN -BLACK SATIN BASS SIDE- 21 MM POST w/ D12 BUTTON</t>
  </si>
  <si>
    <t>BB24120016</t>
  </si>
  <si>
    <t>HEAD MACHINE ENCLOSED CLASSIC GUITAR TUNER GOLD TREBLE SIDE- 21 MM POST w/ D12 BUTTON</t>
  </si>
  <si>
    <t>BB24120017</t>
  </si>
  <si>
    <t>HEAD MACHINE ENCLOSED CLASSIC GUITAR TUNER BASS SIDE- 21 MM POST w/ D12 BUTTON</t>
  </si>
  <si>
    <t>BB24120023</t>
  </si>
  <si>
    <t>7 STG FIXED GUITAR BRIDGE .125" FLOOR HEIGHT BLACK</t>
  </si>
  <si>
    <t>BB24120024</t>
  </si>
  <si>
    <t>7 STG FIXED GUITAR BRIDGE .125" FLOOR HEIGHT GOLD</t>
  </si>
  <si>
    <t>BB24120020</t>
  </si>
  <si>
    <t>GUITAR PARTS SET STRATO LH</t>
  </si>
  <si>
    <t>BB24120021</t>
  </si>
  <si>
    <t>GUITAR PARTS SET STRATO CERAMIC</t>
  </si>
  <si>
    <t>BB24120022</t>
  </si>
  <si>
    <t>GUITAR PARTS SET STRATO CERAMIC LH</t>
  </si>
  <si>
    <t>BB24120025</t>
  </si>
  <si>
    <t>BRIDGE TH01 SBK</t>
  </si>
  <si>
    <t>BB24120026</t>
  </si>
  <si>
    <t>BRIDGE TH02 BKS</t>
  </si>
  <si>
    <t>BB24120027</t>
  </si>
  <si>
    <t>HEAD MACHINE J-03M BN L LOGO SCHECTER</t>
  </si>
  <si>
    <t>BB24120028</t>
  </si>
  <si>
    <t>HEAD MACHINE J-03M BN R LOGO SCHECTER</t>
  </si>
  <si>
    <t>BB24120030</t>
  </si>
  <si>
    <t>BRIDGE SCHECTER ACOUSTIC 6ST BK</t>
  </si>
  <si>
    <t>BB23020237</t>
  </si>
  <si>
    <t>SCHECTER DIAMOND SERIES (GOTHIC SMALL) WHITE WITH SILVER SHADOW -</t>
  </si>
  <si>
    <t>BB25010023</t>
  </si>
  <si>
    <t>NUT PPS BK 38*6T 4ST</t>
  </si>
  <si>
    <t>BB25010024</t>
  </si>
  <si>
    <t>NUT PPS BK 42*6T (6 STRING)</t>
  </si>
  <si>
    <t>BB25010014</t>
  </si>
  <si>
    <t>PB-2002-BK (ALNICO 5)</t>
  </si>
  <si>
    <t>BB25010016</t>
  </si>
  <si>
    <t>TRUNYAN PARTS SET</t>
  </si>
  <si>
    <t>BB25010017</t>
  </si>
  <si>
    <t>SIMAN PARTS SET</t>
  </si>
  <si>
    <t>BB25010018</t>
  </si>
  <si>
    <t>BONA PARTS SET</t>
  </si>
  <si>
    <t>BB25010019</t>
  </si>
  <si>
    <t>TRUNYAN BOLT ON PARTS SET</t>
  </si>
  <si>
    <t>BB25010020</t>
  </si>
  <si>
    <t>LAVANI DLX PARTS SET</t>
  </si>
  <si>
    <t>BB25020012</t>
  </si>
  <si>
    <t>SERIAL NUMBER GD SCHECTER</t>
  </si>
  <si>
    <t>BB23070079</t>
  </si>
  <si>
    <t>PICKUP JB OPEN BK 5ST NECK -</t>
  </si>
  <si>
    <t>BB23070080</t>
  </si>
  <si>
    <t>PICKUP JB OPEN BK 5ST BRIDGE -</t>
  </si>
  <si>
    <t>BB25020015</t>
  </si>
  <si>
    <t>EQUALIZER MINA DULLAHAN 1VOL, 1BALANCE, 1TONE, 1MINI TOGLE , 1 JACK GD</t>
  </si>
  <si>
    <t>BB25010009</t>
  </si>
  <si>
    <t>DECAL BODY MINA SAGO</t>
  </si>
  <si>
    <t>BB24090029</t>
  </si>
  <si>
    <t>PICKGUARD SAGO MINA</t>
  </si>
  <si>
    <t>BB25030005</t>
  </si>
  <si>
    <t>PICKUP SOAPBAR EMG 6ST SCHECTER SILVER NECK (ADA TAMBAHAN STOCK 129 TIDAK IKUT IT)</t>
  </si>
  <si>
    <t>BB25030006</t>
  </si>
  <si>
    <t>PICKUP SOAPBAR EMG 6ST SCHECTER SILVER BRIDGE (ADA TAMBAHAN STOCK 128 PCS TIDAK IKUT IT)</t>
  </si>
  <si>
    <t>BB25030007</t>
  </si>
  <si>
    <t>EQUALIZER 3-BAND 1V, 1BL, 1TRE, 1MID, 1BASE, JACK PHONE STEREO</t>
  </si>
  <si>
    <t>BB25030009</t>
  </si>
  <si>
    <t>HEAD MACHINE JB-150 BK L3,R3 LOGO SCHECTER</t>
  </si>
  <si>
    <t>BB25030010</t>
  </si>
  <si>
    <t>BRIDGE BB060 BK</t>
  </si>
  <si>
    <t>BB25030008</t>
  </si>
  <si>
    <t>PB-1002-BK (ALNICO 5)</t>
  </si>
  <si>
    <t>BB25030055</t>
  </si>
  <si>
    <t>ELECTRIC 1V 1T P/PUSH, SWL-3 BLADE BAREL BK J2P SLX RAVEN SUPER</t>
  </si>
  <si>
    <t>BB25030056</t>
  </si>
  <si>
    <t>ELECTRIC 1V 1T SWL-3 BLADE BK J2P SLX RAVEN DELUXE</t>
  </si>
  <si>
    <t>BB25030057</t>
  </si>
  <si>
    <t>ELECTRIC 1V 1T SWL-3 BLADE BK J2P SLX RAVEN PRO</t>
  </si>
  <si>
    <t>BB25030058</t>
  </si>
  <si>
    <t>ELECTRIC 1V 1T P/PUSH, SWL-3 BLADE BK J2P SLX RAVEN MODERN</t>
  </si>
  <si>
    <t>BB25030059</t>
  </si>
  <si>
    <t>ELECTRIC 1V 1T SWL-3 BLADE BAREL BK J2P SLX RAVEN CLASSIC</t>
  </si>
  <si>
    <t>BB25030060</t>
  </si>
  <si>
    <t>ELECTRIC 1V 1T SWL-5 BLADE WH J2P SLX HAWK CLASSIC</t>
  </si>
  <si>
    <t>BB25030034</t>
  </si>
  <si>
    <t>ELECTRIC ATFCL JM6 PRESICION 1V CTS. J2P</t>
  </si>
  <si>
    <t>BB25030035</t>
  </si>
  <si>
    <t>ELECTRIC ATFCL TE 7 PRO WORKS 1V CTS, J2P</t>
  </si>
  <si>
    <t>BB25030036</t>
  </si>
  <si>
    <t>ELECTRIC ATFCL S7 PRO WORKS 1V CTS, SWL-3 BLADE BK, J2P</t>
  </si>
  <si>
    <t>BB25030037</t>
  </si>
  <si>
    <t>ELECTRIC 1V 1T SWL-3 BLADE BK BAREL J2P FLAXWOOD</t>
  </si>
  <si>
    <t>BB25030038</t>
  </si>
  <si>
    <t>ELECTRIC 1V SWL-3 BLADE BK J2P SLX HAWK 24 HH</t>
  </si>
  <si>
    <t>BB25030039</t>
  </si>
  <si>
    <t>ELECTRIC 1V 1T SWL-3 BLADE BK J2P SLX HERON 24HH</t>
  </si>
  <si>
    <t>BB25030040</t>
  </si>
  <si>
    <t>ELECTRIC 2V 1T SWT-3 BK-BK J3P SLX EAGLE MODERN PRO</t>
  </si>
  <si>
    <t>BB25030041</t>
  </si>
  <si>
    <t>ELECTRIC 2V 1T P/PUSH SWT-3 GD-BK J2P SLX EAGLE MODERN PRO GD</t>
  </si>
  <si>
    <t>BB25030042</t>
  </si>
  <si>
    <t>ELECTRIC 2V 1T SWT-3 GD-BK J3P SLX EAGLE MODERN PRO ACTIVE GD</t>
  </si>
  <si>
    <t>BB25030043</t>
  </si>
  <si>
    <t>ELECTRIC 1V , 1T, 1T P/PUSH, SWL-5 BLADE WH J2P SLX HAWK CLASSIC HSS GD</t>
  </si>
  <si>
    <t>BB25030044</t>
  </si>
  <si>
    <t>ELECTRIC 1V , 1T P/PUSH, SWL-5 BLADE WH J2P SLX HAWK CLASSIC HSS</t>
  </si>
  <si>
    <t>BB25030045</t>
  </si>
  <si>
    <t>ELECTRIC 1V SWL-3 BLADE BK J2P SLX RAVEN 24HH</t>
  </si>
  <si>
    <t>BB25030046</t>
  </si>
  <si>
    <t>ELECTRIC 1V SWL-3 BLADE BK J2P SLX HERON MODERN 24HH</t>
  </si>
  <si>
    <t>BB25030066</t>
  </si>
  <si>
    <t>FLAT CREAME 5-5</t>
  </si>
  <si>
    <t>BB25030064</t>
  </si>
  <si>
    <t>KN-006-06 VOL BK</t>
  </si>
  <si>
    <t>BB25030065</t>
  </si>
  <si>
    <t>KN-002-04 BK</t>
  </si>
  <si>
    <t>BB25030074</t>
  </si>
  <si>
    <t>KNOB NS-152 BK</t>
  </si>
  <si>
    <t>BB25040057</t>
  </si>
  <si>
    <t>ELECTRONIC 1V, 1T, SWL-3 BLADE BAREL BK, J2P GD JS 1</t>
  </si>
  <si>
    <t>BB25040058</t>
  </si>
  <si>
    <t>ELECTRONIC 1V, 1T, SWL-3 BLADE BAREL BK, J2P NI JS 2</t>
  </si>
  <si>
    <t>BB25040059</t>
  </si>
  <si>
    <t>ELECTRONIC 1V, 1T, P/P, SWT-3 IV, J2P JS 3</t>
  </si>
  <si>
    <t>BB25040060</t>
  </si>
  <si>
    <t>ELECTRO WATERSTONE B2 SHB 1V, 1T, J2P BK -</t>
  </si>
  <si>
    <t>BB25040061</t>
  </si>
  <si>
    <t>ELECTRO WATERSTONE B2 SHB 1V, 1T, J2P NI -</t>
  </si>
  <si>
    <t>BB24060037</t>
  </si>
  <si>
    <t>SCHECTER DIAMOND SERIES (GOTHIC SUPER LARGE) BLACK WITH SILVER SHADOW</t>
  </si>
  <si>
    <t>BB25040009</t>
  </si>
  <si>
    <t>VOLKSTEM TELE</t>
  </si>
  <si>
    <t>BB25040010</t>
  </si>
  <si>
    <t>VOLKSTEM STRATO</t>
  </si>
  <si>
    <t>BB25040004</t>
  </si>
  <si>
    <t>KN-007-06</t>
  </si>
  <si>
    <t>BB25040005</t>
  </si>
  <si>
    <t>KN-007-02</t>
  </si>
  <si>
    <t>BB25040006</t>
  </si>
  <si>
    <t>KN-007 WH / SILVER V</t>
  </si>
  <si>
    <t>BB25040007</t>
  </si>
  <si>
    <t>KN-007 WH / SILVER T</t>
  </si>
  <si>
    <t>BB25030048</t>
  </si>
  <si>
    <t>BN015 BK</t>
  </si>
  <si>
    <t>BB25030050</t>
  </si>
  <si>
    <t>BN005 GD</t>
  </si>
  <si>
    <t>BB25030053</t>
  </si>
  <si>
    <t>HJ101 GD</t>
  </si>
  <si>
    <t>BB25030054</t>
  </si>
  <si>
    <t>HJ101 BK</t>
  </si>
  <si>
    <t>BB25030052</t>
  </si>
  <si>
    <t>HJ010 GD</t>
  </si>
  <si>
    <t>BB25030067</t>
  </si>
  <si>
    <t>BT005 BRASS SADDLE CR</t>
  </si>
  <si>
    <t>BB25040085</t>
  </si>
  <si>
    <t>FRTS2000 FR SPESIAL SE BRG BK, WITH 43MM LOCKING NUTS AND 42MM BLOCKS (SLX)</t>
  </si>
  <si>
    <t>BB25040097</t>
  </si>
  <si>
    <t>NP001 CR WITH JS LOGO</t>
  </si>
  <si>
    <t>BB25040098</t>
  </si>
  <si>
    <t>NP001 CR</t>
  </si>
  <si>
    <t>BB25040099</t>
  </si>
  <si>
    <t>NP001 GD</t>
  </si>
  <si>
    <t>BB25040101</t>
  </si>
  <si>
    <t>IRIS BRIDGE</t>
  </si>
  <si>
    <t>BB25040111</t>
  </si>
  <si>
    <t>ML-55/GD/R6/JS LOGO (17mm,19mm,21mm)</t>
  </si>
  <si>
    <t>BB25040102</t>
  </si>
  <si>
    <t>HEAD MACHINE DJ326NX-D6</t>
  </si>
  <si>
    <t>BB25040114</t>
  </si>
  <si>
    <t>PICKUP HUMB LP COVERED OPEN CR ALNICO NECK SH-1 CR</t>
  </si>
  <si>
    <t>BB25040115</t>
  </si>
  <si>
    <t>PICKUP HUMB LP COVERED OPEN CR ALNICO BRIDGE TB-4 CR</t>
  </si>
  <si>
    <t>BB25030011</t>
  </si>
  <si>
    <t>PICKUP NECK Seymour Duncan Pegasus 6ST</t>
  </si>
  <si>
    <t>BB25040078</t>
  </si>
  <si>
    <t>11722-16 STR-3 OEM</t>
  </si>
  <si>
    <t>BB25040079</t>
  </si>
  <si>
    <t>11722-14 STL-3 OEM</t>
  </si>
  <si>
    <t>BB25030030</t>
  </si>
  <si>
    <t>EQUALIZER 2-BAND EQ/25K VOLUME/MN250K BK LH</t>
  </si>
  <si>
    <t>BB25040131</t>
  </si>
  <si>
    <t>EQUALIZER 2-BAND EQ/1 VOLUME/MN250K GD LH</t>
  </si>
  <si>
    <t>BB25040116</t>
  </si>
  <si>
    <t>BRIDGE Wilkinson WOV05 CR</t>
  </si>
  <si>
    <t>BB25040117</t>
  </si>
  <si>
    <t>BRIDGE Wilkinson WOT01 CR</t>
  </si>
  <si>
    <t>BB25040118</t>
  </si>
  <si>
    <t>BRIDGE Wilkinson WOB41 CR</t>
  </si>
  <si>
    <t>BB25040119</t>
  </si>
  <si>
    <t>BRIDGE Wilkinson WOV08 CR Block 36mm</t>
  </si>
  <si>
    <t>BB25040026</t>
  </si>
  <si>
    <t>HUMBUCKER LP BRIDGE ALNICO V CR 4P (VLPA-B CR 4P)</t>
  </si>
  <si>
    <t>BB25040121</t>
  </si>
  <si>
    <t>PICKUP NECK Humbucker Open BK Neck Alnico V 4P (VHA-N 4P)</t>
  </si>
  <si>
    <t>BB25040029</t>
  </si>
  <si>
    <t>PHSA-B BK 4P</t>
  </si>
  <si>
    <t>BB25040032</t>
  </si>
  <si>
    <t>PICKUP BRIDGE TCA-B</t>
  </si>
  <si>
    <t>BB25040033</t>
  </si>
  <si>
    <t>PICKUP NECK TCA-N GD</t>
  </si>
  <si>
    <t>BB25040034</t>
  </si>
  <si>
    <t>PICKUP NECK TELE NECK ALNICO 5 CR COVER (TCA-N-CR)</t>
  </si>
  <si>
    <t>BB25040039</t>
  </si>
  <si>
    <t>PICKUP NECK VSA BK</t>
  </si>
  <si>
    <t>BB25040040</t>
  </si>
  <si>
    <t>PICKUP MIDDLE VSA BK</t>
  </si>
  <si>
    <t>BB25040041</t>
  </si>
  <si>
    <t>PICKUP NECK VSA WH</t>
  </si>
  <si>
    <t>BB25040042</t>
  </si>
  <si>
    <t>PICKUP MIDDLE VSA WH</t>
  </si>
  <si>
    <t>BB25040122</t>
  </si>
  <si>
    <t>PICKUP NECK VLPA-N CR</t>
  </si>
  <si>
    <t>BB25040123</t>
  </si>
  <si>
    <t>PICKUP BRIDGE VLPA-B CR 14k</t>
  </si>
  <si>
    <t>BB25030075</t>
  </si>
  <si>
    <t>J-55 S.L.L.K (18MM.19MM.20MM) 6R CR/WH With ''JS'' Logo</t>
  </si>
  <si>
    <t>BB25040134</t>
  </si>
  <si>
    <t>PICKUP HUMB LP COVERED OPEN GD ALNICO NECK SH-1 GD</t>
  </si>
  <si>
    <t>BB25040135</t>
  </si>
  <si>
    <t>PICKUP HUMB LP COVERED OPEN GD ALNICO BRIDGE TB-4 GD</t>
  </si>
  <si>
    <t>BB25050044</t>
  </si>
  <si>
    <t>BRIDGE BB114 CR</t>
  </si>
  <si>
    <t>BB25050045</t>
  </si>
  <si>
    <t>BRIDGE BB101 BK</t>
  </si>
  <si>
    <t>BB25050046</t>
  </si>
  <si>
    <t>STRAP BUTTON HE009 BK</t>
  </si>
  <si>
    <t>BB25050047</t>
  </si>
  <si>
    <t>STRAP BUTTON HE009 CR</t>
  </si>
  <si>
    <t>BB25040103</t>
  </si>
  <si>
    <t>BRIDGE BG-3006 CR</t>
  </si>
  <si>
    <t>BB25040104</t>
  </si>
  <si>
    <t>BRIDGE BG-3005 CR</t>
  </si>
  <si>
    <t>BB25040105</t>
  </si>
  <si>
    <t>BRIDGE BG-2001-7 CR</t>
  </si>
  <si>
    <t>BB25040106</t>
  </si>
  <si>
    <t>BRIDGE BG-2001-8 CR</t>
  </si>
  <si>
    <t>BB25040107</t>
  </si>
  <si>
    <t>BRIDGE BG-2001=6 CR</t>
  </si>
  <si>
    <t>BB25040108</t>
  </si>
  <si>
    <t>BRIDGE BG-2003-6 BK</t>
  </si>
  <si>
    <t>BB25040109</t>
  </si>
  <si>
    <t>BRIDGE BG-2003-7 BK</t>
  </si>
  <si>
    <t>BB25040110</t>
  </si>
  <si>
    <t>BRIDGE BG-1001 CR</t>
  </si>
  <si>
    <t>BB25050032</t>
  </si>
  <si>
    <t>HEAD MACHINE GC004CR - KB052CR-Q01 R6 "JS LOGO"</t>
  </si>
  <si>
    <t>BB25050033</t>
  </si>
  <si>
    <t>JACK COVER CZ-001 CR</t>
  </si>
  <si>
    <t>BB25050034</t>
  </si>
  <si>
    <t>STRING GUIDE YX-003 CR</t>
  </si>
  <si>
    <t>BB25050008</t>
  </si>
  <si>
    <t>HEAD MACHINE GK003NI - KB071NI - K01 R6</t>
  </si>
  <si>
    <t>BB25050009</t>
  </si>
  <si>
    <t>STRING GUIDE YX006 NI</t>
  </si>
  <si>
    <t>BB25050011</t>
  </si>
  <si>
    <t>STRING GUIDE CR003 NI</t>
  </si>
  <si>
    <t>BB25050012</t>
  </si>
  <si>
    <t>JOINT BUSHING TB-005 NI</t>
  </si>
  <si>
    <t>BB25050013</t>
  </si>
  <si>
    <t>STRING MOUNTING FERRULES JB-006 NI</t>
  </si>
  <si>
    <t>BB25050014</t>
  </si>
  <si>
    <t>STRAP BUTTON BD-004 NI</t>
  </si>
  <si>
    <t>BB25050015</t>
  </si>
  <si>
    <t>ELECTRO NAGI 3-WAY BARREL TYPE BK L/S, 1V, 1T, 1J,1 CAPASITOR NI</t>
  </si>
  <si>
    <t>BB25050016</t>
  </si>
  <si>
    <t>ELECTRO NAGI 3-T/G OPEN CR, IV, 1T, 1J, 1 CAPASITOR NI</t>
  </si>
  <si>
    <t>BB25050017</t>
  </si>
  <si>
    <t>ELECTRO NAGI 3-T/G OPEN BK, IV, 1T, 1J, 1 CAPASITOR NI</t>
  </si>
  <si>
    <t>BB25050018</t>
  </si>
  <si>
    <t>PICKUP NECK BY-616 NI</t>
  </si>
  <si>
    <t>BB25050019</t>
  </si>
  <si>
    <t>PICKUP NECK BY-615-N WH</t>
  </si>
  <si>
    <t>BB25050020</t>
  </si>
  <si>
    <t>PICKUP NECK BY-615-N BK</t>
  </si>
  <si>
    <t>BB25050021</t>
  </si>
  <si>
    <t>PICKUP BRIDGE BY-617 WH</t>
  </si>
  <si>
    <t>BB25050022</t>
  </si>
  <si>
    <t>PICKUP BRIDGE BY-617 BK</t>
  </si>
  <si>
    <t>BB25050023</t>
  </si>
  <si>
    <t>PICKUP BRIDGE BY-615-B BK</t>
  </si>
  <si>
    <t>BB25050024</t>
  </si>
  <si>
    <t>PICKUP BRIDGE BY-615 WH</t>
  </si>
  <si>
    <t>BB25050025</t>
  </si>
  <si>
    <t>KNOB XN-026 NI</t>
  </si>
  <si>
    <t>BB25050026</t>
  </si>
  <si>
    <t>JACK COVER CZ-006 NI</t>
  </si>
  <si>
    <t>BB25050027</t>
  </si>
  <si>
    <t>BRIDGE BYM910-XM006CR</t>
  </si>
  <si>
    <t>BB25050028</t>
  </si>
  <si>
    <t>CONTROL PLATE DZB-002 NI</t>
  </si>
  <si>
    <t>BB25050042</t>
  </si>
  <si>
    <t>BONE WH 42*3 4T</t>
  </si>
  <si>
    <t>BB25050055</t>
  </si>
  <si>
    <t>ELECTRIC IV CTS, SWL3 BLADE BK,J2P JM 7 NEXTUME</t>
  </si>
  <si>
    <t>BB25050056</t>
  </si>
  <si>
    <t>ELECTRIC IV IT, SWL3 BLADE BK,J2P TAGIMA MIRACH Z</t>
  </si>
  <si>
    <t>BB25050071</t>
  </si>
  <si>
    <t>KNOB KN-001 IV Black Number</t>
  </si>
  <si>
    <t>BB19091670</t>
  </si>
  <si>
    <t>FLAME MAPLE VENEER 0.5T (WHT GRADE A) FOR BODY</t>
  </si>
  <si>
    <t>BB19091556</t>
  </si>
  <si>
    <t>VENEER QUILTED MAPLE VENEER 0.5MM (GRADE A) FOR BODY</t>
  </si>
  <si>
    <t>BB22050010</t>
  </si>
  <si>
    <t>FLAME MAPLE VENEER WHT (GRADE A) 0.5T FOR HEAD</t>
  </si>
  <si>
    <t>BB19091637</t>
  </si>
  <si>
    <t>VENEER QUILTED MAPLE 0.5T GRADE A FOR HEAD</t>
  </si>
  <si>
    <t>BB25050079</t>
  </si>
  <si>
    <t>GUITAR BRIDGE (AILE)</t>
  </si>
  <si>
    <t>BB25050059</t>
  </si>
  <si>
    <t>PICKUP NECK P-3005 CR ALNICO V 4C</t>
  </si>
  <si>
    <t>BB25050060</t>
  </si>
  <si>
    <t>PICKUP BRIDGE P-3005 CR ALNICO V AC</t>
  </si>
  <si>
    <t>BB25050061</t>
  </si>
  <si>
    <t>TAILPIECE BG-6001 CR</t>
  </si>
  <si>
    <t>BB23080090</t>
  </si>
  <si>
    <t>BG-6005 CR -</t>
  </si>
  <si>
    <t>BB25050062</t>
  </si>
  <si>
    <t>BRIDGE BG-5005 GD</t>
  </si>
  <si>
    <t>BB25050064</t>
  </si>
  <si>
    <t>HEAD MACHINE M-1801SH1-6R BK (4S,2M) "SLX" Logo</t>
  </si>
  <si>
    <t>BB25050065</t>
  </si>
  <si>
    <t>HEAD MACHINE M-1801SH1-6R CR (4S,2M) "SLX" Logo</t>
  </si>
  <si>
    <t>BB25050066</t>
  </si>
  <si>
    <t>HEAD MACHINE M-1801SH1-6R GD (4S,2M) "SLX" Logo</t>
  </si>
  <si>
    <t>BB25050067</t>
  </si>
  <si>
    <t>HEAD MACHINE M-1803SH1 L3R3 BK "SLX" Logo</t>
  </si>
  <si>
    <t>BB25050068</t>
  </si>
  <si>
    <t>HEAD MACHINE M-1806SH1 L3R3 GD "SLX" Logo</t>
  </si>
  <si>
    <t>BB25050063</t>
  </si>
  <si>
    <t>NECK PLATE R-2004 GD SLX Logo</t>
  </si>
  <si>
    <t>BB25050069</t>
  </si>
  <si>
    <t>PICKUP NECK Open Coil Humbucker 7ST BK Ferrite</t>
  </si>
  <si>
    <t>BB25050070</t>
  </si>
  <si>
    <t>PICKUP BRIDGE Open Coil Humbucker 7ST BK Ferrite</t>
  </si>
  <si>
    <t>BB25050090</t>
  </si>
  <si>
    <t>BRIDGE BG-2001-6 BK</t>
  </si>
  <si>
    <t>BB25050091</t>
  </si>
  <si>
    <t>BRIDGE BG-2001-6 BK (BC)</t>
  </si>
  <si>
    <t>BB25050096</t>
  </si>
  <si>
    <t>DECAL LOGO "LA KINGS" BODY (DCT)</t>
  </si>
  <si>
    <t>BB25050098</t>
  </si>
  <si>
    <t>STRING DADDARIO OEM 045 BASS NICKEL LONG</t>
  </si>
  <si>
    <t>BB25050099</t>
  </si>
  <si>
    <t>STRING DADDARIO OEM 085 XL NICKEL LONG</t>
  </si>
  <si>
    <t>BB25040080</t>
  </si>
  <si>
    <t>ELECTRIC 1V, 1BAL, 1MID, 1TRE, JACKPHONE STEREO EQ3BAND-GC-6</t>
  </si>
  <si>
    <t>BB25050105</t>
  </si>
  <si>
    <t>HEAD MACHINE DJ442B R4, L1 (DER JUNG)</t>
  </si>
  <si>
    <t>BB25050082</t>
  </si>
  <si>
    <t>HEAD MACHINE ML-07/BKS/5+2</t>
  </si>
  <si>
    <t>BB25050083</t>
  </si>
  <si>
    <t>HEAD MACHINE ML-07/BK/R6</t>
  </si>
  <si>
    <t>BB25050084</t>
  </si>
  <si>
    <t>HEAD MACHINE ML-07/BK/3+3</t>
  </si>
  <si>
    <t>BB25050085</t>
  </si>
  <si>
    <t>HEAD MACHINE M-750/BK/1+4</t>
  </si>
  <si>
    <t>BB25050086</t>
  </si>
  <si>
    <t>HEAD MACHINE ML-07/CR/R6</t>
  </si>
  <si>
    <t>BB25040022</t>
  </si>
  <si>
    <t>HE-A NECK</t>
  </si>
  <si>
    <t>BB25040023</t>
  </si>
  <si>
    <t>HE-A BRIDGE</t>
  </si>
  <si>
    <t>BB25040024</t>
  </si>
  <si>
    <t>HE-P (NECK)</t>
  </si>
  <si>
    <t>BB25040025</t>
  </si>
  <si>
    <t>HE-P (BRIDGE)</t>
  </si>
  <si>
    <t>BB25040027</t>
  </si>
  <si>
    <t>HUMBUCKER OPEN BK BRIDGE ALNICO V 4P (VHA-B-4P)</t>
  </si>
  <si>
    <t>BB25040030</t>
  </si>
  <si>
    <t>PHSA-B WH 4P</t>
  </si>
  <si>
    <t>BB25040035</t>
  </si>
  <si>
    <t>PICKUP BRIDGE VLHSA-B GD 4P</t>
  </si>
  <si>
    <t>BB25040036</t>
  </si>
  <si>
    <t>PICKUP NECK VLHSA- -N GD 4P</t>
  </si>
  <si>
    <t>BB25040037</t>
  </si>
  <si>
    <t>PICKUP BRIDGE VLPA-B GD 4P (14K)</t>
  </si>
  <si>
    <t>BB25040038</t>
  </si>
  <si>
    <t>PICKUP NECK VLPA-N GD</t>
  </si>
  <si>
    <t>BB25050118</t>
  </si>
  <si>
    <t>ELECTRONICS 1V, 1T, SWT-3 BK-BK, J3P EXTREME II</t>
  </si>
  <si>
    <t>BB25050077</t>
  </si>
  <si>
    <t>HJ010 NI</t>
  </si>
  <si>
    <t>BB25050078</t>
  </si>
  <si>
    <t>HC002 BK</t>
  </si>
  <si>
    <t>BB25050076</t>
  </si>
  <si>
    <t>BRIDGE BB215 BK</t>
  </si>
  <si>
    <t>BB23030134</t>
  </si>
  <si>
    <t>PICKUP NECK 7 STRING LOGO SCHECTER BK LH PTP4081-1 -</t>
  </si>
  <si>
    <t>BB23030135</t>
  </si>
  <si>
    <t>PICKUP BRIDGE 7 BRIDGE LOGO SCHECTER BK LH PTP4082-1 -</t>
  </si>
  <si>
    <t>BB25040008</t>
  </si>
  <si>
    <t>GRAPHITE WH 38*5T 4ST</t>
  </si>
  <si>
    <t>BB25050092</t>
  </si>
  <si>
    <t>PICKUP SEYMOUR DUNCAN SH-1n Blk 4-Con SE LOGO OEM</t>
  </si>
  <si>
    <t>BB25050093</t>
  </si>
  <si>
    <t>PICKUP SEYMOUR DUNCAN SJ5s 70/74 for 5-S</t>
  </si>
  <si>
    <t>BB25050094</t>
  </si>
  <si>
    <t>PICKUP SEYMOUR DUNCAN TB-4 JB Trembucker Blk</t>
  </si>
  <si>
    <t>BB25050135</t>
  </si>
  <si>
    <t>HEAD MACHINE J-07 R6 BK-</t>
  </si>
  <si>
    <t>BB25030017</t>
  </si>
  <si>
    <t>FRTS2000 FR SPECIAL SE BRG BK, WITH 43MM LOCKING NUTS AND 40MM BLOCKS -</t>
  </si>
  <si>
    <t>BB25060008</t>
  </si>
  <si>
    <t>MINITOGGLE 6 PIN FLATE CR-</t>
  </si>
  <si>
    <t>BB24060038</t>
  </si>
  <si>
    <t>SCHECTER DIAMOND SERIES (GOTHIC SUPER LARGE) BLACK WITH WHITE SHADOW</t>
  </si>
  <si>
    <t>BB25060060</t>
  </si>
  <si>
    <t>HE011 BS</t>
  </si>
  <si>
    <t>BB25060051</t>
  </si>
  <si>
    <t>MOP Head Logo TAGIMA 46.39*18.99 + "Z" 13.77*22.02mm MOP</t>
  </si>
  <si>
    <t>BB25060052</t>
  </si>
  <si>
    <t>Metal Stiker "Tagima+NuB 5-Z" (23,01mm x 65,09mm) + "Zenith"(6,42mm x 17,99mm)</t>
  </si>
  <si>
    <t>BB25060053</t>
  </si>
  <si>
    <t>Metal Stiker "Tagima+Nyxx-Z" (18,65mm x 52,87mm) + "Zenith"(6,55mm x 18,48mm)</t>
  </si>
  <si>
    <t>BB25060054</t>
  </si>
  <si>
    <t>Metal Stiker "Tagima+Tessy H-Z" (18,65mm x 59,28mm) + "Zenith"(6,55mm x 18,48mm)</t>
  </si>
  <si>
    <t>BB25060055</t>
  </si>
  <si>
    <t>Metal Stiker "Tagima" (18,99mm x 46,39mm) + "Z Logo"(13,97mm x 20,02mm)</t>
  </si>
  <si>
    <t>BB25060013</t>
  </si>
  <si>
    <t>STRING GUIDE YX-006 CR</t>
  </si>
  <si>
    <t>BB25060037</t>
  </si>
  <si>
    <t>PICKUP NECK BY-621-N BK Alnico 4ST</t>
  </si>
  <si>
    <t>BB25060045</t>
  </si>
  <si>
    <t>PICKUP NECK HUMB OPEN BY-602-N BK</t>
  </si>
  <si>
    <t>BB25060027</t>
  </si>
  <si>
    <t>PICKGUARD C-055 GTO JB CREAM GLOSS 3PLY</t>
  </si>
  <si>
    <t>BB25060047</t>
  </si>
  <si>
    <t>PICKUP SINGLE OPEN MIDDLE BY-610-M BK</t>
  </si>
  <si>
    <t>BB25060023</t>
  </si>
  <si>
    <t>PICKGUARD C-055 GTO PB BK GLOSS 3PLY</t>
  </si>
  <si>
    <t>BB25060026</t>
  </si>
  <si>
    <t>PICKGUARD C-055 GTO ST SSH BK GLOSS 3PLY</t>
  </si>
  <si>
    <t>BB25060028</t>
  </si>
  <si>
    <t>PICKGUARD C-055 GTO ST SSH MINT GREEN GLOSS 3PLY</t>
  </si>
  <si>
    <t>BB25060029</t>
  </si>
  <si>
    <t>PICKGUARD C-055 GTO ST SSH MINT GREEN GLOSS 3PLY ALNICO</t>
  </si>
  <si>
    <t>BB25060043</t>
  </si>
  <si>
    <t>JACK COVER CK-002</t>
  </si>
  <si>
    <t>BB25060046</t>
  </si>
  <si>
    <t>PICKUP BRIDGE HUMB OPEN BY-602-B BK</t>
  </si>
  <si>
    <t>BB25060016</t>
  </si>
  <si>
    <t>BRIDGE BYB901CR-XM004CR</t>
  </si>
  <si>
    <t>BB25060006</t>
  </si>
  <si>
    <t>PICKGUARD ASSY JS MUNSEL HSS Ferrite 5-Way, 1V, 1T, Push/Pull, 1J Knob BK</t>
  </si>
  <si>
    <t>BB25060014</t>
  </si>
  <si>
    <t>STRING RETAINERS YX-001 CR</t>
  </si>
  <si>
    <t>BB25060042</t>
  </si>
  <si>
    <t>PICKUP BRIDGE BY-617 BK Alnico</t>
  </si>
  <si>
    <t>BB25060030</t>
  </si>
  <si>
    <t>PICKGUARD C-055 GTO ST SSH PARCHMENT GLOSS 3PLY</t>
  </si>
  <si>
    <t>BB25060036</t>
  </si>
  <si>
    <t>ELECTRO DZB-002 CR 3Way, 1V (DW-001), 1T (DW-002), 1CAP (DR-01)</t>
  </si>
  <si>
    <t>BB25060017</t>
  </si>
  <si>
    <t>PICKGUARD C-055 Spirit ST WHP</t>
  </si>
  <si>
    <t>BB25060032</t>
  </si>
  <si>
    <t>PICKGUARD C-055 GTO ST MINT GREEN GLOSS 3PLY 004</t>
  </si>
  <si>
    <t>BB25060035</t>
  </si>
  <si>
    <t>ELECTRO 3Way, 2V (DW-005), 1T (DW-006), 2 Mini Toggle (KG-01-1B), 1CAP DR-02, 1J Long (CK-002)</t>
  </si>
  <si>
    <t>BB25060039</t>
  </si>
  <si>
    <t>PICKUP NECK BY-621-N BK 4ST</t>
  </si>
  <si>
    <t>BB25060040</t>
  </si>
  <si>
    <t>PICKUP BRIDGE BY-621-B BK 4ST</t>
  </si>
  <si>
    <t>BB25060048</t>
  </si>
  <si>
    <t>BRIDGE BYM910NI-XM006NI</t>
  </si>
  <si>
    <t>BB25060018</t>
  </si>
  <si>
    <t>PICKGUARD C-055 Spirit ST CREAM GLOSS 3PLY</t>
  </si>
  <si>
    <t>BB25060022</t>
  </si>
  <si>
    <t>PICKGUARD C-055 GTO JB BK GLOSS 3PLY</t>
  </si>
  <si>
    <t>BB25060009</t>
  </si>
  <si>
    <t>CK-001 NI</t>
  </si>
  <si>
    <t>BB25060005</t>
  </si>
  <si>
    <t>HEAD MACHINE GQ004CR-KB054-Q03 JS LOGO</t>
  </si>
  <si>
    <t>BB25060019</t>
  </si>
  <si>
    <t>PICKGUARD C-055 GTO ST WHP 004</t>
  </si>
  <si>
    <t>BB25060021</t>
  </si>
  <si>
    <t>PICKGUARD C-055 GTO TL PARCHMENT 3PLY GLOSS</t>
  </si>
  <si>
    <t>BB25060025</t>
  </si>
  <si>
    <t>PICKGUARD C-055 GTO ST MINT GREEN GLOSS 3PLY</t>
  </si>
  <si>
    <t>BB25060038</t>
  </si>
  <si>
    <t>PICKUP BRIDGE BY-621-B BK Alnico 4ST</t>
  </si>
  <si>
    <t>BB25060041</t>
  </si>
  <si>
    <t>PICKUP NECK BY-620 BK 4ST</t>
  </si>
  <si>
    <t>BB25060044</t>
  </si>
  <si>
    <t>ELECTRO JS UPDOWN 5-Way, 1V, 1T PUSH/PULL, 1J BK</t>
  </si>
  <si>
    <t>BB25060011</t>
  </si>
  <si>
    <t>HEAD MACHINE BY8101CR-KB026CR-P01 6R</t>
  </si>
  <si>
    <t>BB25060020</t>
  </si>
  <si>
    <t>PICKGUARD C-055 GTO TL BK 3PLY GLOSS</t>
  </si>
  <si>
    <t>BB25060024</t>
  </si>
  <si>
    <t>PICKGUARD C-055 GTO JB MINT GREEN GLOSS 1PLY</t>
  </si>
  <si>
    <t>BB25060031</t>
  </si>
  <si>
    <t>PICKGUARD C-055 GTO TL MINT GREEN GLOSS 3PLY</t>
  </si>
  <si>
    <t>BB25060007</t>
  </si>
  <si>
    <t>SPRING COVER BK 3PLY GLOSS 2T w/6 Holes</t>
  </si>
  <si>
    <t>BB25060010</t>
  </si>
  <si>
    <t>HEAD MACHINE GQ007CR-KB005CR-Q01 6R</t>
  </si>
  <si>
    <t>BB25060034</t>
  </si>
  <si>
    <t>ELECTRO DZB-001 CR 2V (DW-001), 1T (DW-002), 1CAP (DR-05) METAL KNOB CR (XN-026 )</t>
  </si>
  <si>
    <t>BB25060012</t>
  </si>
  <si>
    <t>HEAD MACHINE BY8105CR-KB021CR-B07 4R</t>
  </si>
  <si>
    <t>BB25060033</t>
  </si>
  <si>
    <t>ELECTRO DZB-001 CR 2V (DW-001), 1T (DW-002), 1CAP (DR-05) KNOB LARGE x2, SMALL x1 (XNS-016 x2, XNS-015 x1)</t>
  </si>
  <si>
    <t>BB25060015</t>
  </si>
  <si>
    <t>BRIDGE BYD901CR-XM012CR-XKD001</t>
  </si>
  <si>
    <t>BB25060056</t>
  </si>
  <si>
    <t>BRIDGE GB-100 POR 6ST BK-</t>
  </si>
  <si>
    <t>BB25060061</t>
  </si>
  <si>
    <t>KNOB XN-038 BK-</t>
  </si>
  <si>
    <t>BB25060070</t>
  </si>
  <si>
    <t>DECAL BODY KII ARENS DESIGN (MEADEN-6)</t>
  </si>
  <si>
    <t>BB25040086</t>
  </si>
  <si>
    <t>FRETWIRE 2.3MMX1.4MM 38*63*24F SILVER NICKEL R380, HV180</t>
  </si>
  <si>
    <t>BB25040087</t>
  </si>
  <si>
    <t>FRETWIRE 2.3MMX1.4MM 45*73*24F SILVER NICKEL R380, HV180</t>
  </si>
  <si>
    <t>BB25040090</t>
  </si>
  <si>
    <t>FRETWIRE 2.8MMX1.4MM 42*57*24F SILVER NICKEL R330, HV180</t>
  </si>
  <si>
    <t>BB25060057</t>
  </si>
  <si>
    <t>FRETWIRE 2.8mm x 1.4mm 48*68*24F Silver Nickel R380, HV180</t>
  </si>
  <si>
    <t>BB25060058</t>
  </si>
  <si>
    <t>FRETWIRE 2.8mm x 1.4mm 54*84,5*24F Silver Nickel R380, HV180</t>
  </si>
  <si>
    <t>BB20030018</t>
  </si>
  <si>
    <t>SCREW WO 4.2*45 GD -</t>
  </si>
  <si>
    <t>BB23030145</t>
  </si>
  <si>
    <t>SCREW WO 5*30 GD -</t>
  </si>
  <si>
    <t>BB25060063</t>
  </si>
  <si>
    <t>SCREW WO 5*40 GD -</t>
  </si>
  <si>
    <t>BB23020248</t>
  </si>
  <si>
    <t>SCREW WO 4.2*40 GD -</t>
  </si>
  <si>
    <t>BB25060064</t>
  </si>
  <si>
    <t>SCREW MR 2.6*22 GD -</t>
  </si>
  <si>
    <t>BB25060065</t>
  </si>
  <si>
    <t>SCREW WO 2.5*12 GD</t>
  </si>
  <si>
    <t>BB25060066</t>
  </si>
  <si>
    <t>SCREW WO 3.5*30 GD</t>
  </si>
  <si>
    <t>BB19093115</t>
  </si>
  <si>
    <t>SCREW WR 2.1*10 GD -</t>
  </si>
  <si>
    <t>BB20060015</t>
  </si>
  <si>
    <t>SCREW MR 2.5*26 GD -</t>
  </si>
  <si>
    <t>BB19093105</t>
  </si>
  <si>
    <t>SCREW MR 2.6*26 GD -</t>
  </si>
  <si>
    <t>BB20030030</t>
  </si>
  <si>
    <t>SCREW WP 2.6*35 GD -</t>
  </si>
  <si>
    <t>BB25060067</t>
  </si>
  <si>
    <t>SCREW WO 2.5*20 GD</t>
  </si>
  <si>
    <t>BB25060068</t>
  </si>
  <si>
    <t>SCREW WO 3*12 GD</t>
  </si>
  <si>
    <t>BB24060039</t>
  </si>
  <si>
    <t>SCHECTER DIAMOND SERIES (GOTHIC SUPER LARGE) WHITE WITH BLACK SHADOW</t>
  </si>
  <si>
    <t>BB24060036</t>
  </si>
  <si>
    <t>SCHECTER DIAMOND SERIES (GOTHIC SUPER LARGE) WHITE WITH SILVER SHADOW</t>
  </si>
  <si>
    <t>BB25060069</t>
  </si>
  <si>
    <t>PB-4/1 BK KNOB</t>
  </si>
  <si>
    <t>BB23050105</t>
  </si>
  <si>
    <t>SERIAL NUMBER SILVER IR23050101-IR23050170 LOGO LTD -</t>
  </si>
  <si>
    <t>BB25050109</t>
  </si>
  <si>
    <t>SCREW WO 2.5*15 GD-</t>
  </si>
  <si>
    <t>BB25060081</t>
  </si>
  <si>
    <t>GKL33K-SB L3,R3 Satin Black</t>
  </si>
  <si>
    <t>BB25060082</t>
  </si>
  <si>
    <t>BLACK ACRYLIC DOT 5MM</t>
  </si>
  <si>
    <t>BB25060084</t>
  </si>
  <si>
    <t>SCREW WO 5*38 GDS</t>
  </si>
  <si>
    <t>BB22120127</t>
  </si>
  <si>
    <t>VENEER POPLAR FIGURED BURL 0.5T FOR HEAD</t>
  </si>
  <si>
    <t>BB25070017</t>
  </si>
  <si>
    <t>ELECTRO 2V, 2T, SWT - 3 IV, Kabel 600MM, J2P (FZY-GLP)</t>
  </si>
  <si>
    <t>BB25070018</t>
  </si>
  <si>
    <t>ELECTRO 2V, 1T, SWT - 3 GD-BK , Kabel 600MM, J2P (FZY-ECL)</t>
  </si>
  <si>
    <t>BB25070019</t>
  </si>
  <si>
    <t>ELECTRO 2V, 2T, SWT - 3 BK,J2P (FZY-GSG)</t>
  </si>
  <si>
    <t>BB25070020</t>
  </si>
  <si>
    <t>ELECTRO 1V, 1T, J2P (FZY-GDC)</t>
  </si>
  <si>
    <t>BB25070021</t>
  </si>
  <si>
    <t>ELECTRO 2V, 1T, SWT - 3 BK, J2P (FZY-GES)</t>
  </si>
  <si>
    <t>BB25070014</t>
  </si>
  <si>
    <t>PICK UP NECK  HUMB LP CR COVER (FZY-GLP)</t>
  </si>
  <si>
    <t>BB25070022</t>
  </si>
  <si>
    <t>PICKUP BRIDGE HUMB LP CR COVER (FZY-GLP)</t>
  </si>
  <si>
    <t>BB25070015</t>
  </si>
  <si>
    <t>PICK UP NECK  HUMB LP GD COVER (FZY-ECL)</t>
  </si>
  <si>
    <t>BB25070023</t>
  </si>
  <si>
    <t>PICKUP BRIDGE HUMB LP GD COVER (FZY-ECL)</t>
  </si>
  <si>
    <t>BB25070016</t>
  </si>
  <si>
    <t>PICK UP NECK  HUMB LP NI COVER (FZY-GSG)</t>
  </si>
  <si>
    <t>BB25070024</t>
  </si>
  <si>
    <t>PICKUP BRIDGE HUMB LP NI COVER (FZY-GSG)</t>
  </si>
  <si>
    <t>BB25070025</t>
  </si>
  <si>
    <t>PICKUP NECK HUMB OPEN BK 4P</t>
  </si>
  <si>
    <t>BB25070026</t>
  </si>
  <si>
    <t>PICKUP BRIDGE HUMB OPEN BK 4P</t>
  </si>
  <si>
    <t>BB25070005</t>
  </si>
  <si>
    <t>1-3 Way Toggle Oper CR (Cap Cream), 1V, 1T, 1J Mono EG-2P, 1 Capasitor 2A223J (PJD)</t>
  </si>
  <si>
    <t>BB25070028</t>
  </si>
  <si>
    <t>1-3 Way Toggle Oper CR (Cap Cream), 1V, 1T, 1J Mono EG-2P, Kabel 600mm 1 Capasitor 2A223J (PJD Carey)</t>
  </si>
  <si>
    <t>BB25060072</t>
  </si>
  <si>
    <t>BC-1205-00 NUBONE 42 MM Flat Botton P Bass Style Nut (Nubone WH 42mm x 3.4t 4ST)</t>
  </si>
  <si>
    <t>BB23110024</t>
  </si>
  <si>
    <t>SCREW WF 3.5*20 GD -</t>
  </si>
  <si>
    <t>BB25070048</t>
  </si>
  <si>
    <t>HEAD MACHINE J-03 (L3,R3) NI-</t>
  </si>
  <si>
    <t>BB25070049</t>
  </si>
  <si>
    <t>HEAD MACHINE J-44 (L3,R3) NI  With Cream</t>
  </si>
  <si>
    <t>BB25070050</t>
  </si>
  <si>
    <t>BRACKETS HK002 (W/PL4090) NI -</t>
  </si>
  <si>
    <t>BB25070051</t>
  </si>
  <si>
    <t>HE011 NI-</t>
  </si>
  <si>
    <t>BB25070052</t>
  </si>
  <si>
    <t>BRIDGE BM004 W/TB002 NI -</t>
  </si>
  <si>
    <t>BB19093501</t>
  </si>
  <si>
    <t>BM003 W/MB003 BN -</t>
  </si>
  <si>
    <t>BB25070039</t>
  </si>
  <si>
    <t>FRETWIRE DCT 2.7mm x 1.4mm 43*57*22F Stainless Steel R330 HV160</t>
  </si>
  <si>
    <t>BB25070030</t>
  </si>
  <si>
    <t>HEAD MACHINE ML-07/BK/L6</t>
  </si>
  <si>
    <t>BB25030027</t>
  </si>
  <si>
    <t>HEAD MACHINE MLN-07 CR R6 BK BUTTON</t>
  </si>
  <si>
    <t>BB25070035</t>
  </si>
  <si>
    <t>KNOB NS152-2 BK-</t>
  </si>
  <si>
    <t>BB25070036</t>
  </si>
  <si>
    <t>Toggle Switch TGS105 CR/CR</t>
  </si>
  <si>
    <t>BB25070037</t>
  </si>
  <si>
    <t>Toggle Switch TGS102 BK/BK</t>
  </si>
  <si>
    <t>BB25070038</t>
  </si>
  <si>
    <t>Toggle Switch TGS101 GD/IV</t>
  </si>
  <si>
    <t>BB25060077</t>
  </si>
  <si>
    <t>SCREW MR 4*25MM GD-</t>
  </si>
  <si>
    <t>BB25070007</t>
  </si>
  <si>
    <t>1-3 Way Toggle CR (Cap BK), 2V, 2T, 2J, Long Jack CJST CR (WT-TP)</t>
  </si>
  <si>
    <t>BB25070008</t>
  </si>
  <si>
    <t>1-3 Way Toggle CR (Cap Ivory), 2V (Ø24-15B250K), 2T (Ø24-15A250K), 2A473J, EG-2P (Hardware CR) (WT-DNT)</t>
  </si>
  <si>
    <t>BB25070009</t>
  </si>
  <si>
    <t>1V (Ø24-18B500K), 1T (Ø24-18A500K), 1 Blend (MN250K), 1J (2A473J), Long Jack CJST CR (Hardware CR) (ERIC-8)</t>
  </si>
  <si>
    <t>BB25070053</t>
  </si>
  <si>
    <t>FRETWIRE DCT 2.7mm x 1.4mm 43*57*22F Stainless Steel R285</t>
  </si>
  <si>
    <t>BB25070054</t>
  </si>
  <si>
    <t>FRETWIRE DCT 2.7mm x 1.4mm 48*79*22F Silver Nickel R285</t>
  </si>
  <si>
    <t>BB25070055</t>
  </si>
  <si>
    <t>FRETWIRE DCT 2.9mm x 1.3mm 43*57*22F Stainless Steel R285</t>
  </si>
  <si>
    <t>BB25070056</t>
  </si>
  <si>
    <t>FRETWIRE DCT 2.9mm x 1.3mm 43*58*24F Stainless Steel R380</t>
  </si>
  <si>
    <t>BB25070003</t>
  </si>
  <si>
    <t>FRETWIRE DCT 2.9mm x 1.3mm 42*63*21F Stainless Steel R285</t>
  </si>
  <si>
    <t>BB25070004</t>
  </si>
  <si>
    <t>FRETWIRE DCT 2.9mm x 1.3mm 41.15*55.19*22F Stainless Steel R285</t>
  </si>
  <si>
    <t>BB25040096</t>
  </si>
  <si>
    <t>FRETWIRE 2.9MMX1.3MM 42*56*22F SILVER NICKEL R285, HV180</t>
  </si>
  <si>
    <t>BB25070097</t>
  </si>
  <si>
    <t>BRIDGE BYQ902 BK</t>
  </si>
  <si>
    <t>PCS</t>
  </si>
  <si>
    <t>BB25070093</t>
  </si>
  <si>
    <t>SERIAL NUMBER TAGIMA</t>
  </si>
  <si>
    <t>BB24040004</t>
  </si>
  <si>
    <t>POSITION TOP INLAY GREY PEARLOID OFFSET DOTS 3TX6MM</t>
  </si>
  <si>
    <t>BB19092384</t>
  </si>
  <si>
    <t>POSITION TOP INLAY PVC DOT 6MM WHP -</t>
  </si>
  <si>
    <t>BB22120126</t>
  </si>
  <si>
    <t>VENEER POPLAR FIGURED BURL 0.5T FOR BODY</t>
  </si>
  <si>
    <t>BB23020009</t>
  </si>
  <si>
    <t>VENEER WALNUT 0.5T FOR BODY -</t>
  </si>
  <si>
    <t>BB23080091</t>
  </si>
  <si>
    <t>NUT PPS- IV-WH (42*6T) -</t>
  </si>
  <si>
    <t>BB25070002</t>
  </si>
  <si>
    <t>PICKUP SEYMOUR DUNCAN TB-4 Blk Logo OEM</t>
  </si>
  <si>
    <t>BB25070100</t>
  </si>
  <si>
    <t>PICKUP SEYMOUR DUNCAN SJ5n 70/74 OEM</t>
  </si>
  <si>
    <t>BB25070001</t>
  </si>
  <si>
    <t>PICKUP SEYMOUR DUNCAN SJ5b 70/74 OEM</t>
  </si>
  <si>
    <t>O</t>
  </si>
  <si>
    <t>HW Pack, HB Nickle (SPRING)</t>
  </si>
  <si>
    <t>BB25070104</t>
  </si>
  <si>
    <t>SCREW 4 x 1 1/4 rh Phil Nkl (SEYMOUR DUNCAN)</t>
  </si>
  <si>
    <t>BB25070105</t>
  </si>
  <si>
    <t>Tubing Amber 1/4 Pre-Cut @3/8 (KARET)</t>
  </si>
  <si>
    <t>BB25070107</t>
  </si>
  <si>
    <t>ELECTRIC 1V, 1T CTS, SWL3 BLADE-BAREL BK J2P (AFCL 2PU) -GD</t>
  </si>
  <si>
    <t>BB25070108</t>
  </si>
  <si>
    <t>ELECTRIC 1V, 1T CTS, SWL3 BLADE-BAREL BK J2P (AFCL 2PU) -BK</t>
  </si>
  <si>
    <t>BB25070109</t>
  </si>
  <si>
    <t>ELECTRIC 1V CTS, 2T CTS, SWT-3 BK, J2P (AFCL 2PU) - CR1</t>
  </si>
  <si>
    <t>BB25070110</t>
  </si>
  <si>
    <t>ELECTRIC 1V CTS, 1T CTS, SWL3 BLADE-BAREL BK J2P (ATRIFICIAL)</t>
  </si>
  <si>
    <t>BB25070112</t>
  </si>
  <si>
    <t>ELECTRIC 1V CTS, SWL-3 BLADE BK, J2P  (AFCL 2PU) -BK LH</t>
  </si>
  <si>
    <t>BB25070113</t>
  </si>
  <si>
    <t>ELECTRIC 1V CTS, J2P  (AFCL 1PU) -GD</t>
  </si>
  <si>
    <t>BB25070114</t>
  </si>
  <si>
    <t>ELECTRIC 1V CTS, J3P  (AFCL 1PU) -CR</t>
  </si>
  <si>
    <t>BB25070115</t>
  </si>
  <si>
    <t>ELECTRIC 1V CTS, 2T CTS, SWL-5 BLADE BK, J2P (AFCL 2PU) -CR2</t>
  </si>
  <si>
    <t>BB25070116</t>
  </si>
  <si>
    <t>ELECTRIC 1V CTS, 1T CTS, SWL-3 WH, J2P (JS-FR)</t>
  </si>
  <si>
    <t>BB25070111</t>
  </si>
  <si>
    <t>ELECTRIC 1V, J2P  (AFCL 1PU) -BK</t>
  </si>
  <si>
    <t>BB25070117</t>
  </si>
  <si>
    <t>ELECTRIC 2 BAND EQ, 2V, 1 BASS, 1 TRIBLE, JACK HYT (AFCL BASS)</t>
  </si>
  <si>
    <t>BB25070129</t>
  </si>
  <si>
    <t>ELECTRIC IV IT, SWL3 BLADE BK,J2P (TAGIMA MIRACH Z)</t>
  </si>
  <si>
    <t>BB25070121</t>
  </si>
  <si>
    <t>DHP-2.9G (2.9MMX1.35MM) (46.7*68.9*24F) R410</t>
  </si>
  <si>
    <t>BB24110002</t>
  </si>
  <si>
    <t>FRETWIRE 3.0mm*1.4mm 42*56*22F Stainless Steel R285-WATERSTONE</t>
  </si>
  <si>
    <t>BB24110024</t>
  </si>
  <si>
    <t>FRETWIRE 2.9HS 43*57*24F Stainless R380</t>
  </si>
  <si>
    <t>BB24110023</t>
  </si>
  <si>
    <t>FRETWIRE 2.9mmx1.4mm 48*68*24F Brass R380</t>
  </si>
  <si>
    <t>BB23090042</t>
  </si>
  <si>
    <t>FRETWIRE 2.9MMX1.4MM 50*70*20F R330 SILVER NICKEL HV180 -</t>
  </si>
  <si>
    <t>BB23090041</t>
  </si>
  <si>
    <t>FRETWIRE 2.9MMX1.4MM 46*67*20F R330 SILVER NICKEL HV180 -</t>
  </si>
  <si>
    <t>BB25070126</t>
  </si>
  <si>
    <t>FRETWIRE DCT 2.9mm x 1.3mm 43*56*22F Silver Nickle R280 HV180</t>
  </si>
  <si>
    <t>BB25070127</t>
  </si>
  <si>
    <t>FRETWIRE DCT 2.9mm x 1.3mm 42*56*22F Silver Nickle R330 HV180</t>
  </si>
  <si>
    <t>BB25070124</t>
  </si>
  <si>
    <t>PICKUP P-90 BK ALNICO 5 NECK (FZY-GDC)</t>
  </si>
  <si>
    <t>BB25070125</t>
  </si>
  <si>
    <t>PICKUP P-90 BK ALNICO 5 BRIDGE (FZY-GDC)</t>
  </si>
  <si>
    <t>BB25070059</t>
  </si>
  <si>
    <t>BRIDGE BG-3006 BK</t>
  </si>
  <si>
    <t>BB25080004</t>
  </si>
  <si>
    <t>STRING DADDARIO YB-NW026 OEM 026 NICKEL WOUND</t>
  </si>
  <si>
    <t>BB25080005</t>
  </si>
  <si>
    <t>STRING DADDARIO YB-NW036 OEM 036 NICKEL WOUND</t>
  </si>
  <si>
    <t>BB25080006</t>
  </si>
  <si>
    <t>STRING DADDARIO YB-NW046 OEM 046 NICKEL WOUND</t>
  </si>
  <si>
    <t>BB25080007</t>
  </si>
  <si>
    <t>STRING DADDARIO YB-NW059 OEM 059 NICKEL WOUND</t>
  </si>
  <si>
    <t>BB25080008</t>
  </si>
  <si>
    <t>STRING DADDARIO YB-XLB065 OEM 065 XL BASS  NICKEL LONG</t>
  </si>
  <si>
    <t>BB25080009</t>
  </si>
  <si>
    <t>STRING DADDARIO YB-XLB080 OEM 080 XL BASS  NICKEL LONG</t>
  </si>
  <si>
    <t>BB25080010</t>
  </si>
  <si>
    <t>STRING DADDARIO YB-XLB100 OEM 100  XL BASS  NICKEL LONG</t>
  </si>
  <si>
    <t>BB25080011</t>
  </si>
  <si>
    <t>STRING DADDARIO YB-XLB130 OEM 130  XL BASS  NICKEL LONG</t>
  </si>
  <si>
    <t>BB25080001</t>
  </si>
  <si>
    <t>Bridge TH-02 GD (BG-3007 GD)</t>
  </si>
  <si>
    <t>BB25070031</t>
  </si>
  <si>
    <t>HEAD MACHINE M-150/CR/2+2/ Schecter Logo</t>
  </si>
  <si>
    <t>BB25070032</t>
  </si>
  <si>
    <t>HEAD MACHINE M-150/GD/2+2/ Schecter Logo</t>
  </si>
  <si>
    <t>BB25070033</t>
  </si>
  <si>
    <t>HEAD MACHINE MS-03/CR/L+R/ Schecter Logo</t>
  </si>
  <si>
    <t>BB25070034</t>
  </si>
  <si>
    <t>HEAD MACHINE MS-03M/BK/L+R/ Schecter Logo</t>
  </si>
  <si>
    <t>BB25070096</t>
  </si>
  <si>
    <t>NUT SZ-003 BK (43*6T)</t>
  </si>
  <si>
    <t>BB25060076</t>
  </si>
  <si>
    <t>SCREW MR 3*28MM GD</t>
  </si>
  <si>
    <t>BB25070123</t>
  </si>
  <si>
    <t>NUT TUSQ XL 6 String Electric 43*6*9 Creme (BQL-6943-00)</t>
  </si>
  <si>
    <t>BB25070068</t>
  </si>
  <si>
    <t>FISHMAN FLUENCE MODERN HUMBUCKER NICKEL (OEM-M37-CN1)</t>
  </si>
  <si>
    <t>BB25080021</t>
  </si>
  <si>
    <t>ELECTRO NUB-Z (PJ801 BK)</t>
  </si>
  <si>
    <t>BB25070063</t>
  </si>
  <si>
    <t>NUT PPS  BK 42*6T (4ST) MS</t>
  </si>
  <si>
    <t>BB25070065</t>
  </si>
  <si>
    <t>NUT PPS  BK 43*6T (6ST)</t>
  </si>
  <si>
    <t>BB25070066</t>
  </si>
  <si>
    <t>NUT PPS  BK 48*6T (7ST)</t>
  </si>
  <si>
    <t>BB25070067</t>
  </si>
  <si>
    <t>NUT PPS  BK 48*6T (7ST) LH</t>
  </si>
  <si>
    <t>BB25080033</t>
  </si>
  <si>
    <t>HEAD MACHINE JB-150-GDS L3 R2 SCHECTER</t>
  </si>
  <si>
    <t>BB25080024</t>
  </si>
  <si>
    <t>DECAL WATER TRANSFER SILVER &amp; BLACK "PJD Guitar EST.2010"</t>
  </si>
  <si>
    <t>BB25070069</t>
  </si>
  <si>
    <t>HEAD MACHINE ML-03M/BK/L4, R2</t>
  </si>
  <si>
    <t>BB25070070</t>
  </si>
  <si>
    <t>HEAD MACHINE ML-03M/BK/L5, R2</t>
  </si>
  <si>
    <t>BB25070071</t>
  </si>
  <si>
    <t>HEAD MACHINE ML-03M/BK/R5, L2</t>
  </si>
  <si>
    <t>BB25070072</t>
  </si>
  <si>
    <t>HEAD MACHINE ML-03M/CR/L4, R2</t>
  </si>
  <si>
    <t>BB25070073</t>
  </si>
  <si>
    <t>HEAD MACHINE ML-03M/GD/L4, R2</t>
  </si>
  <si>
    <t>BB25070074</t>
  </si>
  <si>
    <t>HEAD MACHINE ML-03M/GD/L5, R2</t>
  </si>
  <si>
    <t>BB25040100</t>
  </si>
  <si>
    <t>FRETWIRE 2.8MMX1.4MM 38*63*24F SILVER NICKEL R380, HV180</t>
  </si>
  <si>
    <t>BB25040089</t>
  </si>
  <si>
    <t>FRETWIRE 2.8MMX1.4MM 41.5*57*24F SILVER NICKEL R330, HV180</t>
  </si>
  <si>
    <t>BB25080028</t>
  </si>
  <si>
    <t>VENEER NYATOH (0.5T X 360 X 530) FOR BODY</t>
  </si>
  <si>
    <t>BB25080018</t>
  </si>
  <si>
    <t>GRIP-LOCK TM OPEN GUITAR TUNING MACHINE CHROME .827" (21MM)</t>
  </si>
  <si>
    <t>BB25080017</t>
  </si>
  <si>
    <t>GRIP-LOCK TM OPEN GUITAR TUNING MACHINE CHROME.827" (21MM) TREBLE SIDE</t>
  </si>
  <si>
    <t>BB25080019</t>
  </si>
  <si>
    <t>HB6-3/8" LICENSED ULTRALITE BASS TUNING MACHINE BLACK Y KEY TREBLE SIDE</t>
  </si>
  <si>
    <t>BB25070080</t>
  </si>
  <si>
    <t>Tail Bridge 7 String Tone A Matic Guitar Bridge (SKU : 4TM070C)</t>
  </si>
  <si>
    <t>BB25070082</t>
  </si>
  <si>
    <t>Solo TM -  Single String Bass Bridge BK (SKU : 5S100B) String Spacing 19mm</t>
  </si>
  <si>
    <t>BB25080027</t>
  </si>
  <si>
    <t>HB6 - 3/8" LICENSED ULTRALITE® BASS TUNING MACHINE BLACK Y KEY</t>
  </si>
  <si>
    <t>BB25080029</t>
  </si>
  <si>
    <t>PICKUP NECK P-2010 BK 7ST SHIELD 1P</t>
  </si>
  <si>
    <t>BB25080030</t>
  </si>
  <si>
    <t>PICKUP BRIDGE P-2011 BK 7ST SHIELD 1P</t>
  </si>
  <si>
    <t>BB25080041</t>
  </si>
  <si>
    <t>GUITAR STRING SAMPLE</t>
  </si>
  <si>
    <t>BB25070084</t>
  </si>
  <si>
    <t>Pickup Neck Seymour Duncan 7 Str Sentient Neck, Rail LH</t>
  </si>
  <si>
    <t>BB25070085</t>
  </si>
  <si>
    <t>Pickup Neck Seymour Duncan SSL5</t>
  </si>
  <si>
    <t>BB25070086</t>
  </si>
  <si>
    <t>Pickup MIddle Seymour Duncan SSL5</t>
  </si>
  <si>
    <t>BB25080042</t>
  </si>
  <si>
    <t>PCvr, Strat, Blk,13.5 pt Logo</t>
  </si>
  <si>
    <t>BB25070088</t>
  </si>
  <si>
    <t>Pickup Bridge Seymour Duncan 7 Str Nazgul Brg, Blk OEM #11712-96-P-Blk-7Str</t>
  </si>
  <si>
    <t>BB25070089</t>
  </si>
  <si>
    <t>Pickup Bridge Seymour Duncan JB Humbucker</t>
  </si>
  <si>
    <t>BB25070090</t>
  </si>
  <si>
    <t>Pickup Bridge Seymour Duncan SH6</t>
  </si>
  <si>
    <t>BB25070057</t>
  </si>
  <si>
    <t>BRIDGE BN201 BK-</t>
  </si>
  <si>
    <t>BB25070132</t>
  </si>
  <si>
    <t>HEAD MACHINE JBL-200 CR L2 R2 -</t>
  </si>
  <si>
    <t>BB25090011</t>
  </si>
  <si>
    <t>HEAD MACHINE DJ133C-M2 (6R)</t>
  </si>
  <si>
    <t>BB25090012</t>
  </si>
  <si>
    <t>HEAD MACHINE DJ133G-DM2 (3R, 3L)</t>
  </si>
  <si>
    <t>BB25090013</t>
  </si>
  <si>
    <t>HEAD MACHINE DJ133B-DM2 (3R, 3L)</t>
  </si>
  <si>
    <t>BB25090003</t>
  </si>
  <si>
    <t>PICKUP NECK P-1009 BK</t>
  </si>
  <si>
    <t>BB25090004</t>
  </si>
  <si>
    <t>PICKUP BRIDGE P-1009 BK</t>
  </si>
  <si>
    <t>BB25090005</t>
  </si>
  <si>
    <t>NECK PLATE R-2018 NI</t>
  </si>
  <si>
    <t>BB25090006</t>
  </si>
  <si>
    <t>ENDPIN E-1001 NI</t>
  </si>
  <si>
    <t>BB25090007</t>
  </si>
  <si>
    <t>KNOB V&amp;T C-1018 NI</t>
  </si>
  <si>
    <t>BB25090016</t>
  </si>
  <si>
    <t>FRETWIRE 2.9mm x 1.3mm 38.1*63*21F Stainless Steel R285</t>
  </si>
  <si>
    <t>BB25090017</t>
  </si>
  <si>
    <t>FRETWIRE 2.3mm x 1.4mm 42*56*22F Silver Nickel HV180 R220</t>
  </si>
  <si>
    <t>BB25090009</t>
  </si>
  <si>
    <t>BRIDGE FOR CETTA</t>
  </si>
  <si>
    <t>BB25090010</t>
  </si>
  <si>
    <t>handle for homer bridge</t>
  </si>
  <si>
    <t>BB25090022</t>
  </si>
  <si>
    <t>JACK PLATE HJ010 BK</t>
  </si>
  <si>
    <t>BB25090023</t>
  </si>
  <si>
    <t>KNOB NB001 GD</t>
  </si>
  <si>
    <t>BB25090024</t>
  </si>
  <si>
    <t>KNOB NB001 BK</t>
  </si>
  <si>
    <t>BB25090025</t>
  </si>
  <si>
    <t>HE001 CR</t>
  </si>
  <si>
    <t>BB25090026</t>
  </si>
  <si>
    <t>HE001 GD</t>
  </si>
  <si>
    <t>BB25090027</t>
  </si>
  <si>
    <t>HE001 BK</t>
  </si>
  <si>
    <t>BB25090028</t>
  </si>
  <si>
    <t>HS106 GD</t>
  </si>
  <si>
    <t>BB25070060</t>
  </si>
  <si>
    <t>BRIDGE BG-3006 GD</t>
  </si>
  <si>
    <t>BB25090037</t>
  </si>
  <si>
    <t>Fretwire 2.4mm x 1.4mm 42.8mm x 58mm x 24F Silver Nickel R330</t>
  </si>
  <si>
    <t>BB25090036</t>
  </si>
  <si>
    <t>Fretwire 2.7mm x 1mm 42.8mm x 58mm x 24F Silver Nickel 18% R230</t>
  </si>
  <si>
    <t>BB25090038</t>
  </si>
  <si>
    <t>Fretwire 2.3mm x 1.4mm 42*55.72*22F Silver Nickel 18% HV180 R230</t>
  </si>
  <si>
    <t>BB25060003</t>
  </si>
  <si>
    <t>FRTS1000 (FR Special CR) Blok Size 37mm, Locking Nut 41,3mm R350mm w/ String guide Bar Type CR</t>
  </si>
  <si>
    <t>BB25090029</t>
  </si>
  <si>
    <t>Pickguard 1Ply Gold Anodized Alumiminum 2,4T</t>
  </si>
  <si>
    <t>BB25090030</t>
  </si>
  <si>
    <t>TAIL BRIDGE BG-2006 GD</t>
  </si>
  <si>
    <t>BB25090031</t>
  </si>
  <si>
    <t>TAIL BRIDGE BG-1001-SS-CR</t>
  </si>
  <si>
    <t>BB25090032</t>
  </si>
  <si>
    <t>TAIL BRIDGE BG-2004-6 CR</t>
  </si>
  <si>
    <t>BB25090033</t>
  </si>
  <si>
    <t>TAIL BRIDGE BG-1009 CR (Stainless Saddle, Zinc Block)</t>
  </si>
  <si>
    <t>BB25090034</t>
  </si>
  <si>
    <t>TAIL BRIDGE BG-2003-6 GD</t>
  </si>
  <si>
    <t>BB25090035</t>
  </si>
  <si>
    <t>TAIL BRIDGE BG-2003-7 GD</t>
  </si>
  <si>
    <t>BB25090040</t>
  </si>
  <si>
    <t>1-5 WAY L/S CAP BK (2505N), 1V (24-18B500K),1T (24-18A500K), 1 CAPASITOR 2A223J, 1J MONO EG-2P (NUT &amp; WASHER CR) ELECTRO SC-01</t>
  </si>
  <si>
    <t>BB25090041</t>
  </si>
  <si>
    <t>1-5 WAY L/S CAP BK, 1V (24-18B250K),1T (24-18A250K), 1 CAPASITOR 2A223J, 1J MONO EG-2P (NUT &amp; WASHER GD) ELECTRO SC-02</t>
  </si>
  <si>
    <t>BB25090042</t>
  </si>
  <si>
    <t>1-5 WAY L/S CAP BK, 1V (24-18B500K),1T (24-18A500K), 1 CAPASITOR 2A223J, 1J MONO EG-2P (NUT &amp; WASHER CR) ELECTRO DC-01</t>
  </si>
  <si>
    <t>BB25090043</t>
  </si>
  <si>
    <t>1-5 WAY L/S CAP BK, 1V (24-18B500K),1T (24-18A500K), 1 CAPASITOR 2A223J, 1J MONO EG-2P (NUT &amp; WASHER BK) ELECTRO DC-02</t>
  </si>
  <si>
    <t>BB25090044</t>
  </si>
  <si>
    <t>PICKUP NECK ZEBRA HUMBUCKER ( P-2006) ALNICO V - CREAM/BK</t>
  </si>
  <si>
    <t>BB25090045</t>
  </si>
  <si>
    <t>PICKUP NECK T-TYPE SINGLE COIL ALNICO V (P-1015) CR COVER</t>
  </si>
  <si>
    <t>BB25090046</t>
  </si>
  <si>
    <t>PICKUP NECK S-TYPE SINGLE COIL ALNICO V (P-1016) BK COVER</t>
  </si>
  <si>
    <t>BB25090047</t>
  </si>
  <si>
    <t>PICKUP BRIDGE T-STYLE ALNICO V (P-1015) CR COVER</t>
  </si>
  <si>
    <t>BB25090048</t>
  </si>
  <si>
    <t>PICKUP BRIDGE S-STYLE ALNICO V (P-1016) BK COVER</t>
  </si>
  <si>
    <t>BB25090049</t>
  </si>
  <si>
    <t>PICKUP MIDDLE T-TYPE SINGLE COIL HUMBUCKER ALNICO V (P-1015 ) CR COVER</t>
  </si>
  <si>
    <t>BB25090050</t>
  </si>
  <si>
    <t>PICKUP MIDDLE S-TYPE SINGLE COIL HUMBUCKER ALNICO V (P-1016 ) BK COVER</t>
  </si>
  <si>
    <t>BB25090051</t>
  </si>
  <si>
    <t>1-3 WAY TOGGLE OPEN CR (CAP BK), 1V (24-18A500K), 1T (24-18A500K), 1 CAPASITOR 2A223J, 1J MONO EG-2P (HARDWARE CR), CABLE TOGGLE 660MM</t>
  </si>
  <si>
    <t>BB25090052</t>
  </si>
  <si>
    <t>1V (Ø24-18B500K), 1T (Ø24-18A500K), 1 CAPASITOR 2A223J, 1J MONO EG-2P (HARDWARE CR)</t>
  </si>
  <si>
    <t>BB25090053</t>
  </si>
  <si>
    <t>1-3 WAY L/S (CAP BARREL TYPE BK), 1V (24-15A500K), 1T (24-15A500K), 1 CAPASITOR 2A473J, 1J MONO EG-2P (HARDWARE CR)</t>
  </si>
  <si>
    <t>BB25090054</t>
  </si>
  <si>
    <t>1-5 WAY L/S (cAP BK), 1V (24-15A250K), 1T (24-15A250K), 1 CAPASITOR 2A223J, 1 MONO EG-2P (HARDWARE CR)</t>
  </si>
  <si>
    <t>BB25090055</t>
  </si>
  <si>
    <t>PICKUP NECK TELE - ALNICO 5 (P-1008 CR)</t>
  </si>
  <si>
    <t>BB25090056</t>
  </si>
  <si>
    <t>KNOB STRATO BLACK C-2002-V (VOLUME)</t>
  </si>
  <si>
    <t>BB25090057</t>
  </si>
  <si>
    <t>KNOB STRATO BLACK C-2002-T (TONE)</t>
  </si>
  <si>
    <t>BB25090058</t>
  </si>
  <si>
    <t>PICKUP BRIDGE TELE BK FIBER ALNICO V (P-3002 CR)</t>
  </si>
  <si>
    <t>BB25090062</t>
  </si>
  <si>
    <t>PPS BLANK NUT IVORY (WATERSTONE)</t>
  </si>
  <si>
    <t>BB25090075</t>
  </si>
  <si>
    <t>VENEER QUILTED MAPLE 0.5T GRADE A FOR HEAD (SAMPLE)</t>
  </si>
  <si>
    <t>BB23050112</t>
  </si>
  <si>
    <t>FRETWIRE DHP-2.8HG 1.4 SILVER NICKEL (45*68*24F) R330 -</t>
  </si>
  <si>
    <t>BB23050108</t>
  </si>
  <si>
    <t>FREETWIRE DHP-2.8HG 1.4 SILVER NICKEL (38*62*24F) R380 -</t>
  </si>
  <si>
    <t>BB25090072</t>
  </si>
  <si>
    <t>BRIDGE OEM GOLDO LES TREM II LT1, CR TREMOLO FOR EG</t>
  </si>
  <si>
    <t>BB25090073</t>
  </si>
  <si>
    <t>PPS BLANK NUT WH</t>
  </si>
  <si>
    <t>BB25090074</t>
  </si>
  <si>
    <t>PPS BLANK NUT BK</t>
  </si>
  <si>
    <t>BB25100002</t>
  </si>
  <si>
    <t>FRETWIRE 2.7MMX1.4MM 45*78*24F SILVER NICKEL R220 HV180</t>
  </si>
  <si>
    <t>BB25100003</t>
  </si>
  <si>
    <t>FRETWIRE 2.7MMX1.4MM 45*78*24F SILVER NICKEL R280 HV180</t>
  </si>
  <si>
    <t>BB25100004</t>
  </si>
  <si>
    <t>FRETWIRE 2.7MMX1.4MM 45*78*24F SILVER NICKEL R330 HV180</t>
  </si>
  <si>
    <t>BB25100005</t>
  </si>
  <si>
    <t>FRETWIRE 2.7MMX1.4MM 45*78*24F SILVER NICKEL R380 HV180</t>
  </si>
  <si>
    <t>BB25100006</t>
  </si>
  <si>
    <t>FRETWIRE 2.3MMX1.45MM 38*62*24F SILVER NICKEL R380 HV180</t>
  </si>
  <si>
    <t>BB25100012</t>
  </si>
  <si>
    <t>ELECTRO ASSY PVS6702-1 RXEQ/OMEN EXTREME BK (PSE)</t>
  </si>
  <si>
    <t>BB25090076</t>
  </si>
  <si>
    <t>KNOB V&amp;T AGE WHITE COLOR SAMPLE CETTA</t>
  </si>
  <si>
    <t>BB25100015</t>
  </si>
  <si>
    <t>PLASTIK STATISTIK</t>
  </si>
  <si>
    <t>BB25100016</t>
  </si>
  <si>
    <t>BM005 CR-( SAMPLE EVO)</t>
  </si>
  <si>
    <t>BB25100018</t>
  </si>
  <si>
    <t>PICKGUARD SAMPLE SAGO MINTGREEN IVORY 3PLY GLOSS 2.4T W/SUSUMU HJRASAWAENGRAVED &amp; EL.ASSY</t>
  </si>
  <si>
    <t>BB25100019</t>
  </si>
  <si>
    <t>PICKUP NECK SAMPLE SAGO SB3 WH ALNICO (P-1011 WH)</t>
  </si>
  <si>
    <t>BB25100020</t>
  </si>
  <si>
    <t>PICKUP BRIDGE SAMPLE SAGO SB3 WH ALNICO (P-1011 WH)</t>
  </si>
  <si>
    <t>BB25100021</t>
  </si>
  <si>
    <t>KNOB V&amp;T KN-009-02</t>
  </si>
  <si>
    <t>BB25100022</t>
  </si>
  <si>
    <t>KNOB KN-031 (CHIKEN KNOB)</t>
  </si>
  <si>
    <t>BB25100023</t>
  </si>
  <si>
    <t>PICKGUARD XL-1002-WBW</t>
  </si>
  <si>
    <t>BB25100024</t>
  </si>
  <si>
    <t>JACK KA-1005-NI</t>
  </si>
  <si>
    <t>BB25100001</t>
  </si>
  <si>
    <t>MUSIC SOLUTION METAL STICKER BK</t>
  </si>
  <si>
    <t>BB25100013</t>
  </si>
  <si>
    <t>S SONIC EDGE METAL STICKER BK</t>
  </si>
  <si>
    <t>BB25100027</t>
  </si>
  <si>
    <t>POTENSIO ROTARY 3 WAY</t>
  </si>
  <si>
    <t>BB25110001</t>
  </si>
  <si>
    <t>THE KEY INTONATION TOOL</t>
  </si>
  <si>
    <t>BB25110005</t>
  </si>
  <si>
    <t>SPALTED FLAME MAPLE VENEER (FOR HEAD)</t>
  </si>
  <si>
    <t>BB25110006</t>
  </si>
  <si>
    <t>SPALTED FLAME MAPLE VENEER (FOR BODY)</t>
  </si>
  <si>
    <t>BB25110007</t>
  </si>
  <si>
    <t>PICKUP LEGATOR ACTIVE ALNICO 7 ST NECK</t>
  </si>
  <si>
    <t>BB25110008</t>
  </si>
  <si>
    <t>PICKUP LEGATOR ACTIVE ALNICO 7 ST BRIDGE</t>
  </si>
  <si>
    <t>BB25110009</t>
  </si>
  <si>
    <t>NUT GRAPHITE BK 42*6T (NT-037-BK) 6 STRING (LH) R350</t>
  </si>
  <si>
    <t>BB25120003</t>
  </si>
  <si>
    <t>ELECTRO NAGI 3-WAY BARREL TYPE WH L/S, 1V, 1T, 1J,1 CAPASITOR NI</t>
  </si>
  <si>
    <t>BB25120004</t>
  </si>
  <si>
    <t>ELECTRO NAGI 3-T/G OPEN WH, IV, 1T, 1J, 1 CAPASITOR NI</t>
  </si>
  <si>
    <t>BB25110011</t>
  </si>
  <si>
    <t>NUT GRAPHITE WH 42*3.4 (6 STRING)</t>
  </si>
  <si>
    <t>BB23020011</t>
  </si>
  <si>
    <t>FRETWIRE DHP-2.8 HS (45*78*21F) R400 -</t>
  </si>
  <si>
    <t>BB23110009</t>
  </si>
  <si>
    <t>FRETWIRE 2.9HS 54*76*24F R380</t>
  </si>
  <si>
    <t>BB25110012</t>
  </si>
  <si>
    <t>FRETWIRE 2.9mm x 1.4mm SILVER NICKEL (60.5*80.5*24F)</t>
  </si>
  <si>
    <t>BB25120005</t>
  </si>
  <si>
    <t>ELECTRO ASSY PVS6702-2 RXEQ/OMEN EXTREME BK - LH</t>
  </si>
  <si>
    <t>BB25120006</t>
  </si>
  <si>
    <t>EL.CONTROL PLATE HC001 NI -</t>
  </si>
  <si>
    <t>BB25120007</t>
  </si>
  <si>
    <t>NECK PLATE HN001 NI</t>
  </si>
  <si>
    <t>BB25120008</t>
  </si>
  <si>
    <t>KNOB NB004 NI -</t>
  </si>
  <si>
    <t>BB25120009</t>
  </si>
  <si>
    <t>JOIN HB005 BK-</t>
  </si>
  <si>
    <t>BB25120037</t>
  </si>
  <si>
    <t>HEAD MACHINE ML-07/BK/L4+R3/21</t>
  </si>
  <si>
    <t>BB25120038</t>
  </si>
  <si>
    <t>HEAD MACHINE ML-07/BK/L7/21</t>
  </si>
  <si>
    <t>BB25120010</t>
  </si>
  <si>
    <t>DECAL WATER TRANSFER BK "BASSMODS</t>
  </si>
  <si>
    <t>BB25120011</t>
  </si>
  <si>
    <t>DECAL WATER TRANSFER WH "BASSMODS"</t>
  </si>
  <si>
    <t>BB25120012</t>
  </si>
  <si>
    <t>SERIAL NUMBER "BASSMODS" - BK</t>
  </si>
  <si>
    <t>BB25120013</t>
  </si>
  <si>
    <t>POSITION INLAY BLOCK ABALON 3T "RECTANGEL"</t>
  </si>
  <si>
    <t>BB25120014</t>
  </si>
  <si>
    <t>SIDE POSITION ABALON 2T</t>
  </si>
  <si>
    <t>BB25120015</t>
  </si>
  <si>
    <t>DECAL HEAD LOGO "LEGATOR" - MOP</t>
  </si>
  <si>
    <t>BB25120016</t>
  </si>
  <si>
    <t>POSITION TOP INLAY DOT ABALON 3MM</t>
  </si>
  <si>
    <t>BB25120017</t>
  </si>
  <si>
    <t>POSITION TOP INLAY DOT ABALON 2MM</t>
  </si>
  <si>
    <t>BB25120018</t>
  </si>
  <si>
    <t>PICKUP NECK TS-620 CR- (SAMPLE LILEY)</t>
  </si>
  <si>
    <t>BB25120019</t>
  </si>
  <si>
    <t>PICKUP BRIDGE TS-620 CR-</t>
  </si>
  <si>
    <t>BB25120020</t>
  </si>
  <si>
    <t>PICKUP NECK HS-640 CR-</t>
  </si>
  <si>
    <t>BB25120021</t>
  </si>
  <si>
    <t>PICKUP BRIDGE HS-640 CR-</t>
  </si>
  <si>
    <t>BB25120022</t>
  </si>
  <si>
    <t>PICKUP BRIDGE DR-640J BK-</t>
  </si>
  <si>
    <t>BB25120023</t>
  </si>
  <si>
    <t>PICKUP NECK SS-620 BK-</t>
  </si>
  <si>
    <t>BB25120024</t>
  </si>
  <si>
    <t>PICKUP MIDDLE SS-620 BK-</t>
  </si>
  <si>
    <t>BB25120046</t>
  </si>
  <si>
    <t>Black TUSQ XL 7 String Fanned Nut - Multi Scale (BT-6750-00)</t>
  </si>
  <si>
    <t>BB25120048</t>
  </si>
  <si>
    <t>PICKUP NECK &amp; BRIDGE BARTOLINI JAZZ BASS AMERIKA STANDART 5 ST (BASMOOD)</t>
  </si>
  <si>
    <t>BB25120049</t>
  </si>
  <si>
    <t>BRAND TOP LOGO "MC-GRATH"</t>
  </si>
  <si>
    <t>BB26010013</t>
  </si>
  <si>
    <t>GHOST 6ST STRAIGHT HEADBAR (G6S-BLK) LEGATOR</t>
  </si>
  <si>
    <t>BB26010014</t>
  </si>
  <si>
    <t>GHOST MULTISCALE 6ST HEADBAR (G6F-BLK) LEGATOR</t>
  </si>
  <si>
    <t>BB26010015</t>
  </si>
  <si>
    <t>GHOST MULTISCALE 7ST HEADBAR (G7F-BLK) LEGATOR</t>
  </si>
  <si>
    <t>BB26010016</t>
  </si>
  <si>
    <t>GHOST MULTISCALE 8ST HEADBAR (G8F-BLK) LEGATOR</t>
  </si>
  <si>
    <t>BB26010017</t>
  </si>
  <si>
    <t>GHOST MONORAIL BRIDGE (LEGATOR)</t>
  </si>
  <si>
    <t>BB26010003</t>
  </si>
  <si>
    <t>ELECTRO BASSMODS 3 BAND JAZZ PLATE PREAMP (ALUMUNIUM) CR</t>
  </si>
  <si>
    <t>BB26010006</t>
  </si>
  <si>
    <t>PICKUP NECK HUMB OPEN BK 6ST ALNICO JAPAN TYPE N-300</t>
  </si>
  <si>
    <t>BB26010005</t>
  </si>
  <si>
    <t>PICKUP BRIDGE HUMB OPEN BK 6ST FERRITE JAPAN TYPE N-300</t>
  </si>
  <si>
    <t>BB26010007</t>
  </si>
  <si>
    <t>PICKUP NECK HUMB COVERED BK MULTISCALE 6ST ACTIVE LEGATOR NG6FSS</t>
  </si>
  <si>
    <t>BB26010008</t>
  </si>
  <si>
    <t>PICKUP BRIDGE HUMB COVERED BK MULTISCALE 6ST ACTIVE LEGATOR NG6FSS</t>
  </si>
  <si>
    <t>BB26010009</t>
  </si>
  <si>
    <t>PICKUP NECK HUMB COVERED BK MULTISCALE 7ST ACTIVE LEGATOR NG7FSS</t>
  </si>
  <si>
    <t>BB26010011</t>
  </si>
  <si>
    <t>PICKUP BRIDGE HUMB COVERED BK MULTISCALE 7ST ACTIVE LEGATOR NG7FSS</t>
  </si>
  <si>
    <t>BB26010010</t>
  </si>
  <si>
    <t>PICKUP NECK HUMB COVERED BK MULTISCALE 8ST ACTIVE LEGATOR NG8FSS</t>
  </si>
  <si>
    <t>BB26010012</t>
  </si>
  <si>
    <t>PICKUP BRIDGE HUMB COVERED BK MULTISCALE 8ST ACTIVE LEGATOR NG8FSS</t>
  </si>
  <si>
    <t>BB26010027</t>
  </si>
  <si>
    <t>BM005 GD</t>
  </si>
  <si>
    <t>BB26010028</t>
  </si>
  <si>
    <t>BN003 GD</t>
  </si>
  <si>
    <t>BB26010030</t>
  </si>
  <si>
    <t>HJ101 NI</t>
  </si>
  <si>
    <t>BB26010031</t>
  </si>
  <si>
    <t>HEAD MACHINE MG-03 GD L3, R3</t>
  </si>
  <si>
    <t>BB26010019</t>
  </si>
  <si>
    <t>1-3 WAY TOGGLE OPEN CR (CAP BK), 1V (24-18A500K), 1T (24-18A500K), 1 CAPASITOR 2A223J, 1J MONO EG-2P (HARDWARE CR</t>
  </si>
  <si>
    <t>BB26010020</t>
  </si>
  <si>
    <t>1V (24-18A500K), 1T (24-18A500K, 1J Mono EG-2P, 1 Capasitor 2A223J (PJD</t>
  </si>
  <si>
    <t>BB26010021</t>
  </si>
  <si>
    <t>1-5 way L/S (cap BK), 1V (24-15A500K), 1T (24-15A500K), 1J Mono EG-2P, Capasitor 2A233J (PJD)</t>
  </si>
  <si>
    <t>BB26010022</t>
  </si>
  <si>
    <t>PICKUP NECK P-1012 WHITE</t>
  </si>
  <si>
    <t>BB26010023</t>
  </si>
  <si>
    <t>PICKUP BRIDGE P-1012 WHITE</t>
  </si>
  <si>
    <t>BB26010024</t>
  </si>
  <si>
    <t>PICKUP HUMB LP COVERED OPEN NI ALNICO NECK SH-1 NI</t>
  </si>
  <si>
    <t>BB26010025</t>
  </si>
  <si>
    <t>PICKUP HUMB LP COVERED OPEN NI ALNICO BRIDGE SH-1 NI</t>
  </si>
  <si>
    <t>BB26010033</t>
  </si>
  <si>
    <t>FRETWIRE 2.9mm x 1.3mm 38.1*63*20F Stainless Steel R285</t>
  </si>
  <si>
    <t>BB26010034</t>
  </si>
  <si>
    <t>FRETWIRE 2.9mm x 1.3mm 45.75*72.48*20F Stainless Steel R285</t>
  </si>
  <si>
    <t>BB26010035</t>
  </si>
  <si>
    <t>FRETWIRE 2.8mm x 1.4mm 42*57*22F Silver Nickle 18% R330 HV180</t>
  </si>
  <si>
    <t>BB25050122</t>
  </si>
  <si>
    <t>FRETWIRE DCT 2.7mm x 1.4mm 38*62*21F Stainless Steel R230 (LOG BAWAH ADA STOCK)</t>
  </si>
  <si>
    <t>BB25050123</t>
  </si>
  <si>
    <t>FRETWIRE DCT 2.7mm x 1.4mm 42*56*22F Stainless Steel R230 (LOG BAWAH ADA STOK)</t>
  </si>
  <si>
    <t>BB26010046</t>
  </si>
  <si>
    <t>SEYMOUR PICKUP BRIDGE SH-18B WHOLE LOTTA HB BRIDGE NCOV</t>
  </si>
  <si>
    <t>BB26010049</t>
  </si>
  <si>
    <t>DECAL HEAD LOGO RICK SPRINGFIELD BK</t>
  </si>
  <si>
    <t>BB26010052</t>
  </si>
  <si>
    <t>DECAL BODY BLACK "RICK SPRINGFIELD"</t>
  </si>
  <si>
    <t>BB26010053</t>
  </si>
  <si>
    <t>DECAL BODY  WHITE "RICK SPRINGFIELD"</t>
  </si>
  <si>
    <t>BB26010050</t>
  </si>
  <si>
    <t>DECAL BACK SIGNATURE "AUTHORIZED BY RICK SPRINGFIELD" BK</t>
  </si>
  <si>
    <t>BB26010051</t>
  </si>
  <si>
    <t>DECAL BACK SIGNATURE "AUTHORIZED BY RICK SPRINGFIELD" WH</t>
  </si>
  <si>
    <t>BB26010054</t>
  </si>
  <si>
    <t>POSITION INLAY BLOCK ABALON 3T "RECTANGEL" NEW</t>
  </si>
  <si>
    <t>BB26010048</t>
  </si>
  <si>
    <t>NUT BONE 42*3.4T (6 STRING) R250</t>
  </si>
  <si>
    <t>BB26010036</t>
  </si>
  <si>
    <t>Pickguard 1Ply Silver Anodized Alumiminum 2,4T</t>
  </si>
  <si>
    <t>BB26010100</t>
  </si>
  <si>
    <t>FRETWIRE 2.9MM X 1.3MM 42*56.5*22F SILVER NICKLE 18% HV180 R285</t>
  </si>
  <si>
    <t>BB26010101</t>
  </si>
  <si>
    <t>PICKGUARD ASSY EVO - MINTGREEN Q0603</t>
  </si>
  <si>
    <t>BB26010102</t>
  </si>
  <si>
    <t>PICKGUARD ASSY EVO - IVORY Q3201</t>
  </si>
  <si>
    <t>BB26010103</t>
  </si>
  <si>
    <t>EL CONTROL PLATE HJ-1002-GD</t>
  </si>
  <si>
    <t>BB26020001</t>
  </si>
  <si>
    <t>PICKUP WIDERANGE LP MINI GD COVER SLX</t>
  </si>
  <si>
    <t>BB26010039</t>
  </si>
  <si>
    <t>NUT GRAPHITE WH 42*6T (6 STRING) - BARANG REAL BK</t>
  </si>
  <si>
    <t>BB26010085</t>
  </si>
  <si>
    <t>HEAD MACHINE M-1003-CR</t>
  </si>
  <si>
    <t>BB26010058</t>
  </si>
  <si>
    <t>STRING RETAINER KB-1005A-CR</t>
  </si>
  <si>
    <t>BB26010059</t>
  </si>
  <si>
    <t>NECK JOIN BUSHING R-1004 CR</t>
  </si>
  <si>
    <t>BB26010060</t>
  </si>
  <si>
    <t>PICKGUARD HC-1017</t>
  </si>
  <si>
    <t>BB26010061</t>
  </si>
  <si>
    <t>NUT JAZZ BASS  ZE-1009 WH</t>
  </si>
  <si>
    <t>BB26010062</t>
  </si>
  <si>
    <t>BRIDGE BG-1001A-CR</t>
  </si>
  <si>
    <t>BB26010063</t>
  </si>
  <si>
    <t>STRING RETAINER KB-1003-CR</t>
  </si>
  <si>
    <t>BB26010064</t>
  </si>
  <si>
    <t>EL CONTROL PLATE HJ-1002-CR</t>
  </si>
  <si>
    <t>BB26010065</t>
  </si>
  <si>
    <t>COVER H-2001</t>
  </si>
  <si>
    <t>BB26010066</t>
  </si>
  <si>
    <t>COVER H-1004</t>
  </si>
  <si>
    <t>BB26010067</t>
  </si>
  <si>
    <t>NUT ZE-1024-WH</t>
  </si>
  <si>
    <t>BB26010068</t>
  </si>
  <si>
    <t>BRIDGE BA-1022-CR</t>
  </si>
  <si>
    <t>BB26010069</t>
  </si>
  <si>
    <t>CONTROL PLATE ASSY XL-1012</t>
  </si>
  <si>
    <t>BB26010070</t>
  </si>
  <si>
    <t>STRING RETAINER L-1004-CR</t>
  </si>
  <si>
    <t>BB26010071</t>
  </si>
  <si>
    <t>BRIDGE BG-5001B-CR</t>
  </si>
  <si>
    <t>BB26010072</t>
  </si>
  <si>
    <t>PICKUP NECK &amp; BRIDGE P-1007-BK</t>
  </si>
  <si>
    <t>BB26010073</t>
  </si>
  <si>
    <t>CONTROL PLATE HJ-1001-CR</t>
  </si>
  <si>
    <t>BB26010086</t>
  </si>
  <si>
    <t>NECK PLATE R-2004 NI SLX Logo</t>
  </si>
  <si>
    <t>BB26010074</t>
  </si>
  <si>
    <t>BRIDGE BG-6017-GD-PE WHITE TIP</t>
  </si>
  <si>
    <t>BB26010075</t>
  </si>
  <si>
    <t>ELECTRO SLX  1-3 WAY TOGGLE OPEN GD (WITH CAP WH) CABBLE TOGGLE 660MM, 1V (24-18SL-B250K), 1T (24-15SL-A250K), 1 CAPASITOR 2A473J, 1J MONO EG-2P (H/W GD)</t>
  </si>
  <si>
    <t>BB26010076</t>
  </si>
  <si>
    <t xml:space="preserve"> ELECTRO SLX 1-3 WAY TOGGLE OPEN GD (WITH CAP WH) CABBLE TOGGLE 660MM, 2V (24-18SL-B500K), 2T PUSH/PUSH  (16-18SL-A500K), 1 CAPASITOR 2A223J, 1J MONO EG-2P (H/W GD)</t>
  </si>
  <si>
    <t>BB26010077</t>
  </si>
  <si>
    <t xml:space="preserve"> ELECTRO SLX 1-3 WAY TOGGLE OPEN NI (WITH CAP WH) CABBLE TOGGLE 660MM, 2V (24-18SL-B500K), 2T PUSH/PUSH  (16-18SL-A500K), 1 CAPASITOR 2A223J, 1J MONO EG-2P (H/W GD)</t>
  </si>
  <si>
    <t>BB26010078</t>
  </si>
  <si>
    <t xml:space="preserve"> ELECTRO SLX 3 - WAY L/S CRL (KNOB BK), 1V (24-18B25K), 1J MONO EG-2P (H/W BK)</t>
  </si>
  <si>
    <t>BB26010079</t>
  </si>
  <si>
    <t>ELECTRO SLX 5 - WAY L/S CRL (CAP WHITE PARCHMENT), 1V (24-15B500K), 1T(24-15A500K), 1T PUSH/PUSH (24-18SL-A500K)</t>
  </si>
  <si>
    <t>BB26010080</t>
  </si>
  <si>
    <t>ELECTRO SLX 3 - WAY L/S CRL (TOP HAT TYPE BK), 1V (24-15B500K), 1T PUSH/PUSH (VPP3-A500K-METRIC)</t>
  </si>
  <si>
    <t>BB26010087</t>
  </si>
  <si>
    <t>PICKGUARD ASSY WH GLOSS 3 PLY 2.4T + ELECTRO (1-5 WAY BLADE LEVER SWITCH (CAP WH), 1V (24-15B500K), 2T (24-15A500K), 1J MONO EG-2P, 1 CAPASITOR 2A323J) + PICKUP NECK (SINGLE NECK OPEN COVER WH FERRITE)+ PICKUP MIDDLE (SINGLE MIDDLE OPEN COVER WH FERRITE) +PICKUP BRIDGE (HUMBUCKER BRDIGE WH FERRITE) + KNOB PLASTIK STD STRATO WH (VOLUME&amp;TONE)</t>
  </si>
  <si>
    <t>BB26010081</t>
  </si>
  <si>
    <t>PICKGUARD ASSY XL-1002-MINT GREEN 3 PLY 2.4T</t>
  </si>
  <si>
    <t>BB26010082</t>
  </si>
  <si>
    <t>PICKGUARD ASSY X-1002-IVORY 3 PLY GLOSS 2.4T</t>
  </si>
  <si>
    <t>BB26010083</t>
  </si>
  <si>
    <t>PICKGUARD ASSY X-1002-BLACK WHITE BLACK 3PLY 2.4T</t>
  </si>
  <si>
    <t>BB26010084</t>
  </si>
  <si>
    <t>PICKGUARD ASSY X-1002- PARCHMENT 3 PLY 2.4T</t>
  </si>
  <si>
    <t>BB26010088</t>
  </si>
  <si>
    <t>ELECTRO SLX 1-3 WAY TOGGLE OPEN GD (WITH CAP WH) CABBLE TOGGLE 660MM, 1V (24-18SL-B500K), 1T PUSH/PUSH (16-18SL-A500K), 1 CAPASITOR 2A223J, 1J MONO EG-2P (H/W GD)</t>
  </si>
  <si>
    <t>BB26010096</t>
  </si>
  <si>
    <t>HEAD MACHINE J-55 NI R6 (S.P.L.K)</t>
  </si>
  <si>
    <t>BB26010097</t>
  </si>
  <si>
    <t>JB-150-BK (L2.R2) TIDAK LOGO</t>
  </si>
  <si>
    <t>BB26010098</t>
  </si>
  <si>
    <t>JB-150-GD L2R2 TIDAK LOGO</t>
  </si>
  <si>
    <t>BB26020020</t>
  </si>
  <si>
    <t>YB XL-120 OEM SET D'ADDARIO XL.009 SUPER LITE (6st)</t>
  </si>
  <si>
    <t>BB25040091</t>
  </si>
  <si>
    <t>FRETWIRE 2.8MMX1.4MM 45*69*24F SILVER NICKEL R380, HV180 (DI LOG BAWAH ADA STOK 45SET)</t>
  </si>
  <si>
    <t>BB25040092</t>
  </si>
  <si>
    <t>FRETWIRE 2.8MMX1.4MM 48*69*24F SILVER NICKEL R380, HV180</t>
  </si>
  <si>
    <t>BB26020031</t>
  </si>
  <si>
    <t>FRETWIRE 2.3MM x 1.4MM 43*57*24F R380 STAINLESS STEEL(HAPAS)</t>
  </si>
  <si>
    <t>BB26020032</t>
  </si>
  <si>
    <t>FRETWIRE 2.7MM x 1.4MM 38*62*21F STAINLESS STEEL R220mm</t>
  </si>
  <si>
    <t>BB23110049</t>
  </si>
  <si>
    <t>FRETWIRE 2.7HS 42*56*22F Stainless R220mm HV180</t>
  </si>
  <si>
    <t>BB26020033</t>
  </si>
  <si>
    <t>FRETWIRE 2.7MMX1.4MM 45*74*21F R220 STAINLESS STEEL</t>
  </si>
  <si>
    <t>BB25040014</t>
  </si>
  <si>
    <t>FRETWIRE 2.4MMX1.4MM 42*56*22F R220 STAINLESS STEEL</t>
  </si>
  <si>
    <t>BB26020040</t>
  </si>
  <si>
    <t>NECK HUMBUCKER WIDE RANGE GD COVER (WR-4N GD)</t>
  </si>
  <si>
    <t>BB26020041</t>
  </si>
  <si>
    <t>NECK HUMBUCKER WIDE RANGE GD COVER (WR-4B GD)</t>
  </si>
  <si>
    <t>BB26020042</t>
  </si>
  <si>
    <t>NECK HUMBUCKER WIDE RANGE NI COVER (WR-4N NI)</t>
  </si>
  <si>
    <t>BB26020043</t>
  </si>
  <si>
    <t>BRIDGE HUMBUCKER WIDE RANGE NI COVER (WR-4B NI)</t>
  </si>
  <si>
    <t>BB26020044</t>
  </si>
  <si>
    <t>P-90 BK NECK  (MINGS)</t>
  </si>
  <si>
    <t>BB26020045</t>
  </si>
  <si>
    <t>P-90 BK BRIDGE (MINGS)</t>
  </si>
  <si>
    <t>BB26020007</t>
  </si>
  <si>
    <t>DECAL BLACK INLINE DAN OUTINE RED "GTO" WITH DECAL BLACK "GUITAR'S TELLING ORCHESTRA" LOGO --TELECASTER</t>
  </si>
  <si>
    <t>BB26020008</t>
  </si>
  <si>
    <t>DECAL BLACK INLINE DAN OUTINE RED "GTO" WITH DECAL BLACK "GUITAR'S TELLING ORCHESTRA" LOGO --JAZZBASS</t>
  </si>
  <si>
    <t>BB26020009</t>
  </si>
  <si>
    <t>DECAL BLACK INLINE DAN OUTINE RED "GTO" WITH DECAL BLACK "GUITAR'S TELLING ORCHESTRA" LOGO --stratocaste</t>
  </si>
  <si>
    <t>BB26020011</t>
  </si>
  <si>
    <t>DECAL WATER TRANSFER BK "BASSMODS" LOGO + BK SERIAL NUMBER (R260101-260140)</t>
  </si>
  <si>
    <t>BB26020010</t>
  </si>
  <si>
    <t>DECAL SLX KINGFISHER UNION-MODEL</t>
  </si>
  <si>
    <t>BB26020014</t>
  </si>
  <si>
    <t>SIDE POSITION DOT ABALON 2MM</t>
  </si>
  <si>
    <t>BB26020035</t>
  </si>
  <si>
    <t>PICKUP FLAT ALNICO 5 POLE PIECE - BK (DS55-P)</t>
  </si>
  <si>
    <t>BB26020036</t>
  </si>
  <si>
    <t>PICKUP P90 ALNICO 5 MAGNET - BRASS (DP90-A5)</t>
  </si>
  <si>
    <t>BB26020038</t>
  </si>
  <si>
    <t>PICKUP BRIDGE CHROME ALNICO 5 MAGNET (DL51-14K)</t>
  </si>
  <si>
    <t>BB26010040</t>
  </si>
  <si>
    <t>PICKUP BRIDGE HUMBUCKER CHROME METAL COVER COVER FERRITE (SPRINGFIELD)</t>
  </si>
  <si>
    <t>BB26020050</t>
  </si>
  <si>
    <t>SAMPLE COVER KD01</t>
  </si>
  <si>
    <t>BB26020051</t>
  </si>
  <si>
    <t>RED MINI SWITCH</t>
  </si>
  <si>
    <t>BB26010032</t>
  </si>
  <si>
    <t>BRIDGE BN105 BK</t>
  </si>
  <si>
    <t>BB26040010</t>
  </si>
  <si>
    <t>ELECTRO 1V P/P 1T SWL-3BK J3P NG78FS (LEGATOR)</t>
  </si>
  <si>
    <t>BB26040011</t>
  </si>
  <si>
    <t>ELECTRO 1V SWL-5 2502NBK J3P R-6SSUSA (LEGATOR)</t>
  </si>
  <si>
    <t>BB26040012</t>
  </si>
  <si>
    <t>ELECTRO 1V P/P SWL-3BK J3P N781NK (LEGATOR)</t>
  </si>
  <si>
    <t>BB26040013</t>
  </si>
  <si>
    <t>ELECTRO 1V SWL-3BK J3P CC7H (LEGATOR)</t>
  </si>
  <si>
    <t>BB26040014</t>
  </si>
  <si>
    <t>ELECTRO 1V SWL-3BK J3P NR400 (LEGATOR)</t>
  </si>
  <si>
    <t>BB26040015</t>
  </si>
  <si>
    <t>ELECTRO 1V SWL-5 2502NBK J3P N6SSUSA (LEGATOR)</t>
  </si>
  <si>
    <t>BB26040017</t>
  </si>
  <si>
    <t>PICKUP LEGATOR NEW ACTIVE RAIL AL 6 ST NECK</t>
  </si>
  <si>
    <t>BB26040018</t>
  </si>
  <si>
    <t>PICKUP LEGATOR NEW ACTIVE RAI FE 6 ST BRIDGE</t>
  </si>
  <si>
    <t>BB26040019</t>
  </si>
  <si>
    <t>PICKUP LEGATOR NEW ACTIVE RAIL AL 7 ST NECK</t>
  </si>
  <si>
    <t>BB26040020</t>
  </si>
  <si>
    <t>PICKUP LEGATOR NEW ACTIVE RAIL FE 7 ST BRIDGE</t>
  </si>
  <si>
    <t>BB26040021</t>
  </si>
  <si>
    <t>PICKUP LEGATOR NEW ACTIVE RAIL AL 8 ST NECK</t>
  </si>
  <si>
    <t>BB26040022</t>
  </si>
  <si>
    <t>ELCTRO 1V P/P SWL-3BK J3P N678F (LEGATOR)</t>
  </si>
  <si>
    <t>BB26040023</t>
  </si>
  <si>
    <t>PICKUP LEGATOR NEW ACTIVE RAIL FE 8 ST BRIDGE</t>
  </si>
  <si>
    <t>BB26040024</t>
  </si>
  <si>
    <t>PICKUP HUMB OPEN WH PASSIVE NECK JAPAN PU COPY</t>
  </si>
  <si>
    <t>BB26040025</t>
  </si>
  <si>
    <t>PICKUP HUMB OPEN WH PASSIVE BRIDGE JAPAN PU COPY</t>
  </si>
  <si>
    <t xml:space="preserve">SALDO AWAL </t>
  </si>
  <si>
    <t>KETERANGAN</t>
  </si>
  <si>
    <t>EXTERNAL CODE</t>
  </si>
  <si>
    <t>NAME</t>
  </si>
  <si>
    <t>FAMA25030001</t>
  </si>
  <si>
    <t>0651-100-A</t>
  </si>
  <si>
    <t>KIKIR DOUBLE EDGE NUT FILE SET FOR ACOUSTIC GUITAR (016-055)</t>
  </si>
  <si>
    <t>FAMA25030002</t>
  </si>
  <si>
    <t>0651-100-EG</t>
  </si>
  <si>
    <t>KIKIR DOUBLE EDGE NUT FILE SET FOR ELECTRIC GUITAR (010-046)</t>
  </si>
  <si>
    <t>FAMA25030003</t>
  </si>
  <si>
    <t>0651-100-EB</t>
  </si>
  <si>
    <t>KIKIR DOUBLE EDGE NUT FILE SET FOR ELECTRIC BASS GUITAR (045-130)</t>
  </si>
  <si>
    <t>FAMA25030004</t>
  </si>
  <si>
    <t>0651-XZ1-C</t>
  </si>
  <si>
    <t>KIKIR DOUBLE EDGE NUT FILE SET FOR CLASSIC GUITAR (030-046)</t>
  </si>
  <si>
    <t>FAMA25030005</t>
  </si>
  <si>
    <t>0651-XZ1-AG</t>
  </si>
  <si>
    <t>KIKIR DOUBLE EDGE NUT FILE SET FOR ACIUSTIC GUITAR (012-054)</t>
  </si>
  <si>
    <t>FAMA25030006</t>
  </si>
  <si>
    <t>0651-XZ6-100-1</t>
  </si>
  <si>
    <t>KIKIR NUT SEATING FILE 1/4''</t>
  </si>
  <si>
    <t>FAMA25030007</t>
  </si>
  <si>
    <t>0651-XZ6-100-3</t>
  </si>
  <si>
    <t>KIKIR NUT SEATING FILE 1/8''</t>
  </si>
  <si>
    <t>FAMA25030008</t>
  </si>
  <si>
    <t>0651-CL-1</t>
  </si>
  <si>
    <t>KIKIR NUT FRET ROCHER</t>
  </si>
  <si>
    <t>FAMA25030009</t>
  </si>
  <si>
    <t>0651-PG2-100-2</t>
  </si>
  <si>
    <t>KIKIR FRET CROWN FILE 2MM</t>
  </si>
  <si>
    <t>FAMA25030010</t>
  </si>
  <si>
    <t>0651-PG2-100-3</t>
  </si>
  <si>
    <t>KIKIR FRET CROWN FILE 3MM</t>
  </si>
  <si>
    <t>FAMA25030011</t>
  </si>
  <si>
    <t>0651-PG8-216</t>
  </si>
  <si>
    <t>KIKIR BOOMERANG DIAMOND FRET FILE</t>
  </si>
  <si>
    <t>ada di produksi 5</t>
  </si>
  <si>
    <t>FAMA25030012</t>
  </si>
  <si>
    <t>0651-PG3-100-2</t>
  </si>
  <si>
    <t>KIKIR DIAMOND FRET CROWN 2MM</t>
  </si>
  <si>
    <t>FAMA25030014</t>
  </si>
  <si>
    <t>0651-XZ3-50-2.0</t>
  </si>
  <si>
    <t>KIKIR SADDLE SLOT FILE 2.0</t>
  </si>
  <si>
    <t>FAMA25030015</t>
  </si>
  <si>
    <t>0651-XZ3-50-2.5</t>
  </si>
  <si>
    <t>KIKIR SADDLE SLOT FILE 2.5</t>
  </si>
  <si>
    <t>FAMA25030013</t>
  </si>
  <si>
    <t>0651-PG3-100-3</t>
  </si>
  <si>
    <t>KIKIR DIAMOND FRET CROWN FILE 3MM</t>
  </si>
  <si>
    <t>SCHECTER JULY</t>
  </si>
  <si>
    <t>MATERIAL FENDER 200 SET (STOK)</t>
  </si>
  <si>
    <t>C-6 DELUXE SATIN BLACK -</t>
  </si>
  <si>
    <t>STRING GANTI DADDARIO 6ST</t>
  </si>
  <si>
    <t>DESCRIPTION</t>
  </si>
  <si>
    <t>QTY</t>
  </si>
  <si>
    <t>KURANG SERIAL NUMBER</t>
  </si>
  <si>
    <t>H/M</t>
  </si>
  <si>
    <t>M-1001 6R CR</t>
  </si>
  <si>
    <t>45 SET</t>
  </si>
  <si>
    <t>C-6 FR DELUXE LH SATIN BLACK -</t>
  </si>
  <si>
    <t>STRING</t>
  </si>
  <si>
    <t>ERNIE BALL 010-046</t>
  </si>
  <si>
    <t>200 SET</t>
  </si>
  <si>
    <t>PICKUP HARUSNYA P-2012 N&amp;B LH</t>
  </si>
  <si>
    <t>NUT</t>
  </si>
  <si>
    <t>NT-008 BK (42*6T 6ST)</t>
  </si>
  <si>
    <t>250 PCS</t>
  </si>
  <si>
    <t>KURANG SGRTS10 LH</t>
  </si>
  <si>
    <t>JOIN</t>
  </si>
  <si>
    <t>R-2006 CR</t>
  </si>
  <si>
    <t>160 PCS</t>
  </si>
  <si>
    <t>C-7 DELUXE SATIN BLACK -</t>
  </si>
  <si>
    <t>PICKUP HARUSNYA P-2010, P-2011</t>
  </si>
  <si>
    <t>HN001 CR</t>
  </si>
  <si>
    <t>130 PCS</t>
  </si>
  <si>
    <t>PICKUP RING HARUSNYA MT75F, MT75R</t>
  </si>
  <si>
    <t>TAIL (BRIDGE)</t>
  </si>
  <si>
    <t>BG-1004-A CR</t>
  </si>
  <si>
    <t>52 PCS</t>
  </si>
  <si>
    <t>SB104 CR</t>
  </si>
  <si>
    <t>C-6 PLUS ELECTRIC MAGENTA -</t>
  </si>
  <si>
    <t>ENDPIN</t>
  </si>
  <si>
    <t>E-1009 CR</t>
  </si>
  <si>
    <t>600 PCS</t>
  </si>
  <si>
    <t>SC-6 NATURAL SATIN</t>
  </si>
  <si>
    <t>STRING HARUSNYA PAKAI BASS ;</t>
  </si>
  <si>
    <t>KNOB VOLUME (X1)</t>
  </si>
  <si>
    <t>C-2001 MINT GRREN</t>
  </si>
  <si>
    <t>60 PCS</t>
  </si>
  <si>
    <t>KN-007 BK</t>
  </si>
  <si>
    <t>73 PCS</t>
  </si>
  <si>
    <t>C-2001 CREAM</t>
  </si>
  <si>
    <t>75 PCS</t>
  </si>
  <si>
    <t>KNOB TONE (X2)</t>
  </si>
  <si>
    <t>50 PCS</t>
  </si>
  <si>
    <t>115 PCS</t>
  </si>
  <si>
    <t>28 PCS</t>
  </si>
  <si>
    <t>JACK COVER</t>
  </si>
  <si>
    <t>F-1003 CR</t>
  </si>
  <si>
    <t>460 PCS</t>
  </si>
  <si>
    <t>KURANG KNOB PB-4/1 BK</t>
  </si>
  <si>
    <t>STRING GUIDE</t>
  </si>
  <si>
    <t>KKB-1001 CR</t>
  </si>
  <si>
    <t>1500 PCS</t>
  </si>
  <si>
    <t>PAKAI ELECTRO : ELECTRIC 1V, 1BAL, 1MID, 1TRE, JACKPHONE STEREO EQ3BAND-GC-6</t>
  </si>
  <si>
    <t>ELECTRO</t>
  </si>
  <si>
    <t>PVS6117-1</t>
  </si>
  <si>
    <t>OMEN ELITE-7 LH BCHB -</t>
  </si>
  <si>
    <t>HEAD MACHINE HARUSNYA J-03M L3R4 BK</t>
  </si>
  <si>
    <t>PICKUP SINGGLE NECK</t>
  </si>
  <si>
    <t>PTP1083-1</t>
  </si>
  <si>
    <t>STILETTO STEALTH -5 2523 SATIN BLACK</t>
  </si>
  <si>
    <t>HARUSNYA PICKUP :</t>
  </si>
  <si>
    <t>PICKUP SINGGLE MIDDLE</t>
  </si>
  <si>
    <t>PTP1084-1</t>
  </si>
  <si>
    <t>PICKUP HUMB OPEN BRIDGE</t>
  </si>
  <si>
    <t>PTP2900</t>
  </si>
  <si>
    <t>KET</t>
  </si>
  <si>
    <t>STOCK AWAL</t>
  </si>
  <si>
    <t>/PACK</t>
  </si>
  <si>
    <t>MODEL NAME</t>
  </si>
  <si>
    <t>MACHINE  HEAD</t>
  </si>
  <si>
    <t>FRETWIRE</t>
  </si>
  <si>
    <t>TAILPIECE</t>
  </si>
  <si>
    <t>STRAP BUTTON</t>
  </si>
  <si>
    <t>DNT-003</t>
  </si>
  <si>
    <t>DNT Natural</t>
  </si>
  <si>
    <t>J-03M R3,L3 CR</t>
  </si>
  <si>
    <t xml:space="preserve">D'addario XL110 </t>
  </si>
  <si>
    <t>PPS Creame 42*6t R305</t>
  </si>
  <si>
    <t>3mm*1.4mm 42*56*22F Stainless Steel R285</t>
  </si>
  <si>
    <t>BM022 CR</t>
  </si>
  <si>
    <t>TS001 CR</t>
  </si>
  <si>
    <t>HE007 CR x 2</t>
  </si>
  <si>
    <t>DNT-004</t>
  </si>
  <si>
    <t>DNT Pelham Blue</t>
  </si>
  <si>
    <t>BM023 CR</t>
  </si>
  <si>
    <t>DNT-005</t>
  </si>
  <si>
    <t>DNT British Racing Car Green</t>
  </si>
  <si>
    <t>BM024 CR</t>
  </si>
  <si>
    <t>TP-12</t>
  </si>
  <si>
    <t>Bass 12-String</t>
  </si>
  <si>
    <t>J-05 4R,4L CR + JB150 2R,2L CR</t>
  </si>
  <si>
    <t>D'addario EXL170-12</t>
  </si>
  <si>
    <t>Graphite Ivory 50*6t (12String) R350mm</t>
  </si>
  <si>
    <t>2.9mm*1.4mm 50*70*20F R330 Silver Nickel HV180</t>
  </si>
  <si>
    <t>BM009 CR</t>
  </si>
  <si>
    <t>TS009 CR</t>
  </si>
  <si>
    <t>TP-8</t>
  </si>
  <si>
    <t>Bass 8-String</t>
  </si>
  <si>
    <t>J-05 2R,2L CR + JB150 2R,2L CR</t>
  </si>
  <si>
    <t>D'addario EXL170-8</t>
  </si>
  <si>
    <t>Graphite Ivory 46*6t (8String) R350mm</t>
  </si>
  <si>
    <t>2.9mm*1.4mm 46*67*20F R330 Silver Nickel HV180</t>
  </si>
  <si>
    <t>BM108 CR</t>
  </si>
  <si>
    <t>TS108 CR</t>
  </si>
  <si>
    <t>Erik Bass</t>
  </si>
  <si>
    <t>Erik Bass 8 String</t>
  </si>
  <si>
    <t>BJ4 CR x 4 + JB150 L2,R2 CR</t>
  </si>
  <si>
    <t>D'addario 065/026,080/036,100/046,130/059</t>
  </si>
  <si>
    <t>ELECTRONICS</t>
  </si>
  <si>
    <t>PICK-UP FRONT (DEPAN)</t>
  </si>
  <si>
    <t>PICKUP REAR (BELAKANG)</t>
  </si>
  <si>
    <t>KNOB V&amp;T</t>
  </si>
  <si>
    <t>3-way Toggle, 2V ,2T,1J</t>
  </si>
  <si>
    <t>P-90 Neck Alnico V Chrome Cover</t>
  </si>
  <si>
    <t>P-90 Bridge Alnico V Chrome Cover</t>
  </si>
  <si>
    <t>NB002 CR x 4</t>
  </si>
  <si>
    <t>HJ001 CR</t>
  </si>
  <si>
    <t>HJ002 CR</t>
  </si>
  <si>
    <t>HJ003 CR</t>
  </si>
  <si>
    <t>Bass 12ST Soapbar Ferrite</t>
  </si>
  <si>
    <t>N/A</t>
  </si>
  <si>
    <t>Bass 8ST Soapbar Ferrite</t>
  </si>
  <si>
    <t>1V, 1T, 1Blend, 1J, 1Capasitor</t>
  </si>
  <si>
    <t>NB002 CR x 3</t>
  </si>
  <si>
    <t xml:space="preserve">JOIN </t>
  </si>
  <si>
    <t>PJD-Carey Origin-Standard 3T</t>
  </si>
  <si>
    <t>Carey Origin Standard 3 Tone Sunburst</t>
  </si>
  <si>
    <t>M-55/CR/R6</t>
  </si>
  <si>
    <t>D'addario EXL110 (.010/.013/.017/.026/.036/.046)</t>
  </si>
  <si>
    <t>HS106 CR x 1 (Bushing 3mm)</t>
  </si>
  <si>
    <t>Bone WH 42*3.4t</t>
  </si>
  <si>
    <t>2.3mm x 1.4mm 42*55.72*22F Silver Nickel 18% HV180 R230</t>
  </si>
  <si>
    <t>HB007 CR x 4</t>
  </si>
  <si>
    <t>PJD-ST John Origin-Standard Firemist Gold</t>
  </si>
  <si>
    <t>ST John Origin Standard Firemist Gold</t>
  </si>
  <si>
    <t>Bone WH 42*3.5t</t>
  </si>
  <si>
    <t>PJD-Carey Origin-Apprentice Black</t>
  </si>
  <si>
    <t>Carey Origin Apprentice Black</t>
  </si>
  <si>
    <t>Bone WH 42*3.6t</t>
  </si>
  <si>
    <t xml:space="preserve">PJD-ST John Origin-Apprentice </t>
  </si>
  <si>
    <t>St John Apprentice Nato Olive</t>
  </si>
  <si>
    <t>Bone WH 42*3.7t</t>
  </si>
  <si>
    <t>PJD-York Origin-Standard Candy Apple Red</t>
  </si>
  <si>
    <t>York Origin Standard Candy Apple Red</t>
  </si>
  <si>
    <t>Bone WH 42*3.8t</t>
  </si>
  <si>
    <t>PJD-Woodford Origin - Standard Black</t>
  </si>
  <si>
    <t>Woodford Origin Standard Black</t>
  </si>
  <si>
    <t>Bone WH 42*3.9t</t>
  </si>
  <si>
    <t>STRING BUSHING BACK</t>
  </si>
  <si>
    <t>EL. CONTROL PLATE</t>
  </si>
  <si>
    <t>BG-2004-6 CR</t>
  </si>
  <si>
    <t>HS015 CR x 6</t>
  </si>
  <si>
    <t>HE011 CR x 2</t>
  </si>
  <si>
    <t>Humbucker Chrome Cover Alnico 5</t>
  </si>
  <si>
    <t>1-3 way Toggle Open CR (cap BK), 1V (24-18A500K), 1T (24-18A500K), 1J Mono EG-2P, 1 Capasitor 2A223J, cable Toggel 660mm</t>
  </si>
  <si>
    <t>1-3 way Toggle Open CR (cap BK), 1V (24-18A500K), 1T (24-18A500K), 1J Mono EG-2P, 1 Capasitor 2A223J</t>
  </si>
  <si>
    <t>1V (24-18A500K), 1T (24-18A500K, 1J Mono EG-2P, 1 Capasitor 2A223J</t>
  </si>
  <si>
    <t>BG-3005 CR</t>
  </si>
  <si>
    <t>Tele Bridge BK Fiber Alnico 5</t>
  </si>
  <si>
    <t>1-3 way L/S (cap Barrel type BK), 1V (24-15A250K), 1T (24-15A250K), 1J Mono EG-2P, Capasitor 2A473J</t>
  </si>
  <si>
    <t>HC001 CR</t>
  </si>
  <si>
    <t>BG-1009 CR (Stainless Saddle, Block Material Zinc)</t>
  </si>
  <si>
    <t>1-5 way L/S (cap BK), 1V (24-15A500K), 1T (24-15A500K), 1J Mono EG-2P, Capasitor 2A233J</t>
  </si>
  <si>
    <t>PICKUP MIDDLE</t>
  </si>
  <si>
    <t>KN-007-05 &amp; KN-007-01</t>
  </si>
  <si>
    <t>P-90 BK Alnico 5</t>
  </si>
  <si>
    <t>NB003 CR</t>
  </si>
  <si>
    <t>Tele Neck CR Alnico 5</t>
  </si>
  <si>
    <t>HJ101 CR</t>
  </si>
  <si>
    <t>Single Strato Staggered BK Cover Alnico 5</t>
  </si>
  <si>
    <t>Strato Knob Black Volume &amp; Tone</t>
  </si>
  <si>
    <t>EQUALIZER 2-BAND EQ/25K VOLUME/MN250K BN-LH</t>
  </si>
  <si>
    <t>PER 23 OKTOBER 2025</t>
  </si>
  <si>
    <t>PER ....... OKTOBER 2025</t>
  </si>
  <si>
    <t>SOAPBAR-N 4ST BK LOGO SCHECTER -</t>
  </si>
  <si>
    <t>SOAPBAR-B 4ST BK LOGO SCHECTER -</t>
  </si>
  <si>
    <t>SOAPBAR-N 5ST BK LOGO SCHECTER -</t>
  </si>
  <si>
    <t>SOAPBAR-B 5ST BK LOGO SCHECTER -</t>
  </si>
  <si>
    <t>PICKUP SOAPBAR EMG 6ST SCHECTER SILVER NECK</t>
  </si>
  <si>
    <t>PICKUP SOAPBAR EMG 6ST SCHECTER SILVER BRIDGE</t>
  </si>
  <si>
    <t>PER 04 JUNI 2026</t>
  </si>
  <si>
    <t>31/06/2026</t>
  </si>
  <si>
    <t>HANDCARRY</t>
  </si>
  <si>
    <t>BB26030034</t>
  </si>
  <si>
    <t>Pickup Bridge Pickup Neck Jazz Bass 4st Alnico 5BK cover PB-2002-94-BK</t>
  </si>
  <si>
    <t>BB26030033</t>
  </si>
  <si>
    <t>Pickup Neck Jazz Bass 4st Alnico 5BK cover PB-2002-91-BK</t>
  </si>
  <si>
    <t>BB26030042</t>
  </si>
  <si>
    <t>PICKUP NECK PB-2002-91-MINT GREEN COLOR</t>
  </si>
  <si>
    <t>BB26030043</t>
  </si>
  <si>
    <t>PICKUP BRIDGE PB-2002-94-MINT GREEN COLOR</t>
  </si>
  <si>
    <t>BB26030056</t>
  </si>
  <si>
    <t>BB26030057</t>
  </si>
  <si>
    <t>BRIDGE MULTISCALE R7FT (FR LEGATOR 7ST BY BUYER)</t>
  </si>
  <si>
    <t>BRIDGE MULTISCALE R6FT (FR LEGATOR 6ST BY BUYER)</t>
  </si>
  <si>
    <t>BB23070036</t>
  </si>
  <si>
    <t>BRIDGE BA-2001 CR</t>
  </si>
  <si>
    <t>BB26060006</t>
  </si>
  <si>
    <t>BB26040067</t>
  </si>
  <si>
    <t>NUT MARU BK - (NT-027)</t>
  </si>
  <si>
    <t>BB26040077</t>
  </si>
  <si>
    <t>BT-6242-00 BLACK TUSQ XL 42 X 6 SLOTTED NUT</t>
  </si>
  <si>
    <t>FR BLACK CHROME 7ST CC7 LEGATOR</t>
  </si>
  <si>
    <t>HB009 BK</t>
  </si>
  <si>
    <t>BB26030019</t>
  </si>
  <si>
    <t>LOG BAWAH</t>
  </si>
  <si>
    <t>BB26050015</t>
  </si>
  <si>
    <t>HS106 CR- 3MM</t>
  </si>
  <si>
    <t xml:space="preserve">BM007 W/MB003 BK </t>
  </si>
  <si>
    <t>BB26070012</t>
  </si>
  <si>
    <t>BB26060026</t>
  </si>
  <si>
    <t>WASHERLOCK POTENSIO KECIL</t>
  </si>
  <si>
    <t>(2PCS BEDA MODEL)</t>
  </si>
  <si>
    <t>BB26070006</t>
  </si>
  <si>
    <t>(DTN50) ALNICO 5 RODS 0.0056MM CR BRASS COVER 7.2K</t>
  </si>
  <si>
    <t>BB26070007</t>
  </si>
  <si>
    <t>(DTB50) FLAT ALNICO 5 RODS 0.063 BK 7.0K</t>
  </si>
  <si>
    <t xml:space="preserve"> </t>
  </si>
  <si>
    <t>BB26070015</t>
  </si>
  <si>
    <t>1-3 WAY L/S (CAP BARREL TYPE BK),1V (24-15A250K), 1T (24-15A250K) CAPASITOR 2A473J, 1 MONO EG (HARDWARE CR) (PJD )</t>
  </si>
  <si>
    <t>DECAL LOGO SILVER EVO</t>
  </si>
  <si>
    <t>BB26060079</t>
  </si>
  <si>
    <t>FR GOLD TREMOLO (RONIN) LEGATOR</t>
  </si>
  <si>
    <t>BB26070024</t>
  </si>
  <si>
    <t>BB26070025</t>
  </si>
  <si>
    <t>FISHMAN WIRE SET LEGATOR (KABEL PICKUP FISHMAN LEGATOR)</t>
  </si>
  <si>
    <t>FISHMAN VOLUME KNOB LEGATOR</t>
  </si>
  <si>
    <t>BB26070026</t>
  </si>
  <si>
    <t>BB26040043</t>
  </si>
  <si>
    <t>GB-100 6ST BRIDGE</t>
  </si>
  <si>
    <t>BB26040044</t>
  </si>
  <si>
    <t>MB-100-18D 6ST MS BRIDGE 18 DEGREE</t>
  </si>
  <si>
    <t>LOG BAWAH ADA STOCK (8SET)</t>
  </si>
  <si>
    <t>LOG BAWAH ADA STOCK (20SET)</t>
  </si>
  <si>
    <t>BB26040045</t>
  </si>
  <si>
    <t>MB-107-14.5D 7ST MS BRIDGE 14.5 DEGREE</t>
  </si>
  <si>
    <t>BB26040046</t>
  </si>
  <si>
    <t>MB-108-14D 8ST MS BRIDGE 14 DEGREE</t>
  </si>
  <si>
    <t>BB25120039</t>
  </si>
  <si>
    <t>P-90 NECK - BK FERRITE</t>
  </si>
  <si>
    <t>PO 600 sc</t>
  </si>
  <si>
    <t>KEBUTUHAN PO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</si>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</sst>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212529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b/>
      <sz val="15"/>
      <color rgb="FF000000"/>
      <name val="Calibri"/>
      <family val="2"/>
    </font>
    <font>
      <b/>
      <sz val="11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rgb="FF212529"/>
      <name val="Helvetica"/>
      <charset val="134"/>
    </font>
    <font>
      <sz val="11"/>
      <color rgb="FF212529"/>
      <name val="Helvetica"/>
      <charset val="134"/>
    </font>
    <font>
      <sz val="9.15"/>
      <color theme="1"/>
      <name val="Helvetica"/>
      <charset val="134"/>
    </font>
    <font>
      <sz val="9.15"/>
      <color rgb="FF212529"/>
      <name val="Helvetica"/>
      <charset val="134"/>
    </font>
    <font>
      <sz val="11"/>
      <color rgb="FF9C0006"/>
      <name val="Calibri"/>
      <family val="2"/>
      <scheme val="minor"/>
    </font>
    <font>
      <b/>
      <sz val="11"/>
      <color indexed="56"/>
      <name val="맑은 고딕"/>
      <charset val="129"/>
    </font>
    <font>
      <sz val="11"/>
      <name val="돋움"/>
      <charset val="129"/>
    </font>
    <font>
      <sz val="11"/>
      <name val="돋움"/>
      <charset val="134"/>
    </font>
    <font>
      <b/>
      <sz val="9"/>
      <name val="Tahoma"/>
      <family val="2"/>
    </font>
    <font>
      <sz val="9"/>
      <name val="Tahoma"/>
      <family val="2"/>
    </font>
    <font>
      <sz val="11"/>
      <color rgb="FF000000"/>
      <name val="Calibri"/>
      <family val="2"/>
    </font>
    <font>
      <sz val="1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</font>
    <font>
      <sz val="11"/>
      <color rgb="FF666666"/>
      <name val="Calibri"/>
      <family val="2"/>
      <scheme val="minor"/>
    </font>
    <font>
      <sz val="9"/>
      <color rgb="FF666666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5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7C8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0" fontId="24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/>
  </cellStyleXfs>
  <cellXfs count="46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4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/>
    <xf numFmtId="0" fontId="5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/>
    <xf numFmtId="0" fontId="6" fillId="0" borderId="1" xfId="0" applyFont="1" applyFill="1" applyBorder="1" applyAlignment="1">
      <alignment vertical="top" wrapText="1"/>
    </xf>
    <xf numFmtId="0" fontId="0" fillId="0" borderId="1" xfId="0" applyBorder="1"/>
    <xf numFmtId="0" fontId="8" fillId="0" borderId="1" xfId="0" applyFont="1" applyFill="1" applyBorder="1"/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0" fillId="3" borderId="0" xfId="0" applyFill="1" applyBorder="1"/>
    <xf numFmtId="0" fontId="0" fillId="0" borderId="0" xfId="0" applyFill="1" applyBorder="1"/>
    <xf numFmtId="1" fontId="5" fillId="3" borderId="1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Alignment="1"/>
    <xf numFmtId="49" fontId="10" fillId="4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" fontId="11" fillId="6" borderId="1" xfId="2" applyNumberFormat="1" applyFont="1" applyFill="1" applyBorder="1" applyAlignment="1">
      <alignment horizontal="center" vertical="center" wrapText="1"/>
    </xf>
    <xf numFmtId="0" fontId="11" fillId="6" borderId="1" xfId="2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wrapText="1"/>
    </xf>
    <xf numFmtId="0" fontId="13" fillId="0" borderId="1" xfId="3" applyFont="1" applyBorder="1" applyAlignment="1">
      <alignment vertical="center" wrapText="1"/>
    </xf>
    <xf numFmtId="0" fontId="13" fillId="0" borderId="1" xfId="1" applyNumberFormat="1" applyFont="1" applyFill="1" applyBorder="1" applyAlignment="1">
      <alignment horizontal="left" vertical="center" wrapText="1"/>
    </xf>
    <xf numFmtId="0" fontId="13" fillId="0" borderId="1" xfId="3" applyFont="1" applyFill="1" applyBorder="1" applyAlignment="1">
      <alignment horizontal="left" vertical="center" wrapText="1"/>
    </xf>
    <xf numFmtId="0" fontId="13" fillId="0" borderId="1" xfId="3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left" wrapText="1"/>
    </xf>
    <xf numFmtId="0" fontId="11" fillId="7" borderId="1" xfId="2" applyFont="1" applyFill="1" applyBorder="1" applyAlignment="1">
      <alignment horizontal="center" vertical="center" wrapText="1"/>
    </xf>
    <xf numFmtId="0" fontId="11" fillId="7" borderId="1" xfId="2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0" fillId="0" borderId="0" xfId="0" applyFill="1"/>
    <xf numFmtId="0" fontId="11" fillId="7" borderId="3" xfId="2" applyFont="1" applyFill="1" applyBorder="1" applyAlignment="1">
      <alignment vertical="center" wrapText="1"/>
    </xf>
    <xf numFmtId="0" fontId="11" fillId="0" borderId="0" xfId="2" applyFont="1" applyFill="1" applyBorder="1" applyAlignment="1">
      <alignment vertical="center" wrapText="1"/>
    </xf>
    <xf numFmtId="0" fontId="13" fillId="0" borderId="4" xfId="3" applyFont="1" applyFill="1" applyBorder="1" applyAlignment="1">
      <alignment vertical="center" wrapText="1"/>
    </xf>
    <xf numFmtId="0" fontId="13" fillId="0" borderId="0" xfId="3" applyFont="1" applyFill="1" applyAlignment="1">
      <alignment vertical="center" wrapText="1"/>
    </xf>
    <xf numFmtId="0" fontId="10" fillId="0" borderId="0" xfId="0" applyFont="1" applyFill="1" applyAlignment="1">
      <alignment horizontal="center" vertical="center"/>
    </xf>
    <xf numFmtId="0" fontId="9" fillId="2" borderId="0" xfId="0" applyFont="1" applyFill="1" applyAlignment="1"/>
    <xf numFmtId="49" fontId="10" fillId="4" borderId="1" xfId="0" applyNumberFormat="1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1" fontId="11" fillId="6" borderId="1" xfId="2" applyNumberFormat="1" applyFont="1" applyFill="1" applyBorder="1" applyAlignment="1">
      <alignment horizontal="left" vertical="center" wrapText="1"/>
    </xf>
    <xf numFmtId="0" fontId="11" fillId="6" borderId="1" xfId="2" applyFont="1" applyFill="1" applyBorder="1" applyAlignment="1">
      <alignment horizontal="left" vertical="center" wrapText="1"/>
    </xf>
    <xf numFmtId="0" fontId="11" fillId="7" borderId="1" xfId="2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0" applyFont="1"/>
    <xf numFmtId="0" fontId="6" fillId="9" borderId="1" xfId="0" applyFont="1" applyFill="1" applyBorder="1" applyAlignment="1">
      <alignment vertical="center" wrapText="1"/>
    </xf>
    <xf numFmtId="0" fontId="0" fillId="9" borderId="1" xfId="0" applyFont="1" applyFill="1" applyBorder="1"/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/>
    <xf numFmtId="0" fontId="0" fillId="10" borderId="1" xfId="0" applyFill="1" applyBorder="1"/>
    <xf numFmtId="0" fontId="0" fillId="10" borderId="1" xfId="0" applyFont="1" applyFill="1" applyBorder="1"/>
    <xf numFmtId="0" fontId="0" fillId="0" borderId="1" xfId="0" applyBorder="1" applyAlignment="1">
      <alignment horizontal="left" vertical="center"/>
    </xf>
    <xf numFmtId="0" fontId="0" fillId="9" borderId="1" xfId="0" applyFill="1" applyBorder="1"/>
    <xf numFmtId="0" fontId="0" fillId="9" borderId="1" xfId="0" applyFont="1" applyFill="1" applyBorder="1" applyAlignment="1">
      <alignment wrapText="1"/>
    </xf>
    <xf numFmtId="0" fontId="6" fillId="9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4" fillId="0" borderId="0" xfId="0" applyNumberFormat="1" applyFont="1" applyFill="1" applyAlignment="1">
      <alignment vertical="center"/>
    </xf>
    <xf numFmtId="1" fontId="14" fillId="0" borderId="0" xfId="0" applyNumberFormat="1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1" xfId="0" applyFont="1" applyBorder="1" applyAlignment="1">
      <alignment horizontal="center" vertical="center"/>
    </xf>
    <xf numFmtId="0" fontId="0" fillId="3" borderId="0" xfId="0" applyFill="1"/>
    <xf numFmtId="0" fontId="0" fillId="2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1" xfId="0" applyFill="1" applyBorder="1"/>
    <xf numFmtId="0" fontId="0" fillId="0" borderId="0" xfId="0" applyBorder="1"/>
    <xf numFmtId="0" fontId="0" fillId="0" borderId="0" xfId="0" applyFont="1" applyBorder="1" applyAlignment="1"/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center" vertical="center"/>
    </xf>
    <xf numFmtId="0" fontId="14" fillId="0" borderId="0" xfId="0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1" fontId="17" fillId="0" borderId="0" xfId="0" applyNumberFormat="1" applyFont="1" applyFill="1" applyAlignment="1">
      <alignment horizontal="center" vertical="center"/>
    </xf>
    <xf numFmtId="16" fontId="15" fillId="0" borderId="13" xfId="0" applyNumberFormat="1" applyFont="1" applyBorder="1" applyAlignment="1">
      <alignment horizontal="center" vertical="center"/>
    </xf>
    <xf numFmtId="0" fontId="4" fillId="0" borderId="0" xfId="0" applyFont="1" applyBorder="1"/>
    <xf numFmtId="0" fontId="5" fillId="11" borderId="11" xfId="0" applyFont="1" applyFill="1" applyBorder="1" applyAlignment="1">
      <alignment horizontal="center" vertical="center"/>
    </xf>
    <xf numFmtId="1" fontId="5" fillId="3" borderId="11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1" fontId="5" fillId="0" borderId="11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top" wrapText="1"/>
    </xf>
    <xf numFmtId="0" fontId="5" fillId="3" borderId="11" xfId="0" applyFont="1" applyFill="1" applyBorder="1" applyAlignment="1">
      <alignment horizontal="left" vertical="center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11" borderId="1" xfId="0" applyFill="1" applyBorder="1"/>
    <xf numFmtId="0" fontId="0" fillId="11" borderId="1" xfId="0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center" vertical="center" wrapText="1"/>
    </xf>
    <xf numFmtId="1" fontId="5" fillId="0" borderId="3" xfId="0" applyNumberFormat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wrapText="1"/>
    </xf>
    <xf numFmtId="1" fontId="0" fillId="0" borderId="11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5" fillId="13" borderId="1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1" fontId="18" fillId="3" borderId="11" xfId="0" applyNumberFormat="1" applyFont="1" applyFill="1" applyBorder="1" applyAlignment="1">
      <alignment horizontal="center" vertical="center"/>
    </xf>
    <xf numFmtId="0" fontId="18" fillId="13" borderId="1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wrapText="1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/>
    <xf numFmtId="0" fontId="19" fillId="3" borderId="1" xfId="0" applyFont="1" applyFill="1" applyBorder="1" applyAlignment="1">
      <alignment horizontal="left" wrapText="1"/>
    </xf>
    <xf numFmtId="0" fontId="0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wrapText="1"/>
    </xf>
    <xf numFmtId="0" fontId="0" fillId="3" borderId="2" xfId="0" applyFont="1" applyFill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/>
    <xf numFmtId="0" fontId="7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1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0" fontId="8" fillId="3" borderId="1" xfId="0" applyFont="1" applyFill="1" applyBorder="1" applyAlignment="1">
      <alignment vertical="top"/>
    </xf>
    <xf numFmtId="0" fontId="8" fillId="3" borderId="1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/>
    <xf numFmtId="0" fontId="5" fillId="0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6" xfId="0" applyFill="1" applyBorder="1" applyAlignment="1">
      <alignment horizontal="center"/>
    </xf>
    <xf numFmtId="0" fontId="0" fillId="3" borderId="16" xfId="0" applyFill="1" applyBorder="1"/>
    <xf numFmtId="0" fontId="0" fillId="0" borderId="16" xfId="0" applyNumberFormat="1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/>
    <xf numFmtId="0" fontId="0" fillId="0" borderId="19" xfId="0" applyBorder="1" applyAlignment="1">
      <alignment horizontal="center"/>
    </xf>
    <xf numFmtId="1" fontId="0" fillId="0" borderId="21" xfId="0" applyNumberForma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8" fillId="11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 vertical="top" wrapText="1"/>
    </xf>
    <xf numFmtId="1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wrapText="1"/>
    </xf>
    <xf numFmtId="1" fontId="0" fillId="0" borderId="2" xfId="0" applyNumberFormat="1" applyBorder="1" applyAlignment="1">
      <alignment horizontal="center" vertical="center"/>
    </xf>
    <xf numFmtId="0" fontId="8" fillId="3" borderId="1" xfId="0" applyFont="1" applyFill="1" applyBorder="1" applyAlignment="1"/>
    <xf numFmtId="1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1" fontId="0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wrapText="1"/>
    </xf>
    <xf numFmtId="0" fontId="0" fillId="3" borderId="1" xfId="0" applyFont="1" applyFill="1" applyBorder="1"/>
    <xf numFmtId="0" fontId="22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18" fillId="3" borderId="1" xfId="0" applyFont="1" applyFill="1" applyBorder="1" applyAlignment="1">
      <alignment horizontal="center" vertical="top" wrapText="1"/>
    </xf>
    <xf numFmtId="0" fontId="18" fillId="3" borderId="1" xfId="0" applyFont="1" applyFill="1" applyBorder="1"/>
    <xf numFmtId="1" fontId="0" fillId="0" borderId="15" xfId="0" applyNumberFormat="1" applyBorder="1" applyAlignment="1">
      <alignment horizontal="center" vertical="center"/>
    </xf>
    <xf numFmtId="0" fontId="0" fillId="11" borderId="1" xfId="0" applyFill="1" applyBorder="1" applyAlignment="1">
      <alignment wrapText="1"/>
    </xf>
    <xf numFmtId="0" fontId="23" fillId="11" borderId="1" xfId="0" applyFont="1" applyFill="1" applyBorder="1"/>
    <xf numFmtId="0" fontId="0" fillId="3" borderId="1" xfId="0" applyFill="1" applyBorder="1" applyAlignment="1">
      <alignment vertical="center"/>
    </xf>
    <xf numFmtId="3" fontId="0" fillId="0" borderId="16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8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22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left" wrapText="1"/>
    </xf>
    <xf numFmtId="0" fontId="0" fillId="3" borderId="14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wrapText="1"/>
    </xf>
    <xf numFmtId="0" fontId="5" fillId="13" borderId="0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/>
    <xf numFmtId="0" fontId="18" fillId="3" borderId="11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5" fillId="13" borderId="1" xfId="0" applyFont="1" applyFill="1" applyBorder="1" applyAlignment="1">
      <alignment vertical="center"/>
    </xf>
    <xf numFmtId="0" fontId="31" fillId="13" borderId="1" xfId="0" applyFont="1" applyFill="1" applyBorder="1"/>
    <xf numFmtId="0" fontId="0" fillId="13" borderId="16" xfId="0" applyFill="1" applyBorder="1"/>
    <xf numFmtId="0" fontId="0" fillId="13" borderId="19" xfId="0" applyFill="1" applyBorder="1"/>
    <xf numFmtId="0" fontId="0" fillId="13" borderId="2" xfId="0" applyFill="1" applyBorder="1" applyAlignment="1">
      <alignment horizontal="center" vertical="center"/>
    </xf>
    <xf numFmtId="0" fontId="30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7" fillId="13" borderId="1" xfId="0" applyFont="1" applyFill="1" applyBorder="1"/>
    <xf numFmtId="0" fontId="7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/>
    </xf>
    <xf numFmtId="0" fontId="0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vertical="top" wrapText="1"/>
    </xf>
    <xf numFmtId="0" fontId="0" fillId="13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6" fillId="0" borderId="1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top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center" wrapText="1"/>
    </xf>
    <xf numFmtId="0" fontId="30" fillId="13" borderId="1" xfId="0" applyFont="1" applyFill="1" applyBorder="1" applyAlignment="1">
      <alignment vertical="center"/>
    </xf>
    <xf numFmtId="0" fontId="7" fillId="13" borderId="2" xfId="0" applyFont="1" applyFill="1" applyBorder="1"/>
    <xf numFmtId="0" fontId="19" fillId="13" borderId="2" xfId="0" applyFont="1" applyFill="1" applyBorder="1" applyAlignment="1">
      <alignment horizontal="center" vertical="center"/>
    </xf>
    <xf numFmtId="0" fontId="30" fillId="13" borderId="11" xfId="0" applyFont="1" applyFill="1" applyBorder="1" applyAlignment="1">
      <alignment vertical="center"/>
    </xf>
    <xf numFmtId="0" fontId="30" fillId="13" borderId="1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wrapText="1"/>
    </xf>
    <xf numFmtId="0" fontId="4" fillId="15" borderId="0" xfId="0" applyFont="1" applyFill="1"/>
    <xf numFmtId="0" fontId="5" fillId="13" borderId="14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top" wrapText="1"/>
    </xf>
    <xf numFmtId="0" fontId="8" fillId="13" borderId="2" xfId="0" applyFont="1" applyFill="1" applyBorder="1"/>
    <xf numFmtId="0" fontId="0" fillId="13" borderId="2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left" wrapText="1"/>
    </xf>
    <xf numFmtId="0" fontId="6" fillId="13" borderId="1" xfId="0" applyFont="1" applyFill="1" applyBorder="1" applyAlignment="1">
      <alignment horizontal="left" wrapText="1"/>
    </xf>
    <xf numFmtId="0" fontId="6" fillId="13" borderId="11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 wrapText="1"/>
    </xf>
    <xf numFmtId="0" fontId="6" fillId="13" borderId="1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1" xfId="0" applyFont="1" applyFill="1" applyBorder="1" applyAlignment="1">
      <alignment vertical="center" wrapText="1"/>
    </xf>
    <xf numFmtId="0" fontId="6" fillId="13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center" vertical="center"/>
    </xf>
    <xf numFmtId="0" fontId="8" fillId="13" borderId="1" xfId="0" applyFont="1" applyFill="1" applyBorder="1"/>
    <xf numFmtId="0" fontId="6" fillId="13" borderId="1" xfId="0" applyFont="1" applyFill="1" applyBorder="1" applyAlignment="1">
      <alignment vertical="center"/>
    </xf>
    <xf numFmtId="0" fontId="0" fillId="13" borderId="16" xfId="0" applyFill="1" applyBorder="1" applyAlignment="1">
      <alignment horizontal="center"/>
    </xf>
    <xf numFmtId="0" fontId="0" fillId="13" borderId="18" xfId="0" applyFill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19" fillId="13" borderId="1" xfId="0" applyFont="1" applyFill="1" applyBorder="1" applyAlignment="1">
      <alignment horizontal="left" wrapText="1"/>
    </xf>
    <xf numFmtId="0" fontId="6" fillId="13" borderId="0" xfId="0" applyFont="1" applyFill="1"/>
    <xf numFmtId="0" fontId="18" fillId="13" borderId="1" xfId="0" applyFont="1" applyFill="1" applyBorder="1" applyAlignment="1">
      <alignment horizontal="center" vertical="top" wrapText="1"/>
    </xf>
    <xf numFmtId="0" fontId="18" fillId="13" borderId="1" xfId="0" applyFont="1" applyFill="1" applyBorder="1"/>
    <xf numFmtId="0" fontId="0" fillId="13" borderId="11" xfId="0" applyFill="1" applyBorder="1" applyAlignment="1">
      <alignment horizontal="left" wrapText="1"/>
    </xf>
    <xf numFmtId="0" fontId="0" fillId="13" borderId="1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top" wrapText="1"/>
    </xf>
    <xf numFmtId="0" fontId="6" fillId="13" borderId="1" xfId="0" applyFont="1" applyFill="1" applyBorder="1" applyAlignment="1">
      <alignment vertical="top"/>
    </xf>
    <xf numFmtId="0" fontId="6" fillId="13" borderId="11" xfId="0" applyFont="1" applyFill="1" applyBorder="1" applyAlignment="1">
      <alignment vertical="top" wrapText="1"/>
    </xf>
    <xf numFmtId="0" fontId="0" fillId="13" borderId="14" xfId="0" applyFill="1" applyBorder="1" applyAlignment="1">
      <alignment horizontal="left" wrapText="1"/>
    </xf>
    <xf numFmtId="0" fontId="8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wrapText="1"/>
    </xf>
    <xf numFmtId="0" fontId="8" fillId="13" borderId="1" xfId="0" applyFont="1" applyFill="1" applyBorder="1" applyAlignment="1">
      <alignment horizontal="center" vertical="top" wrapText="1"/>
    </xf>
    <xf numFmtId="0" fontId="6" fillId="13" borderId="1" xfId="0" applyFont="1" applyFill="1" applyBorder="1" applyAlignment="1">
      <alignment horizontal="center" vertical="top" wrapText="1"/>
    </xf>
    <xf numFmtId="0" fontId="5" fillId="13" borderId="1" xfId="0" applyFont="1" applyFill="1" applyBorder="1" applyAlignment="1">
      <alignment horizontal="left" vertical="top"/>
    </xf>
    <xf numFmtId="0" fontId="0" fillId="13" borderId="1" xfId="0" applyFont="1" applyFill="1" applyBorder="1" applyAlignment="1">
      <alignment horizontal="left" wrapText="1"/>
    </xf>
    <xf numFmtId="0" fontId="5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vertical="center" wrapText="1"/>
    </xf>
    <xf numFmtId="0" fontId="6" fillId="13" borderId="1" xfId="0" applyFont="1" applyFill="1" applyBorder="1" applyAlignment="1">
      <alignment horizontal="left" vertical="top"/>
    </xf>
    <xf numFmtId="0" fontId="0" fillId="13" borderId="19" xfId="0" applyFill="1" applyBorder="1" applyAlignment="1">
      <alignment horizontal="center" vertical="center"/>
    </xf>
    <xf numFmtId="0" fontId="0" fillId="13" borderId="1" xfId="0" applyFill="1" applyBorder="1"/>
    <xf numFmtId="0" fontId="0" fillId="13" borderId="1" xfId="0" applyFill="1" applyBorder="1" applyAlignment="1">
      <alignment wrapText="1"/>
    </xf>
    <xf numFmtId="0" fontId="0" fillId="13" borderId="1" xfId="0" applyFill="1" applyBorder="1" applyAlignment="1">
      <alignment vertical="center"/>
    </xf>
    <xf numFmtId="0" fontId="2" fillId="13" borderId="1" xfId="0" applyFont="1" applyFill="1" applyBorder="1"/>
    <xf numFmtId="0" fontId="2" fillId="13" borderId="2" xfId="0" applyFont="1" applyFill="1" applyBorder="1"/>
    <xf numFmtId="0" fontId="32" fillId="13" borderId="1" xfId="0" applyFont="1" applyFill="1" applyBorder="1" applyAlignment="1">
      <alignment vertical="top" wrapText="1"/>
    </xf>
    <xf numFmtId="0" fontId="32" fillId="13" borderId="0" xfId="0" applyFont="1" applyFill="1"/>
    <xf numFmtId="0" fontId="7" fillId="13" borderId="1" xfId="0" applyFont="1" applyFill="1" applyBorder="1" applyAlignment="1">
      <alignment horizontal="center" vertical="center" wrapText="1"/>
    </xf>
    <xf numFmtId="0" fontId="5" fillId="13" borderId="0" xfId="0" applyFont="1" applyFill="1" applyBorder="1"/>
    <xf numFmtId="0" fontId="5" fillId="3" borderId="11" xfId="0" applyFont="1" applyFill="1" applyBorder="1" applyAlignment="1">
      <alignment horizontal="center" vertical="center" wrapText="1"/>
    </xf>
    <xf numFmtId="1" fontId="5" fillId="0" borderId="1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6" fillId="13" borderId="0" xfId="0" applyFont="1" applyFill="1" applyBorder="1"/>
    <xf numFmtId="0" fontId="0" fillId="13" borderId="19" xfId="0" applyFill="1" applyBorder="1" applyAlignment="1">
      <alignment horizontal="center"/>
    </xf>
    <xf numFmtId="0" fontId="30" fillId="1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/>
    <xf numFmtId="0" fontId="8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left" wrapText="1"/>
    </xf>
    <xf numFmtId="0" fontId="0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left" wrapText="1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wrapText="1"/>
    </xf>
    <xf numFmtId="0" fontId="30" fillId="0" borderId="1" xfId="0" applyFont="1" applyFill="1" applyBorder="1" applyAlignment="1">
      <alignment horizontal="center" vertical="center"/>
    </xf>
    <xf numFmtId="0" fontId="0" fillId="13" borderId="16" xfId="0" applyFill="1" applyBorder="1" applyAlignment="1">
      <alignment wrapText="1"/>
    </xf>
    <xf numFmtId="0" fontId="8" fillId="13" borderId="1" xfId="0" applyFont="1" applyFill="1" applyBorder="1" applyAlignment="1">
      <alignment wrapText="1"/>
    </xf>
    <xf numFmtId="0" fontId="0" fillId="0" borderId="16" xfId="0" applyFill="1" applyBorder="1" applyAlignment="1">
      <alignment horizontal="center" vertical="center"/>
    </xf>
    <xf numFmtId="0" fontId="0" fillId="0" borderId="16" xfId="0" applyFill="1" applyBorder="1" applyAlignment="1"/>
    <xf numFmtId="0" fontId="0" fillId="0" borderId="16" xfId="0" applyFill="1" applyBorder="1" applyAlignment="1">
      <alignment horizontal="center"/>
    </xf>
    <xf numFmtId="0" fontId="0" fillId="0" borderId="16" xfId="0" applyFill="1" applyBorder="1" applyAlignment="1">
      <alignment wrapText="1"/>
    </xf>
    <xf numFmtId="0" fontId="0" fillId="0" borderId="16" xfId="0" applyFill="1" applyBorder="1"/>
    <xf numFmtId="0" fontId="0" fillId="0" borderId="19" xfId="0" applyFill="1" applyBorder="1" applyAlignment="1">
      <alignment horizontal="center" vertical="center"/>
    </xf>
    <xf numFmtId="0" fontId="0" fillId="0" borderId="19" xfId="0" applyFill="1" applyBorder="1"/>
    <xf numFmtId="0" fontId="0" fillId="0" borderId="19" xfId="0" applyFill="1" applyBorder="1" applyAlignment="1">
      <alignment horizont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center" wrapText="1"/>
    </xf>
    <xf numFmtId="0" fontId="0" fillId="13" borderId="24" xfId="0" applyFill="1" applyBorder="1"/>
    <xf numFmtId="0" fontId="30" fillId="3" borderId="1" xfId="0" applyFont="1" applyFill="1" applyBorder="1" applyAlignment="1">
      <alignment horizontal="left" wrapText="1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wrapText="1"/>
    </xf>
    <xf numFmtId="0" fontId="19" fillId="13" borderId="1" xfId="0" applyFont="1" applyFill="1" applyBorder="1" applyAlignment="1">
      <alignment wrapText="1"/>
    </xf>
    <xf numFmtId="0" fontId="8" fillId="13" borderId="1" xfId="0" applyFont="1" applyFill="1" applyBorder="1" applyAlignment="1">
      <alignment vertical="top" wrapText="1"/>
    </xf>
    <xf numFmtId="0" fontId="8" fillId="13" borderId="1" xfId="0" applyFont="1" applyFill="1" applyBorder="1" applyAlignment="1">
      <alignment horizontal="center"/>
    </xf>
    <xf numFmtId="0" fontId="21" fillId="13" borderId="1" xfId="0" applyFont="1" applyFill="1" applyBorder="1" applyAlignment="1">
      <alignment wrapText="1"/>
    </xf>
    <xf numFmtId="0" fontId="7" fillId="13" borderId="1" xfId="0" applyFont="1" applyFill="1" applyBorder="1" applyAlignment="1">
      <alignment vertical="top" wrapText="1"/>
    </xf>
    <xf numFmtId="0" fontId="7" fillId="13" borderId="1" xfId="0" applyFont="1" applyFill="1" applyBorder="1" applyAlignment="1">
      <alignment horizontal="left" vertical="top" wrapText="1"/>
    </xf>
    <xf numFmtId="0" fontId="30" fillId="3" borderId="1" xfId="0" applyFont="1" applyFill="1" applyBorder="1" applyAlignment="1">
      <alignment horizontal="center" vertical="center"/>
    </xf>
    <xf numFmtId="0" fontId="2" fillId="13" borderId="0" xfId="0" applyFont="1" applyFill="1"/>
    <xf numFmtId="0" fontId="19" fillId="3" borderId="2" xfId="0" applyFont="1" applyFill="1" applyBorder="1" applyAlignment="1">
      <alignment horizontal="center" vertical="center"/>
    </xf>
    <xf numFmtId="0" fontId="30" fillId="3" borderId="1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top" wrapText="1"/>
    </xf>
    <xf numFmtId="0" fontId="0" fillId="13" borderId="1" xfId="0" applyFont="1" applyFill="1" applyBorder="1" applyAlignment="1">
      <alignment horizontal="center"/>
    </xf>
    <xf numFmtId="0" fontId="0" fillId="13" borderId="1" xfId="0" applyFont="1" applyFill="1" applyBorder="1"/>
    <xf numFmtId="0" fontId="33" fillId="13" borderId="0" xfId="0" applyFont="1" applyFill="1"/>
    <xf numFmtId="0" fontId="8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wrapText="1"/>
    </xf>
    <xf numFmtId="0" fontId="23" fillId="0" borderId="1" xfId="0" applyFont="1" applyFill="1" applyBorder="1"/>
    <xf numFmtId="0" fontId="0" fillId="0" borderId="1" xfId="0" applyFill="1" applyBorder="1" applyAlignment="1">
      <alignment wrapText="1"/>
    </xf>
    <xf numFmtId="0" fontId="6" fillId="3" borderId="1" xfId="0" applyFont="1" applyFill="1" applyBorder="1" applyAlignment="1">
      <alignment horizontal="center" vertical="top" wrapText="1"/>
    </xf>
    <xf numFmtId="1" fontId="0" fillId="3" borderId="2" xfId="0" applyNumberForma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8" fillId="13" borderId="1" xfId="0" applyFont="1" applyFill="1" applyBorder="1" applyAlignment="1"/>
    <xf numFmtId="0" fontId="5" fillId="13" borderId="1" xfId="0" applyFont="1" applyFill="1" applyBorder="1"/>
    <xf numFmtId="0" fontId="30" fillId="13" borderId="2" xfId="0" applyFont="1" applyFill="1" applyBorder="1" applyAlignment="1">
      <alignment vertical="center"/>
    </xf>
    <xf numFmtId="0" fontId="30" fillId="13" borderId="2" xfId="0" applyFont="1" applyFill="1" applyBorder="1" applyAlignment="1">
      <alignment horizontal="center" vertical="center"/>
    </xf>
    <xf numFmtId="0" fontId="18" fillId="13" borderId="1" xfId="5" applyFont="1" applyFill="1" applyBorder="1"/>
    <xf numFmtId="0" fontId="0" fillId="13" borderId="24" xfId="0" applyFill="1" applyBorder="1" applyAlignment="1">
      <alignment wrapText="1"/>
    </xf>
    <xf numFmtId="0" fontId="5" fillId="2" borderId="1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/>
    <xf numFmtId="0" fontId="0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/>
    </xf>
    <xf numFmtId="0" fontId="35" fillId="13" borderId="0" xfId="0" applyFont="1" applyFill="1"/>
    <xf numFmtId="0" fontId="6" fillId="13" borderId="1" xfId="0" applyFont="1" applyFill="1" applyBorder="1" applyAlignment="1">
      <alignment horizontal="left" vertical="center" wrapText="1"/>
    </xf>
    <xf numFmtId="0" fontId="7" fillId="13" borderId="0" xfId="0" applyFont="1" applyFill="1"/>
    <xf numFmtId="0" fontId="1" fillId="13" borderId="1" xfId="0" applyFont="1" applyFill="1" applyBorder="1"/>
    <xf numFmtId="0" fontId="18" fillId="13" borderId="2" xfId="0" applyFont="1" applyFill="1" applyBorder="1" applyAlignment="1">
      <alignment horizontal="center" vertical="center"/>
    </xf>
    <xf numFmtId="0" fontId="1" fillId="13" borderId="0" xfId="0" applyFont="1" applyFill="1"/>
    <xf numFmtId="0" fontId="32" fillId="13" borderId="1" xfId="0" applyFont="1" applyFill="1" applyBorder="1"/>
    <xf numFmtId="0" fontId="8" fillId="13" borderId="14" xfId="0" applyFont="1" applyFill="1" applyBorder="1" applyAlignment="1">
      <alignment horizontal="center" vertical="top" wrapText="1"/>
    </xf>
    <xf numFmtId="0" fontId="8" fillId="13" borderId="1" xfId="0" applyFont="1" applyFill="1" applyBorder="1" applyAlignment="1">
      <alignment horizontal="left" vertical="top"/>
    </xf>
    <xf numFmtId="0" fontId="7" fillId="13" borderId="1" xfId="0" applyFont="1" applyFill="1" applyBorder="1" applyAlignment="1">
      <alignment wrapText="1"/>
    </xf>
    <xf numFmtId="0" fontId="30" fillId="13" borderId="16" xfId="0" applyFont="1" applyFill="1" applyBorder="1" applyAlignment="1">
      <alignment wrapText="1"/>
    </xf>
    <xf numFmtId="0" fontId="20" fillId="13" borderId="1" xfId="0" applyFont="1" applyFill="1" applyBorder="1" applyAlignment="1">
      <alignment horizontal="center" vertical="top" wrapText="1"/>
    </xf>
    <xf numFmtId="0" fontId="20" fillId="13" borderId="1" xfId="0" applyFont="1" applyFill="1" applyBorder="1" applyAlignment="1">
      <alignment horizontal="left" vertical="top" wrapText="1"/>
    </xf>
    <xf numFmtId="0" fontId="0" fillId="13" borderId="1" xfId="0" applyFill="1" applyBorder="1" applyAlignment="1">
      <alignment horizontal="center"/>
    </xf>
    <xf numFmtId="0" fontId="0" fillId="13" borderId="14" xfId="0" applyFill="1" applyBorder="1"/>
    <xf numFmtId="0" fontId="36" fillId="0" borderId="0" xfId="0" applyFont="1"/>
    <xf numFmtId="0" fontId="3" fillId="17" borderId="13" xfId="0" applyFont="1" applyFill="1" applyBorder="1" applyAlignment="1">
      <alignment horizontal="center" vertical="center"/>
    </xf>
    <xf numFmtId="0" fontId="3" fillId="17" borderId="13" xfId="0" applyFont="1" applyFill="1" applyBorder="1" applyAlignment="1">
      <alignment horizontal="center" vertical="center" wrapText="1"/>
    </xf>
    <xf numFmtId="0" fontId="14" fillId="11" borderId="0" xfId="0" applyFont="1" applyFill="1" applyBorder="1" applyAlignment="1">
      <alignment horizontal="center" vertical="center"/>
    </xf>
    <xf numFmtId="1" fontId="15" fillId="17" borderId="13" xfId="0" applyNumberFormat="1" applyFont="1" applyFill="1" applyBorder="1" applyAlignment="1">
      <alignment horizontal="center" vertical="center" wrapText="1"/>
    </xf>
    <xf numFmtId="1" fontId="30" fillId="0" borderId="1" xfId="0" applyNumberFormat="1" applyFont="1" applyBorder="1" applyAlignment="1">
      <alignment horizontal="center" vertical="center"/>
    </xf>
    <xf numFmtId="0" fontId="8" fillId="13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horizontal="left" vertical="top" wrapText="1"/>
    </xf>
    <xf numFmtId="15" fontId="15" fillId="16" borderId="13" xfId="0" applyNumberFormat="1" applyFont="1" applyFill="1" applyBorder="1" applyAlignment="1">
      <alignment horizontal="center" vertical="center" wrapText="1"/>
    </xf>
    <xf numFmtId="14" fontId="15" fillId="16" borderId="13" xfId="0" applyNumberFormat="1" applyFont="1" applyFill="1" applyBorder="1" applyAlignment="1">
      <alignment horizontal="center" vertical="center" wrapText="1"/>
    </xf>
    <xf numFmtId="0" fontId="3" fillId="17" borderId="13" xfId="0" applyFont="1" applyFill="1" applyBorder="1" applyAlignment="1">
      <alignment horizontal="center" vertical="center"/>
    </xf>
    <xf numFmtId="1" fontId="15" fillId="17" borderId="13" xfId="0" applyNumberFormat="1" applyFont="1" applyFill="1" applyBorder="1" applyAlignment="1">
      <alignment horizontal="center" vertical="center" wrapText="1"/>
    </xf>
    <xf numFmtId="0" fontId="15" fillId="17" borderId="13" xfId="0" applyFont="1" applyFill="1" applyBorder="1" applyAlignment="1">
      <alignment horizontal="center" vertical="center" wrapText="1"/>
    </xf>
    <xf numFmtId="0" fontId="3" fillId="17" borderId="25" xfId="0" applyFont="1" applyFill="1" applyBorder="1" applyAlignment="1">
      <alignment horizontal="center" vertical="center"/>
    </xf>
    <xf numFmtId="0" fontId="3" fillId="17" borderId="26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0" fontId="30" fillId="3" borderId="11" xfId="0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horizontal="center" vertical="center"/>
    </xf>
    <xf numFmtId="0" fontId="3" fillId="17" borderId="13" xfId="0" applyFont="1" applyFill="1" applyBorder="1" applyAlignment="1">
      <alignment horizontal="left" vertical="center" wrapText="1"/>
    </xf>
    <xf numFmtId="0" fontId="14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left" vertical="center" wrapText="1"/>
    </xf>
    <xf numFmtId="1" fontId="15" fillId="2" borderId="13" xfId="0" applyNumberFormat="1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13" fillId="0" borderId="1" xfId="3" applyFont="1" applyBorder="1" applyAlignment="1">
      <alignment horizontal="center" vertical="center" wrapText="1"/>
    </xf>
    <xf numFmtId="0" fontId="13" fillId="0" borderId="1" xfId="3" applyFont="1" applyFill="1" applyBorder="1" applyAlignment="1">
      <alignment horizontal="center" vertical="center" wrapText="1"/>
    </xf>
    <xf numFmtId="0" fontId="11" fillId="7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</cellXfs>
  <cellStyles count="6">
    <cellStyle name="Bad 2" xfId="1"/>
    <cellStyle name="Heading 4_PO DETAILS new" xfId="2"/>
    <cellStyle name="Hyperlink" xfId="5" builtinId="8"/>
    <cellStyle name="Normal" xfId="0" builtinId="0"/>
    <cellStyle name="Normal 2 2" xfId="3"/>
    <cellStyle name="표준 2" xfId="4"/>
  </cellStyles>
  <dxfs count="0"/>
  <tableStyles count="0" defaultTableStyle="TableStyleMedium9"/>
  <colors>
    <mruColors>
      <color rgb="FFFFF585"/>
      <color rgb="FFFF7C80"/>
      <color rgb="FFFF0066"/>
      <color rgb="FFFF9999"/>
      <color rgb="FF7405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BY1938"/>
  <sheetViews>
    <sheetView showGridLines="0" tabSelected="1" zoomScale="110" zoomScaleNormal="110" workbookViewId="0">
      <pane xSplit="11" ySplit="4" topLeftCell="AN5" activePane="bottomRight" state="frozen"/>
      <selection pane="topRight" activeCell="L1" sqref="L1"/>
      <selection pane="bottomLeft" activeCell="A5" sqref="A5"/>
      <selection pane="bottomRight" activeCell="AP51" sqref="AP51"/>
    </sheetView>
  </sheetViews>
  <sheetFormatPr defaultColWidth="9" defaultRowHeight="15"/>
  <cols>
    <col min="1" max="1" width="6.7109375" style="82" customWidth="1"/>
    <col min="2" max="2" width="14" style="99" customWidth="1"/>
    <col min="3" max="3" width="65" style="100" customWidth="1"/>
    <col min="4" max="4" width="5.85546875" style="82" customWidth="1"/>
    <col min="5" max="5" width="27.28515625" style="82" customWidth="1"/>
    <col min="6" max="6" width="12.140625" style="82" customWidth="1"/>
    <col min="7" max="7" width="10.5703125" style="101" customWidth="1"/>
    <col min="8" max="9" width="10.5703125" style="82" customWidth="1"/>
    <col min="10" max="10" width="10.5703125" style="101" customWidth="1"/>
    <col min="11" max="11" width="10.5703125" style="101" hidden="1" customWidth="1"/>
    <col min="12" max="12" width="12.5703125" style="101" customWidth="1"/>
    <col min="13" max="54" width="6.140625" style="82" customWidth="1"/>
    <col min="55" max="55" width="6.42578125" style="82" customWidth="1"/>
    <col min="56" max="74" width="6.140625" style="82" customWidth="1"/>
  </cols>
  <sheetData>
    <row r="1" spans="1:77" ht="24" customHeight="1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30"/>
      <c r="L1" s="430"/>
    </row>
    <row r="2" spans="1:77" ht="15" customHeight="1" thickBot="1">
      <c r="A2" s="83"/>
      <c r="B2" s="102"/>
      <c r="C2" s="84"/>
      <c r="D2" s="103"/>
      <c r="E2" s="103"/>
      <c r="F2" s="103"/>
      <c r="G2" s="104"/>
    </row>
    <row r="3" spans="1:77" s="284" customFormat="1" ht="24.75" customHeight="1" thickBot="1">
      <c r="A3" s="437" t="s">
        <v>1</v>
      </c>
      <c r="B3" s="437" t="s">
        <v>2</v>
      </c>
      <c r="C3" s="446"/>
      <c r="D3" s="437"/>
      <c r="E3" s="440" t="s">
        <v>3406</v>
      </c>
      <c r="F3" s="440" t="s">
        <v>3523</v>
      </c>
      <c r="G3" s="438" t="s">
        <v>3</v>
      </c>
      <c r="H3" s="439" t="s">
        <v>4</v>
      </c>
      <c r="I3" s="439" t="s">
        <v>5</v>
      </c>
      <c r="J3" s="438" t="s">
        <v>6</v>
      </c>
      <c r="K3" s="431" t="s">
        <v>3581</v>
      </c>
      <c r="L3" s="431" t="s">
        <v>3582</v>
      </c>
      <c r="M3" s="435">
        <v>46174</v>
      </c>
      <c r="N3" s="435"/>
      <c r="O3" s="435">
        <v>46175</v>
      </c>
      <c r="P3" s="435"/>
      <c r="Q3" s="435">
        <v>46176</v>
      </c>
      <c r="R3" s="435"/>
      <c r="S3" s="435">
        <v>46177</v>
      </c>
      <c r="T3" s="435"/>
      <c r="U3" s="435">
        <v>45813</v>
      </c>
      <c r="V3" s="435"/>
      <c r="W3" s="435">
        <v>46179</v>
      </c>
      <c r="X3" s="435"/>
      <c r="Y3" s="435">
        <v>46180</v>
      </c>
      <c r="Z3" s="435"/>
      <c r="AA3" s="435">
        <v>46181</v>
      </c>
      <c r="AB3" s="435"/>
      <c r="AC3" s="435">
        <v>46182</v>
      </c>
      <c r="AD3" s="435"/>
      <c r="AE3" s="435">
        <v>46183</v>
      </c>
      <c r="AF3" s="435"/>
      <c r="AG3" s="435">
        <v>46184</v>
      </c>
      <c r="AH3" s="435"/>
      <c r="AI3" s="435">
        <v>46185</v>
      </c>
      <c r="AJ3" s="435"/>
      <c r="AK3" s="435">
        <v>46186</v>
      </c>
      <c r="AL3" s="435"/>
      <c r="AM3" s="435">
        <v>46187</v>
      </c>
      <c r="AN3" s="435"/>
      <c r="AO3" s="435">
        <v>46188</v>
      </c>
      <c r="AP3" s="435"/>
      <c r="AQ3" s="435">
        <v>46189</v>
      </c>
      <c r="AR3" s="435"/>
      <c r="AS3" s="435">
        <v>46190</v>
      </c>
      <c r="AT3" s="435"/>
      <c r="AU3" s="435">
        <v>46191</v>
      </c>
      <c r="AV3" s="435"/>
      <c r="AW3" s="435">
        <v>46192</v>
      </c>
      <c r="AX3" s="435"/>
      <c r="AY3" s="435">
        <v>46193</v>
      </c>
      <c r="AZ3" s="435"/>
      <c r="BA3" s="435">
        <v>46194</v>
      </c>
      <c r="BB3" s="435"/>
      <c r="BC3" s="435">
        <v>46195</v>
      </c>
      <c r="BD3" s="435"/>
      <c r="BE3" s="435">
        <v>46196</v>
      </c>
      <c r="BF3" s="435"/>
      <c r="BG3" s="435">
        <v>45832</v>
      </c>
      <c r="BH3" s="435"/>
      <c r="BI3" s="435">
        <v>45833</v>
      </c>
      <c r="BJ3" s="435"/>
      <c r="BK3" s="435">
        <v>46199</v>
      </c>
      <c r="BL3" s="435"/>
      <c r="BM3" s="435">
        <v>46200</v>
      </c>
      <c r="BN3" s="435"/>
      <c r="BO3" s="435">
        <v>46201</v>
      </c>
      <c r="BP3" s="435"/>
      <c r="BQ3" s="435">
        <v>46202</v>
      </c>
      <c r="BR3" s="435"/>
      <c r="BS3" s="435">
        <v>46203</v>
      </c>
      <c r="BT3" s="435"/>
      <c r="BU3" s="436" t="s">
        <v>3522</v>
      </c>
      <c r="BV3" s="436"/>
    </row>
    <row r="4" spans="1:77" s="68" customFormat="1" ht="24" customHeight="1" thickBot="1">
      <c r="A4" s="437"/>
      <c r="B4" s="428" t="s">
        <v>7</v>
      </c>
      <c r="C4" s="429" t="s">
        <v>8</v>
      </c>
      <c r="D4" s="428" t="s">
        <v>9</v>
      </c>
      <c r="E4" s="441"/>
      <c r="F4" s="441"/>
      <c r="G4" s="438"/>
      <c r="H4" s="439"/>
      <c r="I4" s="439"/>
      <c r="J4" s="438"/>
      <c r="K4" s="431"/>
      <c r="L4" s="431"/>
      <c r="M4" s="105" t="s">
        <v>10</v>
      </c>
      <c r="N4" s="105" t="s">
        <v>11</v>
      </c>
      <c r="O4" s="105" t="s">
        <v>10</v>
      </c>
      <c r="P4" s="105" t="s">
        <v>11</v>
      </c>
      <c r="Q4" s="105" t="s">
        <v>10</v>
      </c>
      <c r="R4" s="105" t="s">
        <v>11</v>
      </c>
      <c r="S4" s="105" t="s">
        <v>10</v>
      </c>
      <c r="T4" s="105" t="s">
        <v>11</v>
      </c>
      <c r="U4" s="105" t="s">
        <v>10</v>
      </c>
      <c r="V4" s="105" t="s">
        <v>11</v>
      </c>
      <c r="W4" s="105" t="s">
        <v>10</v>
      </c>
      <c r="X4" s="105" t="s">
        <v>11</v>
      </c>
      <c r="Y4" s="105" t="s">
        <v>10</v>
      </c>
      <c r="Z4" s="105" t="s">
        <v>11</v>
      </c>
      <c r="AA4" s="105" t="s">
        <v>10</v>
      </c>
      <c r="AB4" s="105" t="s">
        <v>11</v>
      </c>
      <c r="AC4" s="105" t="s">
        <v>10</v>
      </c>
      <c r="AD4" s="105" t="s">
        <v>11</v>
      </c>
      <c r="AE4" s="105" t="s">
        <v>10</v>
      </c>
      <c r="AF4" s="105" t="s">
        <v>11</v>
      </c>
      <c r="AG4" s="105" t="s">
        <v>10</v>
      </c>
      <c r="AH4" s="105" t="s">
        <v>11</v>
      </c>
      <c r="AI4" s="105" t="s">
        <v>10</v>
      </c>
      <c r="AJ4" s="105" t="s">
        <v>11</v>
      </c>
      <c r="AK4" s="105" t="s">
        <v>10</v>
      </c>
      <c r="AL4" s="105" t="s">
        <v>11</v>
      </c>
      <c r="AM4" s="105" t="s">
        <v>10</v>
      </c>
      <c r="AN4" s="105" t="s">
        <v>11</v>
      </c>
      <c r="AO4" s="105" t="s">
        <v>10</v>
      </c>
      <c r="AP4" s="105" t="s">
        <v>11</v>
      </c>
      <c r="AQ4" s="105" t="s">
        <v>10</v>
      </c>
      <c r="AR4" s="105" t="s">
        <v>11</v>
      </c>
      <c r="AS4" s="105" t="s">
        <v>10</v>
      </c>
      <c r="AT4" s="105" t="s">
        <v>11</v>
      </c>
      <c r="AU4" s="105" t="s">
        <v>10</v>
      </c>
      <c r="AV4" s="105" t="s">
        <v>11</v>
      </c>
      <c r="AW4" s="105" t="s">
        <v>10</v>
      </c>
      <c r="AX4" s="105" t="s">
        <v>11</v>
      </c>
      <c r="AY4" s="105" t="s">
        <v>10</v>
      </c>
      <c r="AZ4" s="105" t="s">
        <v>11</v>
      </c>
      <c r="BA4" s="105" t="s">
        <v>10</v>
      </c>
      <c r="BB4" s="105" t="s">
        <v>11</v>
      </c>
      <c r="BC4" s="105" t="s">
        <v>10</v>
      </c>
      <c r="BD4" s="105" t="s">
        <v>11</v>
      </c>
      <c r="BE4" s="105" t="s">
        <v>10</v>
      </c>
      <c r="BF4" s="105" t="s">
        <v>11</v>
      </c>
      <c r="BG4" s="105" t="s">
        <v>10</v>
      </c>
      <c r="BH4" s="105" t="s">
        <v>11</v>
      </c>
      <c r="BI4" s="105" t="s">
        <v>10</v>
      </c>
      <c r="BJ4" s="105" t="s">
        <v>11</v>
      </c>
      <c r="BK4" s="105" t="s">
        <v>10</v>
      </c>
      <c r="BL4" s="105" t="s">
        <v>11</v>
      </c>
      <c r="BM4" s="105" t="s">
        <v>10</v>
      </c>
      <c r="BN4" s="105" t="s">
        <v>11</v>
      </c>
      <c r="BO4" s="105" t="s">
        <v>10</v>
      </c>
      <c r="BP4" s="105" t="s">
        <v>11</v>
      </c>
      <c r="BQ4" s="105" t="s">
        <v>10</v>
      </c>
      <c r="BR4" s="105" t="s">
        <v>11</v>
      </c>
      <c r="BS4" s="105" t="s">
        <v>10</v>
      </c>
      <c r="BT4" s="105" t="s">
        <v>11</v>
      </c>
      <c r="BU4" s="105" t="s">
        <v>10</v>
      </c>
      <c r="BV4" s="105" t="s">
        <v>11</v>
      </c>
      <c r="BX4" s="106"/>
      <c r="BY4" s="106"/>
    </row>
    <row r="5" spans="1:77" s="92" customFormat="1" ht="15" hidden="1" customHeight="1">
      <c r="A5" s="109">
        <v>1</v>
      </c>
      <c r="B5" s="26" t="s">
        <v>12</v>
      </c>
      <c r="C5" s="27" t="s">
        <v>13</v>
      </c>
      <c r="D5" s="26" t="s">
        <v>14</v>
      </c>
      <c r="E5" s="109"/>
      <c r="F5" s="109"/>
      <c r="G5" s="108">
        <v>1</v>
      </c>
      <c r="H5" s="26">
        <f t="shared" ref="H5:H68" si="0">SUM(M5+O5+Q5+S5+U5+W5+Y5+AA5+AC5+AE5+AG5+AI5+AK5+AM5+AO5+AQ5+AS5+AU5+AW5+AY5+BA5+BC5+BE5+BG5+BI5+BK5+BM5+BO5+BQ5+BS5+BU5)</f>
        <v>0</v>
      </c>
      <c r="I5" s="26">
        <f t="shared" ref="I5:I68" si="1">SUM(N5+P5+R5+T5+V5+X5+Z5+AB5+AD5+AF5+AH5+AJ5+AL5+AN5+AP5+AR5+AT5+AV5+AX5+AZ5+BB5+BD5+BF5+BH5+BJ5+BL5+BN5+BP5+BR5+BT5+BV5)</f>
        <v>0</v>
      </c>
      <c r="J5" s="108">
        <v>1</v>
      </c>
      <c r="K5" s="108">
        <v>4</v>
      </c>
      <c r="L5" s="108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X5" s="28"/>
      <c r="BY5" s="28"/>
    </row>
    <row r="6" spans="1:77" s="50" customFormat="1" ht="15" hidden="1" customHeight="1">
      <c r="A6" s="109">
        <v>2</v>
      </c>
      <c r="B6" s="26" t="s">
        <v>12</v>
      </c>
      <c r="C6" s="27" t="s">
        <v>13</v>
      </c>
      <c r="D6" s="26" t="s">
        <v>14</v>
      </c>
      <c r="E6" s="109"/>
      <c r="F6" s="109"/>
      <c r="G6" s="110">
        <v>1</v>
      </c>
      <c r="H6" s="3">
        <f t="shared" si="0"/>
        <v>0</v>
      </c>
      <c r="I6" s="3">
        <f t="shared" si="1"/>
        <v>0</v>
      </c>
      <c r="J6" s="110">
        <f>G6+H6-I6</f>
        <v>1</v>
      </c>
      <c r="K6" s="110"/>
      <c r="L6" s="110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X6" s="29"/>
      <c r="BY6" s="29"/>
    </row>
    <row r="7" spans="1:77" s="50" customFormat="1" ht="15" hidden="1" customHeight="1">
      <c r="A7" s="142">
        <v>3</v>
      </c>
      <c r="B7" s="143" t="s">
        <v>15</v>
      </c>
      <c r="C7" s="144" t="s">
        <v>16</v>
      </c>
      <c r="D7" s="143" t="s">
        <v>14</v>
      </c>
      <c r="E7" s="109"/>
      <c r="F7" s="109"/>
      <c r="G7" s="110">
        <v>67</v>
      </c>
      <c r="H7" s="3">
        <f t="shared" si="0"/>
        <v>0</v>
      </c>
      <c r="I7" s="3">
        <f t="shared" si="1"/>
        <v>0</v>
      </c>
      <c r="J7" s="110">
        <f t="shared" ref="J7:J68" si="2">G7+H7-I7</f>
        <v>67</v>
      </c>
      <c r="K7" s="110"/>
      <c r="L7" s="110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11"/>
      <c r="BJ7" s="111"/>
      <c r="BK7" s="111"/>
      <c r="BL7" s="111"/>
      <c r="BM7" s="111"/>
      <c r="BN7" s="111"/>
      <c r="BO7" s="111"/>
      <c r="BP7" s="111"/>
      <c r="BQ7" s="111"/>
      <c r="BR7" s="111"/>
      <c r="BS7" s="111"/>
      <c r="BT7" s="111"/>
      <c r="BU7" s="111"/>
      <c r="BV7" s="111"/>
    </row>
    <row r="8" spans="1:77" s="50" customFormat="1" ht="15" hidden="1" customHeight="1">
      <c r="A8" s="142">
        <v>4</v>
      </c>
      <c r="B8" s="143" t="s">
        <v>17</v>
      </c>
      <c r="C8" s="144" t="s">
        <v>18</v>
      </c>
      <c r="D8" s="143" t="s">
        <v>14</v>
      </c>
      <c r="E8" s="109"/>
      <c r="F8" s="109"/>
      <c r="G8" s="110">
        <v>55</v>
      </c>
      <c r="H8" s="3">
        <f t="shared" si="0"/>
        <v>0</v>
      </c>
      <c r="I8" s="3">
        <f t="shared" si="1"/>
        <v>0</v>
      </c>
      <c r="J8" s="110">
        <f t="shared" si="2"/>
        <v>55</v>
      </c>
      <c r="K8" s="110"/>
      <c r="L8" s="110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1"/>
      <c r="BJ8" s="111"/>
      <c r="BK8" s="111"/>
      <c r="BL8" s="111"/>
      <c r="BM8" s="111"/>
      <c r="BN8" s="111"/>
      <c r="BO8" s="111"/>
      <c r="BP8" s="111"/>
      <c r="BQ8" s="111"/>
      <c r="BR8" s="111"/>
      <c r="BS8" s="111"/>
      <c r="BT8" s="111"/>
      <c r="BU8" s="111"/>
      <c r="BV8" s="111"/>
    </row>
    <row r="9" spans="1:77" s="93" customFormat="1" ht="15" hidden="1" customHeight="1">
      <c r="A9" s="142">
        <v>5</v>
      </c>
      <c r="B9" s="143" t="s">
        <v>19</v>
      </c>
      <c r="C9" s="144" t="s">
        <v>20</v>
      </c>
      <c r="D9" s="143" t="s">
        <v>21</v>
      </c>
      <c r="E9" s="109"/>
      <c r="F9" s="109"/>
      <c r="G9" s="108">
        <v>13</v>
      </c>
      <c r="H9" s="26">
        <f t="shared" si="0"/>
        <v>0</v>
      </c>
      <c r="I9" s="26">
        <f t="shared" si="1"/>
        <v>0</v>
      </c>
      <c r="J9" s="108">
        <f t="shared" si="2"/>
        <v>13</v>
      </c>
      <c r="K9" s="108"/>
      <c r="L9" s="108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</row>
    <row r="10" spans="1:77" s="92" customFormat="1" ht="15" hidden="1" customHeight="1">
      <c r="A10" s="109">
        <v>6</v>
      </c>
      <c r="B10" s="26" t="s">
        <v>22</v>
      </c>
      <c r="C10" s="27" t="s">
        <v>23</v>
      </c>
      <c r="D10" s="26" t="s">
        <v>21</v>
      </c>
      <c r="E10" s="109"/>
      <c r="F10" s="109"/>
      <c r="G10" s="108">
        <v>3</v>
      </c>
      <c r="H10" s="26">
        <f t="shared" si="0"/>
        <v>0</v>
      </c>
      <c r="I10" s="26">
        <f t="shared" si="1"/>
        <v>0</v>
      </c>
      <c r="J10" s="108">
        <f t="shared" si="2"/>
        <v>3</v>
      </c>
      <c r="K10" s="108"/>
      <c r="L10" s="108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</row>
    <row r="11" spans="1:77" s="92" customFormat="1" ht="15" hidden="1" customHeight="1">
      <c r="A11" s="109">
        <v>7</v>
      </c>
      <c r="B11" s="26" t="s">
        <v>24</v>
      </c>
      <c r="C11" s="27" t="s">
        <v>25</v>
      </c>
      <c r="D11" s="26" t="s">
        <v>21</v>
      </c>
      <c r="E11" s="109"/>
      <c r="F11" s="109"/>
      <c r="G11" s="108">
        <v>221</v>
      </c>
      <c r="H11" s="26">
        <f t="shared" si="0"/>
        <v>0</v>
      </c>
      <c r="I11" s="26">
        <f t="shared" si="1"/>
        <v>0</v>
      </c>
      <c r="J11" s="108">
        <f t="shared" si="2"/>
        <v>221</v>
      </c>
      <c r="K11" s="108"/>
      <c r="L11" s="108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</row>
    <row r="12" spans="1:77" s="92" customFormat="1" ht="15" hidden="1" customHeight="1">
      <c r="A12" s="109">
        <v>8</v>
      </c>
      <c r="B12" s="26" t="s">
        <v>26</v>
      </c>
      <c r="C12" s="27" t="s">
        <v>27</v>
      </c>
      <c r="D12" s="26" t="s">
        <v>21</v>
      </c>
      <c r="E12" s="109"/>
      <c r="F12" s="109"/>
      <c r="G12" s="108">
        <v>20</v>
      </c>
      <c r="H12" s="26">
        <f t="shared" si="0"/>
        <v>0</v>
      </c>
      <c r="I12" s="26">
        <f t="shared" si="1"/>
        <v>0</v>
      </c>
      <c r="J12" s="108">
        <f t="shared" si="2"/>
        <v>20</v>
      </c>
      <c r="K12" s="108"/>
      <c r="L12" s="108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</row>
    <row r="13" spans="1:77" s="50" customFormat="1" ht="15" hidden="1" customHeight="1">
      <c r="A13" s="109">
        <v>9</v>
      </c>
      <c r="B13" s="26" t="s">
        <v>28</v>
      </c>
      <c r="C13" s="27" t="s">
        <v>29</v>
      </c>
      <c r="D13" s="26" t="s">
        <v>21</v>
      </c>
      <c r="E13" s="109"/>
      <c r="F13" s="109"/>
      <c r="G13" s="110">
        <v>89</v>
      </c>
      <c r="H13" s="3">
        <f t="shared" si="0"/>
        <v>0</v>
      </c>
      <c r="I13" s="3">
        <f t="shared" si="1"/>
        <v>0</v>
      </c>
      <c r="J13" s="110">
        <f t="shared" si="2"/>
        <v>89</v>
      </c>
      <c r="K13" s="110"/>
      <c r="L13" s="110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1"/>
      <c r="BQ13" s="111"/>
      <c r="BR13" s="111"/>
      <c r="BS13" s="111"/>
      <c r="BT13" s="111"/>
      <c r="BU13" s="111"/>
      <c r="BV13" s="111"/>
    </row>
    <row r="14" spans="1:77" s="50" customFormat="1" ht="15" hidden="1" customHeight="1">
      <c r="A14" s="109">
        <v>10</v>
      </c>
      <c r="B14" s="26" t="s">
        <v>30</v>
      </c>
      <c r="C14" s="27" t="s">
        <v>31</v>
      </c>
      <c r="D14" s="26" t="s">
        <v>21</v>
      </c>
      <c r="E14" s="109"/>
      <c r="F14" s="109"/>
      <c r="G14" s="110">
        <v>1</v>
      </c>
      <c r="H14" s="3">
        <f t="shared" si="0"/>
        <v>0</v>
      </c>
      <c r="I14" s="3">
        <f t="shared" si="1"/>
        <v>0</v>
      </c>
      <c r="J14" s="110">
        <f t="shared" si="2"/>
        <v>1</v>
      </c>
      <c r="K14" s="110"/>
      <c r="L14" s="110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1"/>
      <c r="BQ14" s="111"/>
      <c r="BR14" s="111"/>
      <c r="BS14" s="111"/>
      <c r="BT14" s="111"/>
      <c r="BU14" s="111"/>
      <c r="BV14" s="111"/>
    </row>
    <row r="15" spans="1:77" s="50" customFormat="1" ht="15" hidden="1" customHeight="1">
      <c r="A15" s="109">
        <v>11</v>
      </c>
      <c r="B15" s="112" t="s">
        <v>32</v>
      </c>
      <c r="C15" s="113" t="s">
        <v>33</v>
      </c>
      <c r="D15" s="26" t="s">
        <v>21</v>
      </c>
      <c r="E15" s="109"/>
      <c r="F15" s="109"/>
      <c r="G15" s="110">
        <v>12</v>
      </c>
      <c r="H15" s="3">
        <f t="shared" si="0"/>
        <v>0</v>
      </c>
      <c r="I15" s="3">
        <f t="shared" si="1"/>
        <v>0</v>
      </c>
      <c r="J15" s="110">
        <f t="shared" si="2"/>
        <v>12</v>
      </c>
      <c r="K15" s="110"/>
      <c r="L15" s="110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1"/>
      <c r="BQ15" s="111"/>
      <c r="BR15" s="111"/>
      <c r="BS15" s="111"/>
      <c r="BT15" s="111"/>
      <c r="BU15" s="111"/>
      <c r="BV15" s="111"/>
    </row>
    <row r="16" spans="1:77" s="50" customFormat="1" ht="15" hidden="1" customHeight="1">
      <c r="A16" s="142">
        <v>12</v>
      </c>
      <c r="B16" s="143" t="s">
        <v>34</v>
      </c>
      <c r="C16" s="144" t="s">
        <v>35</v>
      </c>
      <c r="D16" s="143" t="s">
        <v>21</v>
      </c>
      <c r="E16" s="109"/>
      <c r="F16" s="109"/>
      <c r="G16" s="110">
        <v>10</v>
      </c>
      <c r="H16" s="3">
        <f t="shared" si="0"/>
        <v>16</v>
      </c>
      <c r="I16" s="3">
        <f t="shared" si="1"/>
        <v>15</v>
      </c>
      <c r="J16" s="110">
        <f t="shared" si="2"/>
        <v>11</v>
      </c>
      <c r="K16" s="110"/>
      <c r="L16" s="110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>
        <v>6</v>
      </c>
      <c r="AA16" s="111"/>
      <c r="AB16" s="111"/>
      <c r="AC16" s="111"/>
      <c r="AD16" s="111"/>
      <c r="AE16" s="111">
        <v>16</v>
      </c>
      <c r="AF16" s="111"/>
      <c r="AG16" s="111"/>
      <c r="AH16" s="111"/>
      <c r="AI16" s="111"/>
      <c r="AJ16" s="111"/>
      <c r="AK16" s="111"/>
      <c r="AL16" s="111">
        <v>9</v>
      </c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</row>
    <row r="17" spans="1:75" s="93" customFormat="1" ht="15" hidden="1" customHeight="1">
      <c r="A17" s="109">
        <v>13</v>
      </c>
      <c r="B17" s="26" t="s">
        <v>36</v>
      </c>
      <c r="C17" s="27" t="s">
        <v>37</v>
      </c>
      <c r="D17" s="26" t="s">
        <v>21</v>
      </c>
      <c r="E17" s="109"/>
      <c r="F17" s="109"/>
      <c r="G17" s="108">
        <v>85</v>
      </c>
      <c r="H17" s="26">
        <f t="shared" si="0"/>
        <v>0</v>
      </c>
      <c r="I17" s="26">
        <f t="shared" si="1"/>
        <v>0</v>
      </c>
      <c r="J17" s="108">
        <f t="shared" si="2"/>
        <v>85</v>
      </c>
      <c r="K17" s="108"/>
      <c r="L17" s="108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92"/>
    </row>
    <row r="18" spans="1:75" s="50" customFormat="1" ht="15" hidden="1" customHeight="1">
      <c r="A18" s="109">
        <v>14</v>
      </c>
      <c r="B18" s="26" t="s">
        <v>38</v>
      </c>
      <c r="C18" s="27" t="s">
        <v>39</v>
      </c>
      <c r="D18" s="26" t="s">
        <v>21</v>
      </c>
      <c r="E18" s="109"/>
      <c r="F18" s="109"/>
      <c r="G18" s="110">
        <v>9</v>
      </c>
      <c r="H18" s="3">
        <f t="shared" si="0"/>
        <v>0</v>
      </c>
      <c r="I18" s="3">
        <f t="shared" si="1"/>
        <v>0</v>
      </c>
      <c r="J18" s="110">
        <f t="shared" si="2"/>
        <v>9</v>
      </c>
      <c r="K18" s="110"/>
      <c r="L18" s="110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1"/>
      <c r="BQ18" s="111"/>
      <c r="BR18" s="111"/>
      <c r="BS18" s="111"/>
      <c r="BT18" s="111"/>
      <c r="BU18" s="111"/>
      <c r="BV18" s="111"/>
    </row>
    <row r="19" spans="1:75" s="50" customFormat="1" ht="15" hidden="1" customHeight="1">
      <c r="A19" s="142">
        <v>15</v>
      </c>
      <c r="B19" s="142" t="s">
        <v>40</v>
      </c>
      <c r="C19" s="286" t="s">
        <v>41</v>
      </c>
      <c r="D19" s="142" t="s">
        <v>21</v>
      </c>
      <c r="E19" s="109"/>
      <c r="F19" s="109"/>
      <c r="G19" s="110">
        <v>24</v>
      </c>
      <c r="H19" s="111">
        <f t="shared" si="0"/>
        <v>0</v>
      </c>
      <c r="I19" s="111">
        <f t="shared" si="1"/>
        <v>0</v>
      </c>
      <c r="J19" s="110">
        <f t="shared" si="2"/>
        <v>24</v>
      </c>
      <c r="K19" s="110"/>
      <c r="L19" s="110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1"/>
      <c r="BQ19" s="111"/>
      <c r="BR19" s="111"/>
      <c r="BS19" s="111"/>
      <c r="BT19" s="111"/>
      <c r="BU19" s="111"/>
      <c r="BV19" s="111"/>
    </row>
    <row r="20" spans="1:75" s="50" customFormat="1" ht="15" hidden="1" customHeight="1">
      <c r="A20" s="142">
        <v>16</v>
      </c>
      <c r="B20" s="143" t="s">
        <v>42</v>
      </c>
      <c r="C20" s="144" t="s">
        <v>43</v>
      </c>
      <c r="D20" s="143" t="s">
        <v>21</v>
      </c>
      <c r="E20" s="109"/>
      <c r="F20" s="109"/>
      <c r="G20" s="110">
        <v>85</v>
      </c>
      <c r="H20" s="3">
        <f t="shared" si="0"/>
        <v>0</v>
      </c>
      <c r="I20" s="3">
        <f t="shared" si="1"/>
        <v>0</v>
      </c>
      <c r="J20" s="110">
        <f t="shared" si="2"/>
        <v>85</v>
      </c>
      <c r="K20" s="110"/>
      <c r="L20" s="110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1"/>
      <c r="BQ20" s="111"/>
      <c r="BR20" s="111"/>
      <c r="BS20" s="111"/>
      <c r="BT20" s="111"/>
      <c r="BU20" s="111"/>
      <c r="BV20" s="111"/>
    </row>
    <row r="21" spans="1:75" s="50" customFormat="1" ht="15" hidden="1" customHeight="1">
      <c r="A21" s="142">
        <v>17</v>
      </c>
      <c r="B21" s="143" t="s">
        <v>44</v>
      </c>
      <c r="C21" s="144" t="s">
        <v>45</v>
      </c>
      <c r="D21" s="143" t="s">
        <v>21</v>
      </c>
      <c r="E21" s="109"/>
      <c r="F21" s="109"/>
      <c r="G21" s="110">
        <v>65</v>
      </c>
      <c r="H21" s="3">
        <f t="shared" si="0"/>
        <v>0</v>
      </c>
      <c r="I21" s="3">
        <f t="shared" si="1"/>
        <v>0</v>
      </c>
      <c r="J21" s="110">
        <f t="shared" si="2"/>
        <v>65</v>
      </c>
      <c r="K21" s="110"/>
      <c r="L21" s="110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1"/>
      <c r="BQ21" s="111"/>
      <c r="BR21" s="111"/>
      <c r="BS21" s="111"/>
      <c r="BT21" s="111"/>
      <c r="BU21" s="111"/>
      <c r="BV21" s="111"/>
    </row>
    <row r="22" spans="1:75" s="50" customFormat="1" ht="15" hidden="1" customHeight="1">
      <c r="A22" s="142">
        <v>18</v>
      </c>
      <c r="B22" s="143" t="s">
        <v>46</v>
      </c>
      <c r="C22" s="144" t="s">
        <v>47</v>
      </c>
      <c r="D22" s="143" t="s">
        <v>21</v>
      </c>
      <c r="E22" s="109"/>
      <c r="F22" s="109"/>
      <c r="G22" s="110">
        <v>60</v>
      </c>
      <c r="H22" s="3">
        <f t="shared" si="0"/>
        <v>0</v>
      </c>
      <c r="I22" s="3">
        <f t="shared" si="1"/>
        <v>0</v>
      </c>
      <c r="J22" s="110">
        <f t="shared" si="2"/>
        <v>60</v>
      </c>
      <c r="K22" s="110"/>
      <c r="L22" s="110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1"/>
      <c r="BQ22" s="111"/>
      <c r="BR22" s="111"/>
      <c r="BS22" s="111"/>
      <c r="BT22" s="111"/>
      <c r="BU22" s="111"/>
      <c r="BV22" s="111"/>
    </row>
    <row r="23" spans="1:75" s="50" customFormat="1" ht="15" hidden="1" customHeight="1">
      <c r="A23" s="142">
        <v>19</v>
      </c>
      <c r="B23" s="143" t="s">
        <v>48</v>
      </c>
      <c r="C23" s="144" t="s">
        <v>49</v>
      </c>
      <c r="D23" s="143" t="s">
        <v>21</v>
      </c>
      <c r="E23" s="109"/>
      <c r="F23" s="109"/>
      <c r="G23" s="110">
        <v>208</v>
      </c>
      <c r="H23" s="3">
        <f t="shared" si="0"/>
        <v>0</v>
      </c>
      <c r="I23" s="3">
        <f t="shared" si="1"/>
        <v>0</v>
      </c>
      <c r="J23" s="110">
        <f t="shared" si="2"/>
        <v>208</v>
      </c>
      <c r="K23" s="110"/>
      <c r="L23" s="110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1"/>
      <c r="BQ23" s="111"/>
      <c r="BR23" s="111"/>
      <c r="BS23" s="111"/>
      <c r="BT23" s="111"/>
      <c r="BU23" s="111"/>
      <c r="BV23" s="111"/>
    </row>
    <row r="24" spans="1:75" s="50" customFormat="1" ht="15" hidden="1" customHeight="1">
      <c r="A24" s="142">
        <v>20</v>
      </c>
      <c r="B24" s="252" t="s">
        <v>50</v>
      </c>
      <c r="C24" s="253" t="s">
        <v>51</v>
      </c>
      <c r="D24" s="143" t="s">
        <v>21</v>
      </c>
      <c r="E24" s="109"/>
      <c r="F24" s="109"/>
      <c r="G24" s="110">
        <v>230</v>
      </c>
      <c r="H24" s="3">
        <f t="shared" si="0"/>
        <v>0</v>
      </c>
      <c r="I24" s="3">
        <f t="shared" si="1"/>
        <v>0</v>
      </c>
      <c r="J24" s="110">
        <f t="shared" si="2"/>
        <v>230</v>
      </c>
      <c r="K24" s="110"/>
      <c r="L24" s="110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1"/>
      <c r="BQ24" s="111"/>
      <c r="BR24" s="111"/>
      <c r="BS24" s="111"/>
      <c r="BT24" s="111"/>
      <c r="BU24" s="111"/>
      <c r="BV24" s="111"/>
    </row>
    <row r="25" spans="1:75" s="50" customFormat="1" ht="15" hidden="1" customHeight="1">
      <c r="A25" s="142">
        <v>21</v>
      </c>
      <c r="B25" s="252" t="s">
        <v>52</v>
      </c>
      <c r="C25" s="253" t="s">
        <v>53</v>
      </c>
      <c r="D25" s="143" t="s">
        <v>21</v>
      </c>
      <c r="E25" s="109"/>
      <c r="F25" s="109"/>
      <c r="G25" s="110">
        <v>143</v>
      </c>
      <c r="H25" s="3">
        <f t="shared" si="0"/>
        <v>0</v>
      </c>
      <c r="I25" s="3">
        <f t="shared" si="1"/>
        <v>0</v>
      </c>
      <c r="J25" s="110">
        <f t="shared" si="2"/>
        <v>143</v>
      </c>
      <c r="K25" s="110"/>
      <c r="L25" s="110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1"/>
      <c r="BQ25" s="111"/>
      <c r="BR25" s="111"/>
      <c r="BS25" s="111"/>
      <c r="BT25" s="111"/>
      <c r="BU25" s="111"/>
      <c r="BV25" s="111"/>
    </row>
    <row r="26" spans="1:75" s="50" customFormat="1" ht="15" hidden="1" customHeight="1">
      <c r="A26" s="142">
        <v>22</v>
      </c>
      <c r="B26" s="143" t="s">
        <v>54</v>
      </c>
      <c r="C26" s="144" t="s">
        <v>55</v>
      </c>
      <c r="D26" s="143" t="s">
        <v>21</v>
      </c>
      <c r="E26" s="109"/>
      <c r="F26" s="109"/>
      <c r="G26" s="110">
        <v>84</v>
      </c>
      <c r="H26" s="3">
        <f t="shared" si="0"/>
        <v>0</v>
      </c>
      <c r="I26" s="3">
        <f t="shared" si="1"/>
        <v>0</v>
      </c>
      <c r="J26" s="110">
        <f t="shared" si="2"/>
        <v>84</v>
      </c>
      <c r="K26" s="110"/>
      <c r="L26" s="110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1"/>
      <c r="BQ26" s="111"/>
      <c r="BR26" s="111"/>
      <c r="BS26" s="111"/>
      <c r="BT26" s="111"/>
      <c r="BU26" s="111"/>
      <c r="BV26" s="111"/>
    </row>
    <row r="27" spans="1:75" s="50" customFormat="1" ht="15" hidden="1" customHeight="1">
      <c r="A27" s="142">
        <v>23</v>
      </c>
      <c r="B27" s="143" t="s">
        <v>56</v>
      </c>
      <c r="C27" s="144" t="s">
        <v>57</v>
      </c>
      <c r="D27" s="143" t="s">
        <v>21</v>
      </c>
      <c r="E27" s="109"/>
      <c r="F27" s="109"/>
      <c r="G27" s="110">
        <v>1068</v>
      </c>
      <c r="H27" s="3">
        <f t="shared" si="0"/>
        <v>0</v>
      </c>
      <c r="I27" s="3">
        <f t="shared" si="1"/>
        <v>0</v>
      </c>
      <c r="J27" s="110">
        <f t="shared" si="2"/>
        <v>1068</v>
      </c>
      <c r="K27" s="110"/>
      <c r="L27" s="110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1"/>
      <c r="BQ27" s="111"/>
      <c r="BR27" s="111"/>
      <c r="BS27" s="111"/>
      <c r="BT27" s="111"/>
      <c r="BU27" s="111"/>
      <c r="BV27" s="111"/>
    </row>
    <row r="28" spans="1:75" s="50" customFormat="1" ht="15" hidden="1" customHeight="1">
      <c r="A28" s="142">
        <v>24</v>
      </c>
      <c r="B28" s="143" t="s">
        <v>58</v>
      </c>
      <c r="C28" s="144" t="s">
        <v>59</v>
      </c>
      <c r="D28" s="143" t="s">
        <v>21</v>
      </c>
      <c r="E28" s="109"/>
      <c r="F28" s="109"/>
      <c r="G28" s="110">
        <v>71</v>
      </c>
      <c r="H28" s="3">
        <f t="shared" si="0"/>
        <v>0</v>
      </c>
      <c r="I28" s="3">
        <f t="shared" si="1"/>
        <v>0</v>
      </c>
      <c r="J28" s="110">
        <f t="shared" si="2"/>
        <v>71</v>
      </c>
      <c r="K28" s="110"/>
      <c r="L28" s="110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1"/>
      <c r="BQ28" s="111"/>
      <c r="BR28" s="111"/>
      <c r="BS28" s="111"/>
      <c r="BT28" s="111"/>
      <c r="BU28" s="111"/>
      <c r="BV28" s="111"/>
    </row>
    <row r="29" spans="1:75" s="94" customFormat="1" ht="30" hidden="1" customHeight="1">
      <c r="A29" s="142">
        <v>25</v>
      </c>
      <c r="B29" s="311" t="s">
        <v>60</v>
      </c>
      <c r="C29" s="312" t="s">
        <v>61</v>
      </c>
      <c r="D29" s="143" t="s">
        <v>21</v>
      </c>
      <c r="E29" s="109"/>
      <c r="F29" s="109"/>
      <c r="G29" s="110">
        <v>104</v>
      </c>
      <c r="H29" s="3">
        <f t="shared" si="0"/>
        <v>0</v>
      </c>
      <c r="I29" s="3">
        <f t="shared" si="1"/>
        <v>0</v>
      </c>
      <c r="J29" s="110">
        <f t="shared" si="2"/>
        <v>104</v>
      </c>
      <c r="K29" s="110"/>
      <c r="L29" s="110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1"/>
      <c r="BQ29" s="111"/>
      <c r="BR29" s="111"/>
      <c r="BS29" s="111"/>
      <c r="BT29" s="111"/>
      <c r="BU29" s="111"/>
      <c r="BV29" s="111"/>
    </row>
    <row r="30" spans="1:75" s="50" customFormat="1" ht="15" hidden="1" customHeight="1">
      <c r="A30" s="142">
        <v>26</v>
      </c>
      <c r="B30" s="294" t="s">
        <v>62</v>
      </c>
      <c r="C30" s="314" t="s">
        <v>63</v>
      </c>
      <c r="D30" s="143" t="s">
        <v>21</v>
      </c>
      <c r="E30" s="109"/>
      <c r="F30" s="109"/>
      <c r="G30" s="110">
        <v>42</v>
      </c>
      <c r="H30" s="3">
        <f t="shared" si="0"/>
        <v>0</v>
      </c>
      <c r="I30" s="3">
        <f t="shared" si="1"/>
        <v>0</v>
      </c>
      <c r="J30" s="110">
        <f t="shared" si="2"/>
        <v>42</v>
      </c>
      <c r="K30" s="110"/>
      <c r="L30" s="110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</row>
    <row r="31" spans="1:75" s="50" customFormat="1" ht="15" hidden="1" customHeight="1">
      <c r="A31" s="142">
        <v>27</v>
      </c>
      <c r="B31" s="311" t="s">
        <v>64</v>
      </c>
      <c r="C31" s="268" t="s">
        <v>65</v>
      </c>
      <c r="D31" s="143" t="s">
        <v>21</v>
      </c>
      <c r="E31" s="109"/>
      <c r="F31" s="109"/>
      <c r="G31" s="110">
        <v>42</v>
      </c>
      <c r="H31" s="3">
        <f t="shared" si="0"/>
        <v>0</v>
      </c>
      <c r="I31" s="3">
        <f t="shared" si="1"/>
        <v>0</v>
      </c>
      <c r="J31" s="110">
        <f t="shared" si="2"/>
        <v>42</v>
      </c>
      <c r="K31" s="110"/>
      <c r="L31" s="110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1"/>
      <c r="BQ31" s="111"/>
      <c r="BR31" s="111"/>
      <c r="BS31" s="111"/>
      <c r="BT31" s="111"/>
      <c r="BU31" s="111"/>
      <c r="BV31" s="111"/>
    </row>
    <row r="32" spans="1:75" s="50" customFormat="1" ht="15" hidden="1" customHeight="1">
      <c r="A32" s="142">
        <v>28</v>
      </c>
      <c r="B32" s="311" t="s">
        <v>66</v>
      </c>
      <c r="C32" s="268" t="s">
        <v>67</v>
      </c>
      <c r="D32" s="143" t="s">
        <v>21</v>
      </c>
      <c r="E32" s="109"/>
      <c r="F32" s="109"/>
      <c r="G32" s="110">
        <v>6</v>
      </c>
      <c r="H32" s="3">
        <f t="shared" si="0"/>
        <v>0</v>
      </c>
      <c r="I32" s="3">
        <f t="shared" si="1"/>
        <v>0</v>
      </c>
      <c r="J32" s="110">
        <f t="shared" si="2"/>
        <v>6</v>
      </c>
      <c r="K32" s="110"/>
      <c r="L32" s="110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1"/>
      <c r="BQ32" s="111"/>
      <c r="BR32" s="111"/>
      <c r="BS32" s="111"/>
      <c r="BT32" s="111"/>
      <c r="BU32" s="111"/>
      <c r="BV32" s="111"/>
    </row>
    <row r="33" spans="1:76" s="50" customFormat="1" ht="15" hidden="1" customHeight="1">
      <c r="A33" s="142">
        <v>29</v>
      </c>
      <c r="B33" s="311" t="s">
        <v>68</v>
      </c>
      <c r="C33" s="268" t="s">
        <v>69</v>
      </c>
      <c r="D33" s="143" t="s">
        <v>21</v>
      </c>
      <c r="E33" s="109"/>
      <c r="F33" s="109"/>
      <c r="G33" s="110">
        <v>10</v>
      </c>
      <c r="H33" s="3">
        <f t="shared" si="0"/>
        <v>0</v>
      </c>
      <c r="I33" s="3">
        <f t="shared" si="1"/>
        <v>0</v>
      </c>
      <c r="J33" s="110">
        <f t="shared" si="2"/>
        <v>10</v>
      </c>
      <c r="K33" s="110"/>
      <c r="L33" s="110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1"/>
      <c r="BQ33" s="111"/>
      <c r="BR33" s="111"/>
      <c r="BS33" s="111"/>
      <c r="BT33" s="111"/>
      <c r="BU33" s="111"/>
      <c r="BV33" s="111"/>
    </row>
    <row r="34" spans="1:76" s="50" customFormat="1" ht="15" hidden="1" customHeight="1">
      <c r="A34" s="142">
        <v>30</v>
      </c>
      <c r="B34" s="311" t="s">
        <v>70</v>
      </c>
      <c r="C34" s="313" t="s">
        <v>71</v>
      </c>
      <c r="D34" s="143" t="s">
        <v>21</v>
      </c>
      <c r="E34" s="109"/>
      <c r="F34" s="109"/>
      <c r="G34" s="110">
        <v>17</v>
      </c>
      <c r="H34" s="3">
        <f t="shared" si="0"/>
        <v>0</v>
      </c>
      <c r="I34" s="3">
        <f t="shared" si="1"/>
        <v>0</v>
      </c>
      <c r="J34" s="110">
        <f t="shared" si="2"/>
        <v>17</v>
      </c>
      <c r="K34" s="110"/>
      <c r="L34" s="110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1"/>
      <c r="BQ34" s="111"/>
      <c r="BR34" s="111"/>
      <c r="BS34" s="111"/>
      <c r="BT34" s="111"/>
      <c r="BU34" s="111"/>
      <c r="BV34" s="111"/>
    </row>
    <row r="35" spans="1:76" s="50" customFormat="1" ht="15" hidden="1" customHeight="1">
      <c r="A35" s="142">
        <v>31</v>
      </c>
      <c r="B35" s="143" t="s">
        <v>72</v>
      </c>
      <c r="C35" s="144" t="s">
        <v>73</v>
      </c>
      <c r="D35" s="143" t="s">
        <v>21</v>
      </c>
      <c r="E35" s="109"/>
      <c r="F35" s="109"/>
      <c r="G35" s="110">
        <v>74</v>
      </c>
      <c r="H35" s="3">
        <f t="shared" si="0"/>
        <v>0</v>
      </c>
      <c r="I35" s="3">
        <f t="shared" si="1"/>
        <v>0</v>
      </c>
      <c r="J35" s="110">
        <f t="shared" si="2"/>
        <v>74</v>
      </c>
      <c r="K35" s="110"/>
      <c r="L35" s="110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</row>
    <row r="36" spans="1:76" s="50" customFormat="1" ht="15" hidden="1" customHeight="1">
      <c r="A36" s="109">
        <v>32</v>
      </c>
      <c r="B36" s="26" t="s">
        <v>74</v>
      </c>
      <c r="C36" s="27" t="s">
        <v>75</v>
      </c>
      <c r="D36" s="26" t="s">
        <v>21</v>
      </c>
      <c r="E36" s="109"/>
      <c r="F36" s="109"/>
      <c r="G36" s="110">
        <v>2</v>
      </c>
      <c r="H36" s="3">
        <f t="shared" si="0"/>
        <v>0</v>
      </c>
      <c r="I36" s="3">
        <f t="shared" si="1"/>
        <v>0</v>
      </c>
      <c r="J36" s="110">
        <f t="shared" si="2"/>
        <v>2</v>
      </c>
      <c r="K36" s="110"/>
      <c r="L36" s="110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1"/>
      <c r="BQ36" s="111"/>
      <c r="BR36" s="111"/>
      <c r="BS36" s="111"/>
      <c r="BT36" s="111"/>
      <c r="BU36" s="111"/>
      <c r="BV36" s="111"/>
    </row>
    <row r="37" spans="1:76" s="50" customFormat="1" ht="15" hidden="1" customHeight="1">
      <c r="A37" s="109">
        <v>33</v>
      </c>
      <c r="B37" s="26" t="s">
        <v>76</v>
      </c>
      <c r="C37" s="27" t="s">
        <v>77</v>
      </c>
      <c r="D37" s="26" t="s">
        <v>14</v>
      </c>
      <c r="E37" s="109"/>
      <c r="F37" s="109"/>
      <c r="G37" s="110">
        <v>16</v>
      </c>
      <c r="H37" s="3">
        <f t="shared" si="0"/>
        <v>0</v>
      </c>
      <c r="I37" s="3">
        <f t="shared" si="1"/>
        <v>0</v>
      </c>
      <c r="J37" s="110">
        <f t="shared" si="2"/>
        <v>16</v>
      </c>
      <c r="K37" s="110"/>
      <c r="L37" s="110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1"/>
      <c r="BQ37" s="111"/>
      <c r="BR37" s="111"/>
      <c r="BS37" s="111"/>
      <c r="BT37" s="111"/>
      <c r="BU37" s="111"/>
      <c r="BV37" s="111"/>
    </row>
    <row r="38" spans="1:76" s="50" customFormat="1" ht="15" hidden="1" customHeight="1">
      <c r="A38" s="109">
        <v>34</v>
      </c>
      <c r="B38" s="26" t="s">
        <v>78</v>
      </c>
      <c r="C38" s="27" t="s">
        <v>79</v>
      </c>
      <c r="D38" s="26" t="s">
        <v>14</v>
      </c>
      <c r="E38" s="109"/>
      <c r="F38" s="109"/>
      <c r="G38" s="110">
        <v>9</v>
      </c>
      <c r="H38" s="3">
        <f t="shared" si="0"/>
        <v>0</v>
      </c>
      <c r="I38" s="3">
        <f t="shared" si="1"/>
        <v>0</v>
      </c>
      <c r="J38" s="110">
        <f t="shared" si="2"/>
        <v>9</v>
      </c>
      <c r="K38" s="110"/>
      <c r="L38" s="110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111"/>
      <c r="BU38" s="111"/>
      <c r="BV38" s="111"/>
    </row>
    <row r="39" spans="1:76" s="50" customFormat="1" ht="15" hidden="1" customHeight="1">
      <c r="A39" s="109">
        <v>35</v>
      </c>
      <c r="B39" s="26" t="s">
        <v>80</v>
      </c>
      <c r="C39" s="27" t="s">
        <v>81</v>
      </c>
      <c r="D39" s="26" t="s">
        <v>21</v>
      </c>
      <c r="E39" s="109"/>
      <c r="F39" s="109"/>
      <c r="G39" s="110">
        <v>43</v>
      </c>
      <c r="H39" s="3">
        <f t="shared" si="0"/>
        <v>0</v>
      </c>
      <c r="I39" s="3">
        <f t="shared" si="1"/>
        <v>0</v>
      </c>
      <c r="J39" s="110">
        <f t="shared" si="2"/>
        <v>43</v>
      </c>
      <c r="K39" s="110"/>
      <c r="L39" s="110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1"/>
      <c r="BQ39" s="111"/>
      <c r="BR39" s="111"/>
      <c r="BS39" s="111"/>
      <c r="BT39" s="111"/>
      <c r="BU39" s="111"/>
      <c r="BV39" s="111"/>
    </row>
    <row r="40" spans="1:76" s="50" customFormat="1" ht="15" hidden="1" customHeight="1">
      <c r="A40" s="109">
        <v>36</v>
      </c>
      <c r="B40" s="26" t="s">
        <v>82</v>
      </c>
      <c r="C40" s="27" t="s">
        <v>83</v>
      </c>
      <c r="D40" s="26" t="s">
        <v>14</v>
      </c>
      <c r="E40" s="109"/>
      <c r="F40" s="109"/>
      <c r="G40" s="110">
        <v>41</v>
      </c>
      <c r="H40" s="3">
        <f t="shared" si="0"/>
        <v>0</v>
      </c>
      <c r="I40" s="3">
        <f t="shared" si="1"/>
        <v>0</v>
      </c>
      <c r="J40" s="110">
        <f t="shared" si="2"/>
        <v>41</v>
      </c>
      <c r="K40" s="110"/>
      <c r="L40" s="110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1"/>
      <c r="BQ40" s="111"/>
      <c r="BR40" s="111"/>
      <c r="BS40" s="111"/>
      <c r="BT40" s="111"/>
      <c r="BU40" s="111"/>
      <c r="BV40" s="111"/>
    </row>
    <row r="41" spans="1:76" s="50" customFormat="1" ht="15" hidden="1" customHeight="1">
      <c r="A41" s="109">
        <v>37</v>
      </c>
      <c r="B41" s="119" t="s">
        <v>84</v>
      </c>
      <c r="C41" s="120" t="s">
        <v>85</v>
      </c>
      <c r="D41" s="26" t="s">
        <v>21</v>
      </c>
      <c r="E41" s="109"/>
      <c r="F41" s="109"/>
      <c r="G41" s="110">
        <v>50</v>
      </c>
      <c r="H41" s="3">
        <f t="shared" si="0"/>
        <v>0</v>
      </c>
      <c r="I41" s="3">
        <f t="shared" si="1"/>
        <v>0</v>
      </c>
      <c r="J41" s="110">
        <f t="shared" si="2"/>
        <v>50</v>
      </c>
      <c r="K41" s="110"/>
      <c r="L41" s="110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1"/>
      <c r="BQ41" s="111"/>
      <c r="BR41" s="111"/>
      <c r="BS41" s="111"/>
      <c r="BT41" s="111"/>
      <c r="BU41" s="111"/>
      <c r="BV41" s="111"/>
    </row>
    <row r="42" spans="1:76" s="50" customFormat="1" ht="15" hidden="1" customHeight="1">
      <c r="A42" s="109">
        <v>38</v>
      </c>
      <c r="B42" s="26" t="s">
        <v>86</v>
      </c>
      <c r="C42" s="27" t="s">
        <v>87</v>
      </c>
      <c r="D42" s="26" t="s">
        <v>14</v>
      </c>
      <c r="E42" s="109"/>
      <c r="F42" s="109"/>
      <c r="G42" s="110">
        <v>4</v>
      </c>
      <c r="H42" s="3">
        <f t="shared" si="0"/>
        <v>0</v>
      </c>
      <c r="I42" s="3">
        <f t="shared" si="1"/>
        <v>0</v>
      </c>
      <c r="J42" s="110">
        <f t="shared" si="2"/>
        <v>4</v>
      </c>
      <c r="K42" s="110"/>
      <c r="L42" s="110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1"/>
      <c r="BQ42" s="111"/>
      <c r="BR42" s="111"/>
      <c r="BS42" s="111"/>
      <c r="BT42" s="111"/>
      <c r="BU42" s="111"/>
      <c r="BV42" s="111"/>
    </row>
    <row r="43" spans="1:76" s="50" customFormat="1" ht="15" hidden="1" customHeight="1">
      <c r="A43" s="109">
        <v>39</v>
      </c>
      <c r="B43" s="26" t="s">
        <v>88</v>
      </c>
      <c r="C43" s="27" t="s">
        <v>89</v>
      </c>
      <c r="D43" s="26" t="s">
        <v>14</v>
      </c>
      <c r="E43" s="109"/>
      <c r="F43" s="109"/>
      <c r="G43" s="110">
        <v>3</v>
      </c>
      <c r="H43" s="3">
        <f t="shared" si="0"/>
        <v>0</v>
      </c>
      <c r="I43" s="3">
        <f t="shared" si="1"/>
        <v>0</v>
      </c>
      <c r="J43" s="110">
        <f t="shared" si="2"/>
        <v>3</v>
      </c>
      <c r="K43" s="110"/>
      <c r="L43" s="110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  <c r="BU43" s="111"/>
      <c r="BV43" s="111"/>
    </row>
    <row r="44" spans="1:76" s="50" customFormat="1" ht="15" hidden="1" customHeight="1">
      <c r="A44" s="109">
        <v>40</v>
      </c>
      <c r="B44" s="26" t="s">
        <v>90</v>
      </c>
      <c r="C44" s="27" t="s">
        <v>91</v>
      </c>
      <c r="D44" s="26" t="s">
        <v>14</v>
      </c>
      <c r="E44" s="109"/>
      <c r="F44" s="109"/>
      <c r="G44" s="110">
        <v>5</v>
      </c>
      <c r="H44" s="3">
        <f t="shared" si="0"/>
        <v>0</v>
      </c>
      <c r="I44" s="3">
        <f t="shared" si="1"/>
        <v>0</v>
      </c>
      <c r="J44" s="110">
        <f t="shared" si="2"/>
        <v>5</v>
      </c>
      <c r="K44" s="110"/>
      <c r="L44" s="110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3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</row>
    <row r="45" spans="1:76" s="93" customFormat="1" ht="15" hidden="1" customHeight="1">
      <c r="A45" s="142">
        <v>41</v>
      </c>
      <c r="B45" s="143" t="s">
        <v>92</v>
      </c>
      <c r="C45" s="144" t="s">
        <v>93</v>
      </c>
      <c r="D45" s="143" t="s">
        <v>21</v>
      </c>
      <c r="E45" s="109"/>
      <c r="F45" s="109"/>
      <c r="G45" s="108">
        <v>555</v>
      </c>
      <c r="H45" s="26">
        <f t="shared" si="0"/>
        <v>886</v>
      </c>
      <c r="I45" s="26" t="e">
        <f t="shared" si="1"/>
        <v>#VALUE!</v>
      </c>
      <c r="J45" s="108" t="e">
        <f t="shared" si="2"/>
        <v>#VALUE!</v>
      </c>
      <c r="K45" s="108"/>
      <c r="L45" s="108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>
        <v>186</v>
      </c>
      <c r="X45" s="109"/>
      <c r="Y45" s="109"/>
      <c r="Z45" s="109">
        <v>390</v>
      </c>
      <c r="AA45" s="109"/>
      <c r="AB45" s="109"/>
      <c r="AC45" s="109"/>
      <c r="AD45" s="109" t="s">
        <v>3583</v>
      </c>
      <c r="AE45" s="109">
        <v>700</v>
      </c>
      <c r="AF45" s="109">
        <v>80</v>
      </c>
      <c r="AG45" s="109"/>
      <c r="AH45" s="109">
        <v>24</v>
      </c>
      <c r="AI45" s="109"/>
      <c r="AJ45" s="109"/>
      <c r="AK45" s="109"/>
      <c r="AL45" s="109">
        <f>36+184</f>
        <v>220</v>
      </c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09"/>
      <c r="AX45" s="109"/>
      <c r="AY45" s="109"/>
      <c r="AZ45" s="109"/>
      <c r="BA45" s="109"/>
      <c r="BB45" s="109"/>
      <c r="BC45" s="109"/>
      <c r="BD45" s="109"/>
      <c r="BE45" s="109"/>
      <c r="BF45" s="109"/>
      <c r="BG45" s="109"/>
      <c r="BH45" s="109"/>
      <c r="BI45" s="109"/>
      <c r="BJ45" s="109"/>
      <c r="BK45" s="109"/>
      <c r="BL45" s="109"/>
      <c r="BM45" s="109"/>
      <c r="BN45" s="109"/>
      <c r="BO45" s="109"/>
      <c r="BP45" s="109"/>
      <c r="BQ45" s="109"/>
      <c r="BR45" s="109"/>
      <c r="BS45" s="109"/>
      <c r="BT45" s="109"/>
      <c r="BU45" s="109"/>
      <c r="BV45" s="109"/>
      <c r="BW45" s="92"/>
      <c r="BX45" s="92"/>
    </row>
    <row r="46" spans="1:76" s="50" customFormat="1" ht="15" hidden="1" customHeight="1">
      <c r="A46" s="142">
        <v>42</v>
      </c>
      <c r="B46" s="143" t="s">
        <v>94</v>
      </c>
      <c r="C46" s="144" t="s">
        <v>95</v>
      </c>
      <c r="D46" s="143" t="s">
        <v>21</v>
      </c>
      <c r="E46" s="109"/>
      <c r="F46" s="109"/>
      <c r="G46" s="110">
        <v>1647</v>
      </c>
      <c r="H46" s="3">
        <f t="shared" si="0"/>
        <v>150</v>
      </c>
      <c r="I46" s="3">
        <f t="shared" si="1"/>
        <v>798</v>
      </c>
      <c r="J46" s="110">
        <f t="shared" si="2"/>
        <v>999</v>
      </c>
      <c r="K46" s="110"/>
      <c r="L46" s="110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>
        <v>150</v>
      </c>
      <c r="X46" s="111">
        <v>120</v>
      </c>
      <c r="Y46" s="111"/>
      <c r="Z46" s="111"/>
      <c r="AA46" s="111"/>
      <c r="AB46" s="111">
        <v>168</v>
      </c>
      <c r="AC46" s="111"/>
      <c r="AD46" s="111"/>
      <c r="AE46" s="111"/>
      <c r="AF46" s="111">
        <v>100</v>
      </c>
      <c r="AG46" s="111"/>
      <c r="AH46" s="111"/>
      <c r="AI46" s="111"/>
      <c r="AJ46" s="111"/>
      <c r="AK46" s="111"/>
      <c r="AL46" s="111">
        <v>300</v>
      </c>
      <c r="AM46" s="111"/>
      <c r="AN46" s="111"/>
      <c r="AO46" s="111"/>
      <c r="AP46" s="111">
        <v>110</v>
      </c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1"/>
      <c r="BT46" s="111"/>
      <c r="BU46" s="111"/>
      <c r="BV46" s="111"/>
    </row>
    <row r="47" spans="1:76" s="50" customFormat="1" ht="15" hidden="1" customHeight="1">
      <c r="A47" s="142">
        <v>43</v>
      </c>
      <c r="B47" s="143" t="s">
        <v>96</v>
      </c>
      <c r="C47" s="144" t="s">
        <v>97</v>
      </c>
      <c r="D47" s="143" t="s">
        <v>21</v>
      </c>
      <c r="E47" s="109"/>
      <c r="F47" s="109"/>
      <c r="G47" s="110">
        <v>91</v>
      </c>
      <c r="H47" s="3">
        <f t="shared" si="0"/>
        <v>0</v>
      </c>
      <c r="I47" s="3">
        <f t="shared" si="1"/>
        <v>0</v>
      </c>
      <c r="J47" s="110">
        <f t="shared" si="2"/>
        <v>91</v>
      </c>
      <c r="K47" s="110"/>
      <c r="L47" s="110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  <c r="BN47" s="111"/>
      <c r="BO47" s="111"/>
      <c r="BP47" s="111"/>
      <c r="BQ47" s="111"/>
      <c r="BR47" s="111"/>
      <c r="BS47" s="111"/>
      <c r="BT47" s="111"/>
      <c r="BU47" s="111"/>
      <c r="BV47" s="111"/>
    </row>
    <row r="48" spans="1:76" s="50" customFormat="1" ht="15" hidden="1" customHeight="1">
      <c r="A48" s="142">
        <v>44</v>
      </c>
      <c r="B48" s="143" t="s">
        <v>98</v>
      </c>
      <c r="C48" s="144" t="s">
        <v>99</v>
      </c>
      <c r="D48" s="143" t="s">
        <v>21</v>
      </c>
      <c r="E48" s="109"/>
      <c r="F48" s="109"/>
      <c r="G48" s="110">
        <v>78</v>
      </c>
      <c r="H48" s="3">
        <f t="shared" si="0"/>
        <v>0</v>
      </c>
      <c r="I48" s="3">
        <f t="shared" si="1"/>
        <v>0</v>
      </c>
      <c r="J48" s="110">
        <f t="shared" si="2"/>
        <v>78</v>
      </c>
      <c r="K48" s="110"/>
      <c r="L48" s="110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3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  <c r="BP48" s="111"/>
      <c r="BQ48" s="111"/>
      <c r="BR48" s="111"/>
      <c r="BS48" s="111"/>
      <c r="BT48" s="111"/>
      <c r="BU48" s="111"/>
      <c r="BV48" s="111"/>
    </row>
    <row r="49" spans="1:74" s="50" customFormat="1" ht="15" customHeight="1">
      <c r="A49" s="142">
        <v>45</v>
      </c>
      <c r="B49" s="143" t="s">
        <v>100</v>
      </c>
      <c r="C49" s="144" t="s">
        <v>101</v>
      </c>
      <c r="D49" s="143" t="s">
        <v>21</v>
      </c>
      <c r="E49" s="109"/>
      <c r="F49" s="109"/>
      <c r="G49" s="110">
        <v>186</v>
      </c>
      <c r="H49" s="3">
        <f t="shared" si="0"/>
        <v>0</v>
      </c>
      <c r="I49" s="3">
        <f t="shared" si="1"/>
        <v>74</v>
      </c>
      <c r="J49" s="110">
        <f t="shared" si="2"/>
        <v>112</v>
      </c>
      <c r="K49" s="110"/>
      <c r="L49" s="110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>
        <v>18</v>
      </c>
      <c r="AC49" s="111"/>
      <c r="AD49" s="111">
        <f>12+18</f>
        <v>30</v>
      </c>
      <c r="AE49" s="111"/>
      <c r="AF49" s="111">
        <v>20</v>
      </c>
      <c r="AG49" s="111"/>
      <c r="AH49" s="111">
        <v>6</v>
      </c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1"/>
      <c r="BT49" s="111"/>
      <c r="BU49" s="111"/>
      <c r="BV49" s="111"/>
    </row>
    <row r="50" spans="1:74" s="92" customFormat="1" ht="15" customHeight="1">
      <c r="A50" s="142">
        <v>46</v>
      </c>
      <c r="B50" s="143" t="s">
        <v>102</v>
      </c>
      <c r="C50" s="144" t="s">
        <v>103</v>
      </c>
      <c r="D50" s="143" t="s">
        <v>21</v>
      </c>
      <c r="E50" s="109"/>
      <c r="F50" s="109"/>
      <c r="G50" s="108">
        <v>725</v>
      </c>
      <c r="H50" s="26">
        <f t="shared" si="0"/>
        <v>0</v>
      </c>
      <c r="I50" s="26">
        <f t="shared" si="1"/>
        <v>260</v>
      </c>
      <c r="J50" s="108">
        <f t="shared" si="2"/>
        <v>465</v>
      </c>
      <c r="K50" s="108"/>
      <c r="L50" s="108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>
        <v>50</v>
      </c>
      <c r="AA50" s="109"/>
      <c r="AB50" s="109">
        <v>30</v>
      </c>
      <c r="AC50" s="109"/>
      <c r="AD50" s="109">
        <f>20+18</f>
        <v>38</v>
      </c>
      <c r="AE50" s="109"/>
      <c r="AF50" s="109">
        <f>80+12</f>
        <v>92</v>
      </c>
      <c r="AG50" s="109"/>
      <c r="AH50" s="109"/>
      <c r="AI50" s="109"/>
      <c r="AJ50" s="109"/>
      <c r="AK50" s="109"/>
      <c r="AL50" s="109">
        <v>50</v>
      </c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21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09"/>
    </row>
    <row r="51" spans="1:74" s="50" customFormat="1" ht="15" customHeight="1">
      <c r="A51" s="142">
        <v>47</v>
      </c>
      <c r="B51" s="143" t="s">
        <v>104</v>
      </c>
      <c r="C51" s="144" t="s">
        <v>105</v>
      </c>
      <c r="D51" s="143" t="s">
        <v>21</v>
      </c>
      <c r="E51" s="109"/>
      <c r="F51" s="109"/>
      <c r="G51" s="110">
        <v>342</v>
      </c>
      <c r="H51" s="3">
        <f t="shared" si="0"/>
        <v>80</v>
      </c>
      <c r="I51" s="3">
        <f t="shared" si="1"/>
        <v>134</v>
      </c>
      <c r="J51" s="110">
        <f t="shared" si="2"/>
        <v>288</v>
      </c>
      <c r="K51" s="110"/>
      <c r="L51" s="110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>
        <v>80</v>
      </c>
      <c r="X51" s="111"/>
      <c r="Y51" s="111"/>
      <c r="Z51" s="111"/>
      <c r="AA51" s="111"/>
      <c r="AB51" s="111">
        <v>42</v>
      </c>
      <c r="AC51" s="111"/>
      <c r="AD51" s="111"/>
      <c r="AE51" s="111"/>
      <c r="AF51" s="111">
        <v>20</v>
      </c>
      <c r="AG51" s="111"/>
      <c r="AH51" s="111"/>
      <c r="AI51" s="111"/>
      <c r="AJ51" s="111"/>
      <c r="AK51" s="111"/>
      <c r="AL51" s="111">
        <v>50</v>
      </c>
      <c r="AM51" s="111"/>
      <c r="AN51" s="111"/>
      <c r="AO51" s="111"/>
      <c r="AP51" s="111">
        <v>22</v>
      </c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M51" s="111"/>
      <c r="BN51" s="111"/>
      <c r="BO51" s="111"/>
      <c r="BP51" s="111"/>
      <c r="BQ51" s="111"/>
      <c r="BR51" s="111"/>
      <c r="BS51" s="111"/>
      <c r="BT51" s="111"/>
      <c r="BU51" s="111"/>
      <c r="BV51" s="111"/>
    </row>
    <row r="52" spans="1:74" s="50" customFormat="1" ht="15" customHeight="1">
      <c r="A52" s="142">
        <v>48</v>
      </c>
      <c r="B52" s="143" t="s">
        <v>106</v>
      </c>
      <c r="C52" s="144" t="s">
        <v>107</v>
      </c>
      <c r="D52" s="143" t="s">
        <v>21</v>
      </c>
      <c r="E52" s="109"/>
      <c r="F52" s="109"/>
      <c r="G52" s="108">
        <v>33</v>
      </c>
      <c r="H52" s="26">
        <f t="shared" si="0"/>
        <v>0</v>
      </c>
      <c r="I52" s="26">
        <f t="shared" si="1"/>
        <v>0</v>
      </c>
      <c r="J52" s="108">
        <f t="shared" si="2"/>
        <v>33</v>
      </c>
      <c r="K52" s="108"/>
      <c r="L52" s="108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M52" s="111"/>
      <c r="BN52" s="111"/>
      <c r="BO52" s="111"/>
      <c r="BP52" s="111"/>
      <c r="BQ52" s="111"/>
      <c r="BR52" s="111"/>
      <c r="BS52" s="111"/>
      <c r="BT52" s="111"/>
      <c r="BU52" s="111"/>
      <c r="BV52" s="111"/>
    </row>
    <row r="53" spans="1:74" s="50" customFormat="1" ht="15" hidden="1" customHeight="1">
      <c r="A53" s="142">
        <v>49</v>
      </c>
      <c r="B53" s="250" t="s">
        <v>108</v>
      </c>
      <c r="C53" s="251" t="s">
        <v>109</v>
      </c>
      <c r="D53" s="143" t="s">
        <v>21</v>
      </c>
      <c r="E53" s="109"/>
      <c r="F53" s="109"/>
      <c r="G53" s="108">
        <v>378</v>
      </c>
      <c r="H53" s="26">
        <f t="shared" si="0"/>
        <v>0</v>
      </c>
      <c r="I53" s="26">
        <f t="shared" si="1"/>
        <v>156</v>
      </c>
      <c r="J53" s="108">
        <f t="shared" si="2"/>
        <v>222</v>
      </c>
      <c r="K53" s="108"/>
      <c r="L53" s="108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>
        <v>72</v>
      </c>
      <c r="AC53" s="111"/>
      <c r="AD53" s="111"/>
      <c r="AE53" s="111"/>
      <c r="AF53" s="111"/>
      <c r="AG53" s="111"/>
      <c r="AH53" s="111"/>
      <c r="AI53" s="111"/>
      <c r="AJ53" s="111"/>
      <c r="AK53" s="111"/>
      <c r="AL53" s="111">
        <v>84</v>
      </c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M53" s="111"/>
      <c r="BN53" s="111"/>
      <c r="BO53" s="111"/>
      <c r="BP53" s="111"/>
      <c r="BQ53" s="111"/>
      <c r="BR53" s="111"/>
      <c r="BS53" s="111"/>
      <c r="BT53" s="111"/>
      <c r="BU53" s="111"/>
      <c r="BV53" s="111"/>
    </row>
    <row r="54" spans="1:74" s="50" customFormat="1" ht="15" hidden="1" customHeight="1">
      <c r="A54" s="142">
        <v>50</v>
      </c>
      <c r="B54" s="143" t="s">
        <v>110</v>
      </c>
      <c r="C54" s="144" t="s">
        <v>111</v>
      </c>
      <c r="D54" s="143" t="s">
        <v>21</v>
      </c>
      <c r="E54" s="109"/>
      <c r="F54" s="109"/>
      <c r="G54" s="108">
        <v>409</v>
      </c>
      <c r="H54" s="26">
        <f t="shared" si="0"/>
        <v>0</v>
      </c>
      <c r="I54" s="26">
        <f t="shared" si="1"/>
        <v>0</v>
      </c>
      <c r="J54" s="108">
        <f t="shared" si="2"/>
        <v>409</v>
      </c>
      <c r="K54" s="108"/>
      <c r="L54" s="108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M54" s="111"/>
      <c r="BN54" s="111"/>
      <c r="BO54" s="111"/>
      <c r="BP54" s="111"/>
      <c r="BQ54" s="111"/>
      <c r="BR54" s="111"/>
      <c r="BS54" s="111"/>
      <c r="BT54" s="111"/>
      <c r="BU54" s="111"/>
      <c r="BV54" s="111"/>
    </row>
    <row r="55" spans="1:74" s="50" customFormat="1" ht="15" hidden="1" customHeight="1">
      <c r="A55" s="142">
        <v>51</v>
      </c>
      <c r="B55" s="143" t="s">
        <v>112</v>
      </c>
      <c r="C55" s="144" t="s">
        <v>113</v>
      </c>
      <c r="D55" s="143" t="s">
        <v>21</v>
      </c>
      <c r="E55" s="109"/>
      <c r="F55" s="109"/>
      <c r="G55" s="110">
        <v>18</v>
      </c>
      <c r="H55" s="3">
        <f t="shared" si="0"/>
        <v>0</v>
      </c>
      <c r="I55" s="3">
        <f t="shared" si="1"/>
        <v>0</v>
      </c>
      <c r="J55" s="110">
        <f t="shared" si="2"/>
        <v>18</v>
      </c>
      <c r="K55" s="110"/>
      <c r="L55" s="110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1"/>
      <c r="BL55" s="111"/>
      <c r="BM55" s="111"/>
      <c r="BN55" s="111"/>
      <c r="BO55" s="111"/>
      <c r="BP55" s="111"/>
      <c r="BQ55" s="111"/>
      <c r="BR55" s="111"/>
      <c r="BS55" s="111"/>
      <c r="BT55" s="111"/>
      <c r="BU55" s="111"/>
      <c r="BV55" s="111"/>
    </row>
    <row r="56" spans="1:74" s="50" customFormat="1" ht="15" hidden="1" customHeight="1">
      <c r="A56" s="142">
        <v>52</v>
      </c>
      <c r="B56" s="143" t="s">
        <v>114</v>
      </c>
      <c r="C56" s="144" t="s">
        <v>115</v>
      </c>
      <c r="D56" s="143" t="s">
        <v>21</v>
      </c>
      <c r="E56" s="109"/>
      <c r="F56" s="109"/>
      <c r="G56" s="110">
        <v>1472</v>
      </c>
      <c r="H56" s="3">
        <f t="shared" si="0"/>
        <v>0</v>
      </c>
      <c r="I56" s="3">
        <f t="shared" si="1"/>
        <v>260</v>
      </c>
      <c r="J56" s="110">
        <f t="shared" si="2"/>
        <v>1212</v>
      </c>
      <c r="K56" s="110"/>
      <c r="L56" s="110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>
        <v>50</v>
      </c>
      <c r="AA56" s="111"/>
      <c r="AB56" s="111">
        <v>30</v>
      </c>
      <c r="AC56" s="111"/>
      <c r="AD56" s="111"/>
      <c r="AE56" s="111"/>
      <c r="AF56" s="111">
        <f>60+20</f>
        <v>80</v>
      </c>
      <c r="AG56" s="111"/>
      <c r="AH56" s="111"/>
      <c r="AI56" s="111"/>
      <c r="AJ56" s="111"/>
      <c r="AK56" s="111"/>
      <c r="AL56" s="111">
        <f>50+50</f>
        <v>100</v>
      </c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111"/>
      <c r="BK56" s="111"/>
      <c r="BL56" s="111"/>
      <c r="BM56" s="111"/>
      <c r="BN56" s="111"/>
      <c r="BO56" s="111"/>
      <c r="BP56" s="111"/>
      <c r="BQ56" s="111"/>
      <c r="BR56" s="111"/>
      <c r="BS56" s="111"/>
      <c r="BT56" s="111"/>
      <c r="BU56" s="111"/>
      <c r="BV56" s="111"/>
    </row>
    <row r="57" spans="1:74" s="50" customFormat="1" ht="15" hidden="1" customHeight="1">
      <c r="A57" s="109">
        <v>53</v>
      </c>
      <c r="B57" s="109" t="s">
        <v>116</v>
      </c>
      <c r="C57" s="114" t="s">
        <v>117</v>
      </c>
      <c r="D57" s="26" t="s">
        <v>21</v>
      </c>
      <c r="E57" s="109"/>
      <c r="F57" s="109"/>
      <c r="G57" s="110">
        <v>31200</v>
      </c>
      <c r="H57" s="3">
        <f t="shared" si="0"/>
        <v>0</v>
      </c>
      <c r="I57" s="3">
        <f t="shared" si="1"/>
        <v>0</v>
      </c>
      <c r="J57" s="110">
        <f t="shared" si="2"/>
        <v>31200</v>
      </c>
      <c r="K57" s="110"/>
      <c r="L57" s="110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I57" s="111"/>
      <c r="BJ57" s="111"/>
      <c r="BK57" s="111"/>
      <c r="BL57" s="111"/>
      <c r="BM57" s="111"/>
      <c r="BN57" s="111"/>
      <c r="BO57" s="111"/>
      <c r="BP57" s="111"/>
      <c r="BQ57" s="111"/>
      <c r="BR57" s="111"/>
      <c r="BS57" s="111"/>
      <c r="BT57" s="111"/>
      <c r="BU57" s="111"/>
      <c r="BV57" s="111"/>
    </row>
    <row r="58" spans="1:74" s="50" customFormat="1" ht="15" hidden="1" customHeight="1">
      <c r="A58" s="109">
        <v>54</v>
      </c>
      <c r="B58" s="26" t="s">
        <v>118</v>
      </c>
      <c r="C58" s="27" t="s">
        <v>119</v>
      </c>
      <c r="D58" s="26" t="s">
        <v>21</v>
      </c>
      <c r="E58" s="109"/>
      <c r="F58" s="109"/>
      <c r="G58" s="110">
        <v>596</v>
      </c>
      <c r="H58" s="3">
        <f t="shared" si="0"/>
        <v>0</v>
      </c>
      <c r="I58" s="3">
        <f t="shared" si="1"/>
        <v>0</v>
      </c>
      <c r="J58" s="110">
        <f t="shared" si="2"/>
        <v>596</v>
      </c>
      <c r="K58" s="110"/>
      <c r="L58" s="110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1"/>
      <c r="BG58" s="111"/>
      <c r="BH58" s="111"/>
      <c r="BI58" s="111"/>
      <c r="BJ58" s="111"/>
      <c r="BK58" s="111"/>
      <c r="BL58" s="111"/>
      <c r="BM58" s="111"/>
      <c r="BN58" s="111"/>
      <c r="BO58" s="111"/>
      <c r="BP58" s="111"/>
      <c r="BQ58" s="111"/>
      <c r="BR58" s="111"/>
      <c r="BS58" s="111"/>
      <c r="BT58" s="111"/>
      <c r="BU58" s="111"/>
      <c r="BV58" s="111"/>
    </row>
    <row r="59" spans="1:74" s="50" customFormat="1" ht="15" hidden="1" customHeight="1">
      <c r="A59" s="109">
        <v>55</v>
      </c>
      <c r="B59" s="26" t="s">
        <v>120</v>
      </c>
      <c r="C59" s="27" t="s">
        <v>121</v>
      </c>
      <c r="D59" s="26" t="s">
        <v>21</v>
      </c>
      <c r="E59" s="109"/>
      <c r="F59" s="109"/>
      <c r="G59" s="110">
        <v>457</v>
      </c>
      <c r="H59" s="3">
        <f t="shared" si="0"/>
        <v>0</v>
      </c>
      <c r="I59" s="3">
        <f t="shared" si="1"/>
        <v>0</v>
      </c>
      <c r="J59" s="110">
        <f t="shared" si="2"/>
        <v>457</v>
      </c>
      <c r="K59" s="110"/>
      <c r="L59" s="110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I59" s="111"/>
      <c r="BJ59" s="111"/>
      <c r="BK59" s="111"/>
      <c r="BL59" s="111"/>
      <c r="BM59" s="111"/>
      <c r="BN59" s="111"/>
      <c r="BO59" s="111"/>
      <c r="BP59" s="111"/>
      <c r="BQ59" s="111"/>
      <c r="BR59" s="111"/>
      <c r="BS59" s="111"/>
      <c r="BT59" s="111"/>
      <c r="BU59" s="111"/>
      <c r="BV59" s="111"/>
    </row>
    <row r="60" spans="1:74" s="50" customFormat="1" ht="15" hidden="1" customHeight="1">
      <c r="A60" s="109">
        <v>56</v>
      </c>
      <c r="B60" s="26" t="s">
        <v>122</v>
      </c>
      <c r="C60" s="27" t="s">
        <v>123</v>
      </c>
      <c r="D60" s="26" t="s">
        <v>21</v>
      </c>
      <c r="E60" s="109"/>
      <c r="F60" s="109"/>
      <c r="G60" s="110">
        <v>250</v>
      </c>
      <c r="H60" s="3">
        <f t="shared" si="0"/>
        <v>0</v>
      </c>
      <c r="I60" s="3">
        <f t="shared" si="1"/>
        <v>0</v>
      </c>
      <c r="J60" s="110">
        <f t="shared" si="2"/>
        <v>250</v>
      </c>
      <c r="K60" s="110"/>
      <c r="L60" s="110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11"/>
      <c r="BK60" s="111"/>
      <c r="BL60" s="111"/>
      <c r="BM60" s="111"/>
      <c r="BN60" s="111"/>
      <c r="BO60" s="111"/>
      <c r="BP60" s="111"/>
      <c r="BQ60" s="111"/>
      <c r="BR60" s="111"/>
      <c r="BS60" s="111"/>
      <c r="BT60" s="111"/>
      <c r="BU60" s="111"/>
      <c r="BV60" s="111"/>
    </row>
    <row r="61" spans="1:74" s="50" customFormat="1" ht="15" hidden="1" customHeight="1">
      <c r="A61" s="109">
        <v>57</v>
      </c>
      <c r="B61" s="26" t="s">
        <v>124</v>
      </c>
      <c r="C61" s="27" t="s">
        <v>125</v>
      </c>
      <c r="D61" s="26" t="s">
        <v>21</v>
      </c>
      <c r="E61" s="109"/>
      <c r="F61" s="109"/>
      <c r="G61" s="110">
        <v>276</v>
      </c>
      <c r="H61" s="3">
        <f t="shared" si="0"/>
        <v>0</v>
      </c>
      <c r="I61" s="3">
        <f t="shared" si="1"/>
        <v>0</v>
      </c>
      <c r="J61" s="110">
        <f t="shared" si="2"/>
        <v>276</v>
      </c>
      <c r="K61" s="110"/>
      <c r="L61" s="110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111"/>
      <c r="BG61" s="111"/>
      <c r="BH61" s="111"/>
      <c r="BI61" s="111"/>
      <c r="BJ61" s="111"/>
      <c r="BK61" s="111"/>
      <c r="BL61" s="111"/>
      <c r="BM61" s="111"/>
      <c r="BN61" s="111"/>
      <c r="BO61" s="111"/>
      <c r="BP61" s="111"/>
      <c r="BQ61" s="111"/>
      <c r="BR61" s="111"/>
      <c r="BS61" s="111"/>
      <c r="BT61" s="111"/>
      <c r="BU61" s="111"/>
      <c r="BV61" s="111"/>
    </row>
    <row r="62" spans="1:74" s="50" customFormat="1" ht="15" hidden="1" customHeight="1">
      <c r="A62" s="109">
        <v>58</v>
      </c>
      <c r="B62" s="26" t="s">
        <v>126</v>
      </c>
      <c r="C62" s="27" t="s">
        <v>127</v>
      </c>
      <c r="D62" s="26" t="s">
        <v>21</v>
      </c>
      <c r="E62" s="109"/>
      <c r="F62" s="109"/>
      <c r="G62" s="110">
        <v>41</v>
      </c>
      <c r="H62" s="3">
        <f t="shared" si="0"/>
        <v>0</v>
      </c>
      <c r="I62" s="3">
        <f t="shared" si="1"/>
        <v>0</v>
      </c>
      <c r="J62" s="110">
        <f t="shared" si="2"/>
        <v>41</v>
      </c>
      <c r="K62" s="110"/>
      <c r="L62" s="110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/>
      <c r="BP62" s="111"/>
      <c r="BQ62" s="111"/>
      <c r="BR62" s="111"/>
      <c r="BS62" s="111"/>
      <c r="BT62" s="111"/>
      <c r="BU62" s="111"/>
      <c r="BV62" s="111"/>
    </row>
    <row r="63" spans="1:74" s="50" customFormat="1" ht="15" hidden="1" customHeight="1">
      <c r="A63" s="109">
        <v>59</v>
      </c>
      <c r="B63" s="26" t="s">
        <v>128</v>
      </c>
      <c r="C63" s="27" t="s">
        <v>129</v>
      </c>
      <c r="D63" s="26" t="s">
        <v>21</v>
      </c>
      <c r="E63" s="109"/>
      <c r="F63" s="109"/>
      <c r="G63" s="110">
        <v>596</v>
      </c>
      <c r="H63" s="3">
        <f t="shared" si="0"/>
        <v>0</v>
      </c>
      <c r="I63" s="3">
        <f t="shared" si="1"/>
        <v>0</v>
      </c>
      <c r="J63" s="110">
        <f t="shared" si="2"/>
        <v>596</v>
      </c>
      <c r="K63" s="110"/>
      <c r="L63" s="110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/>
      <c r="BP63" s="111"/>
      <c r="BQ63" s="111"/>
      <c r="BR63" s="111"/>
      <c r="BS63" s="111"/>
      <c r="BT63" s="111"/>
      <c r="BU63" s="111"/>
      <c r="BV63" s="111"/>
    </row>
    <row r="64" spans="1:74" s="50" customFormat="1" ht="15" hidden="1" customHeight="1">
      <c r="A64" s="109">
        <v>60</v>
      </c>
      <c r="B64" s="26" t="s">
        <v>130</v>
      </c>
      <c r="C64" s="27" t="s">
        <v>131</v>
      </c>
      <c r="D64" s="26" t="s">
        <v>21</v>
      </c>
      <c r="E64" s="109"/>
      <c r="F64" s="109"/>
      <c r="G64" s="110">
        <v>2756</v>
      </c>
      <c r="H64" s="3">
        <f t="shared" si="0"/>
        <v>0</v>
      </c>
      <c r="I64" s="3">
        <f t="shared" si="1"/>
        <v>0</v>
      </c>
      <c r="J64" s="110">
        <f t="shared" si="2"/>
        <v>2756</v>
      </c>
      <c r="K64" s="110"/>
      <c r="L64" s="110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  <c r="BJ64" s="111"/>
      <c r="BK64" s="111"/>
      <c r="BL64" s="111"/>
      <c r="BM64" s="111"/>
      <c r="BN64" s="111"/>
      <c r="BO64" s="111"/>
      <c r="BP64" s="111"/>
      <c r="BQ64" s="111"/>
      <c r="BR64" s="111"/>
      <c r="BS64" s="111"/>
      <c r="BT64" s="111"/>
      <c r="BU64" s="111"/>
      <c r="BV64" s="111"/>
    </row>
    <row r="65" spans="1:74" s="50" customFormat="1" ht="15" hidden="1" customHeight="1">
      <c r="A65" s="109">
        <v>61</v>
      </c>
      <c r="B65" s="26" t="s">
        <v>132</v>
      </c>
      <c r="C65" s="27" t="s">
        <v>133</v>
      </c>
      <c r="D65" s="26" t="s">
        <v>21</v>
      </c>
      <c r="E65" s="109"/>
      <c r="F65" s="109"/>
      <c r="G65" s="110">
        <v>288</v>
      </c>
      <c r="H65" s="3">
        <f t="shared" si="0"/>
        <v>0</v>
      </c>
      <c r="I65" s="3">
        <f t="shared" si="1"/>
        <v>0</v>
      </c>
      <c r="J65" s="110">
        <f t="shared" si="2"/>
        <v>288</v>
      </c>
      <c r="K65" s="110"/>
      <c r="L65" s="110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/>
      <c r="BP65" s="111"/>
      <c r="BQ65" s="111"/>
      <c r="BR65" s="111"/>
      <c r="BS65" s="111"/>
      <c r="BT65" s="111"/>
      <c r="BU65" s="111"/>
      <c r="BV65" s="111"/>
    </row>
    <row r="66" spans="1:74" s="50" customFormat="1" ht="15" hidden="1" customHeight="1">
      <c r="A66" s="142">
        <v>62</v>
      </c>
      <c r="B66" s="143" t="s">
        <v>134</v>
      </c>
      <c r="C66" s="144" t="s">
        <v>135</v>
      </c>
      <c r="D66" s="143" t="s">
        <v>21</v>
      </c>
      <c r="E66" s="109"/>
      <c r="F66" s="109"/>
      <c r="G66" s="110">
        <v>0</v>
      </c>
      <c r="H66" s="3">
        <f t="shared" si="0"/>
        <v>0</v>
      </c>
      <c r="I66" s="3">
        <f t="shared" si="1"/>
        <v>0</v>
      </c>
      <c r="J66" s="110">
        <f t="shared" si="2"/>
        <v>0</v>
      </c>
      <c r="K66" s="110"/>
      <c r="L66" s="110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  <c r="BJ66" s="111"/>
      <c r="BK66" s="111"/>
      <c r="BL66" s="111"/>
      <c r="BM66" s="111"/>
      <c r="BN66" s="111"/>
      <c r="BO66" s="111"/>
      <c r="BP66" s="111"/>
      <c r="BQ66" s="111"/>
      <c r="BR66" s="111"/>
      <c r="BS66" s="111"/>
      <c r="BT66" s="111"/>
      <c r="BU66" s="111"/>
      <c r="BV66" s="111"/>
    </row>
    <row r="67" spans="1:74" s="50" customFormat="1" ht="15" hidden="1" customHeight="1">
      <c r="A67" s="142">
        <v>63</v>
      </c>
      <c r="B67" s="143" t="s">
        <v>136</v>
      </c>
      <c r="C67" s="144" t="s">
        <v>137</v>
      </c>
      <c r="D67" s="143" t="s">
        <v>21</v>
      </c>
      <c r="E67" s="109"/>
      <c r="F67" s="109"/>
      <c r="G67" s="110">
        <v>0</v>
      </c>
      <c r="H67" s="3">
        <f t="shared" si="0"/>
        <v>0</v>
      </c>
      <c r="I67" s="3">
        <f t="shared" si="1"/>
        <v>0</v>
      </c>
      <c r="J67" s="110">
        <f t="shared" si="2"/>
        <v>0</v>
      </c>
      <c r="K67" s="110"/>
      <c r="L67" s="110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  <c r="BJ67" s="111"/>
      <c r="BK67" s="111"/>
      <c r="BL67" s="111"/>
      <c r="BM67" s="111"/>
      <c r="BN67" s="111"/>
      <c r="BO67" s="111"/>
      <c r="BP67" s="111"/>
      <c r="BQ67" s="111"/>
      <c r="BR67" s="111"/>
      <c r="BS67" s="111"/>
      <c r="BT67" s="111"/>
      <c r="BU67" s="111"/>
      <c r="BV67" s="111"/>
    </row>
    <row r="68" spans="1:74" s="50" customFormat="1" ht="15" hidden="1" customHeight="1">
      <c r="A68" s="142">
        <v>64</v>
      </c>
      <c r="B68" s="143" t="s">
        <v>138</v>
      </c>
      <c r="C68" s="144" t="s">
        <v>139</v>
      </c>
      <c r="D68" s="143" t="s">
        <v>21</v>
      </c>
      <c r="E68" s="109"/>
      <c r="F68" s="109"/>
      <c r="G68" s="110">
        <v>0</v>
      </c>
      <c r="H68" s="3">
        <f t="shared" si="0"/>
        <v>0</v>
      </c>
      <c r="I68" s="3">
        <f t="shared" si="1"/>
        <v>0</v>
      </c>
      <c r="J68" s="110">
        <f t="shared" si="2"/>
        <v>0</v>
      </c>
      <c r="K68" s="110"/>
      <c r="L68" s="110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1"/>
      <c r="BG68" s="111"/>
      <c r="BH68" s="111"/>
      <c r="BI68" s="111"/>
      <c r="BJ68" s="111"/>
      <c r="BK68" s="111"/>
      <c r="BL68" s="111"/>
      <c r="BM68" s="111"/>
      <c r="BN68" s="111"/>
      <c r="BO68" s="111"/>
      <c r="BP68" s="111"/>
      <c r="BQ68" s="111"/>
      <c r="BR68" s="111"/>
      <c r="BS68" s="111"/>
      <c r="BT68" s="111"/>
      <c r="BU68" s="111"/>
      <c r="BV68" s="111"/>
    </row>
    <row r="69" spans="1:74" s="50" customFormat="1" ht="15" hidden="1" customHeight="1">
      <c r="A69" s="142">
        <v>65</v>
      </c>
      <c r="B69" s="143" t="s">
        <v>140</v>
      </c>
      <c r="C69" s="144" t="s">
        <v>141</v>
      </c>
      <c r="D69" s="143" t="s">
        <v>21</v>
      </c>
      <c r="E69" s="109"/>
      <c r="F69" s="109"/>
      <c r="G69" s="110">
        <v>0</v>
      </c>
      <c r="H69" s="3">
        <f t="shared" ref="H69:H118" si="3">SUM(M69+O69+Q69+S69+U69+W69+Y69+AA69+AC69+AE69+AG69+AI69+AK69+AM69+AO69+AQ69+AS69+AU69+AW69+AY69+BA69+BC69+BE69+BG69+BI69+BK69+BM69+BO69+BQ69+BS69+BU69)</f>
        <v>0</v>
      </c>
      <c r="I69" s="3">
        <f t="shared" ref="I69:I118" si="4">SUM(N69+P69+R69+T69+V69+X69+Z69+AB69+AD69+AF69+AH69+AJ69+AL69+AN69+AP69+AR69+AT69+AV69+AX69+AZ69+BB69+BD69+BF69+BH69+BJ69+BL69+BN69+BP69+BR69+BT69+BV69)</f>
        <v>0</v>
      </c>
      <c r="J69" s="110">
        <f t="shared" ref="J69:J118" si="5">G69+H69-I69</f>
        <v>0</v>
      </c>
      <c r="K69" s="110"/>
      <c r="L69" s="110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1"/>
      <c r="BG69" s="111"/>
      <c r="BH69" s="111"/>
      <c r="BI69" s="111"/>
      <c r="BJ69" s="111"/>
      <c r="BK69" s="111"/>
      <c r="BL69" s="111"/>
      <c r="BM69" s="111"/>
      <c r="BN69" s="111"/>
      <c r="BO69" s="111"/>
      <c r="BP69" s="111"/>
      <c r="BQ69" s="111"/>
      <c r="BR69" s="111"/>
      <c r="BS69" s="111"/>
      <c r="BT69" s="111"/>
      <c r="BU69" s="111"/>
      <c r="BV69" s="111"/>
    </row>
    <row r="70" spans="1:74" s="50" customFormat="1" ht="15" hidden="1" customHeight="1">
      <c r="A70" s="142">
        <v>66</v>
      </c>
      <c r="B70" s="249" t="s">
        <v>142</v>
      </c>
      <c r="C70" s="144" t="s">
        <v>143</v>
      </c>
      <c r="D70" s="143" t="s">
        <v>21</v>
      </c>
      <c r="E70" s="109"/>
      <c r="F70" s="109"/>
      <c r="G70" s="110">
        <v>0</v>
      </c>
      <c r="H70" s="3">
        <f t="shared" si="3"/>
        <v>0</v>
      </c>
      <c r="I70" s="3">
        <f t="shared" si="4"/>
        <v>0</v>
      </c>
      <c r="J70" s="110">
        <f t="shared" si="5"/>
        <v>0</v>
      </c>
      <c r="K70" s="110"/>
      <c r="L70" s="110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1"/>
      <c r="BG70" s="111"/>
      <c r="BH70" s="111"/>
      <c r="BI70" s="111"/>
      <c r="BJ70" s="111"/>
      <c r="BK70" s="111"/>
      <c r="BL70" s="111"/>
      <c r="BM70" s="111"/>
      <c r="BN70" s="111"/>
      <c r="BO70" s="111"/>
      <c r="BP70" s="111"/>
      <c r="BQ70" s="111"/>
      <c r="BR70" s="111"/>
      <c r="BS70" s="111"/>
      <c r="BT70" s="111"/>
      <c r="BU70" s="111"/>
      <c r="BV70" s="111"/>
    </row>
    <row r="71" spans="1:74" s="50" customFormat="1" ht="15" hidden="1" customHeight="1">
      <c r="A71" s="142">
        <v>67</v>
      </c>
      <c r="B71" s="143" t="s">
        <v>144</v>
      </c>
      <c r="C71" s="144" t="s">
        <v>145</v>
      </c>
      <c r="D71" s="143" t="s">
        <v>21</v>
      </c>
      <c r="E71" s="109"/>
      <c r="F71" s="109"/>
      <c r="G71" s="110">
        <v>0</v>
      </c>
      <c r="H71" s="3">
        <f t="shared" si="3"/>
        <v>0</v>
      </c>
      <c r="I71" s="3">
        <f t="shared" si="4"/>
        <v>0</v>
      </c>
      <c r="J71" s="110">
        <f t="shared" si="5"/>
        <v>0</v>
      </c>
      <c r="K71" s="110"/>
      <c r="L71" s="110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  <c r="BJ71" s="111"/>
      <c r="BK71" s="111"/>
      <c r="BL71" s="111"/>
      <c r="BM71" s="111"/>
      <c r="BN71" s="111"/>
      <c r="BO71" s="111"/>
      <c r="BP71" s="111"/>
      <c r="BQ71" s="111"/>
      <c r="BR71" s="111"/>
      <c r="BS71" s="111"/>
      <c r="BT71" s="111"/>
      <c r="BU71" s="111"/>
      <c r="BV71" s="111"/>
    </row>
    <row r="72" spans="1:74" s="50" customFormat="1" ht="15" hidden="1" customHeight="1">
      <c r="A72" s="142">
        <v>68</v>
      </c>
      <c r="B72" s="143" t="s">
        <v>146</v>
      </c>
      <c r="C72" s="144" t="s">
        <v>147</v>
      </c>
      <c r="D72" s="143" t="s">
        <v>21</v>
      </c>
      <c r="E72" s="109"/>
      <c r="F72" s="109"/>
      <c r="G72" s="110">
        <v>0</v>
      </c>
      <c r="H72" s="3">
        <f t="shared" si="3"/>
        <v>0</v>
      </c>
      <c r="I72" s="3">
        <f t="shared" si="4"/>
        <v>0</v>
      </c>
      <c r="J72" s="110">
        <f t="shared" si="5"/>
        <v>0</v>
      </c>
      <c r="K72" s="110"/>
      <c r="L72" s="110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  <c r="BJ72" s="111"/>
      <c r="BK72" s="111"/>
      <c r="BL72" s="111"/>
      <c r="BM72" s="111"/>
      <c r="BN72" s="111"/>
      <c r="BO72" s="111"/>
      <c r="BP72" s="111"/>
      <c r="BQ72" s="111"/>
      <c r="BR72" s="111"/>
      <c r="BS72" s="111"/>
      <c r="BT72" s="111"/>
      <c r="BU72" s="111"/>
      <c r="BV72" s="111"/>
    </row>
    <row r="73" spans="1:74" s="50" customFormat="1" ht="15" hidden="1" customHeight="1">
      <c r="A73" s="142">
        <v>69</v>
      </c>
      <c r="B73" s="143" t="s">
        <v>148</v>
      </c>
      <c r="C73" s="144" t="s">
        <v>149</v>
      </c>
      <c r="D73" s="143" t="s">
        <v>21</v>
      </c>
      <c r="E73" s="109"/>
      <c r="F73" s="109"/>
      <c r="G73" s="110">
        <v>0</v>
      </c>
      <c r="H73" s="3">
        <f t="shared" si="3"/>
        <v>0</v>
      </c>
      <c r="I73" s="3">
        <f t="shared" si="4"/>
        <v>0</v>
      </c>
      <c r="J73" s="110">
        <f t="shared" si="5"/>
        <v>0</v>
      </c>
      <c r="K73" s="110"/>
      <c r="L73" s="110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  <c r="BJ73" s="111"/>
      <c r="BK73" s="111"/>
      <c r="BL73" s="111"/>
      <c r="BM73" s="111"/>
      <c r="BN73" s="111"/>
      <c r="BO73" s="111"/>
      <c r="BP73" s="111"/>
      <c r="BQ73" s="111"/>
      <c r="BR73" s="111"/>
      <c r="BS73" s="111"/>
      <c r="BT73" s="111"/>
      <c r="BU73" s="111"/>
      <c r="BV73" s="111"/>
    </row>
    <row r="74" spans="1:74" s="50" customFormat="1" ht="15" hidden="1" customHeight="1">
      <c r="A74" s="142">
        <v>70</v>
      </c>
      <c r="B74" s="143" t="s">
        <v>150</v>
      </c>
      <c r="C74" s="144" t="s">
        <v>151</v>
      </c>
      <c r="D74" s="143" t="s">
        <v>21</v>
      </c>
      <c r="E74" s="109"/>
      <c r="F74" s="109"/>
      <c r="G74" s="110">
        <v>0</v>
      </c>
      <c r="H74" s="3">
        <f t="shared" si="3"/>
        <v>0</v>
      </c>
      <c r="I74" s="3">
        <f t="shared" si="4"/>
        <v>0</v>
      </c>
      <c r="J74" s="110">
        <f t="shared" si="5"/>
        <v>0</v>
      </c>
      <c r="K74" s="110"/>
      <c r="L74" s="110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  <c r="BJ74" s="111"/>
      <c r="BK74" s="111"/>
      <c r="BL74" s="111"/>
      <c r="BM74" s="111"/>
      <c r="BN74" s="111"/>
      <c r="BO74" s="111"/>
      <c r="BP74" s="111"/>
      <c r="BQ74" s="111"/>
      <c r="BR74" s="111"/>
      <c r="BS74" s="111"/>
      <c r="BT74" s="111"/>
      <c r="BU74" s="111"/>
      <c r="BV74" s="111"/>
    </row>
    <row r="75" spans="1:74" s="50" customFormat="1" ht="15" hidden="1" customHeight="1">
      <c r="A75" s="142">
        <v>71</v>
      </c>
      <c r="B75" s="143" t="s">
        <v>152</v>
      </c>
      <c r="C75" s="144" t="s">
        <v>153</v>
      </c>
      <c r="D75" s="143" t="s">
        <v>21</v>
      </c>
      <c r="E75" s="109"/>
      <c r="F75" s="109"/>
      <c r="G75" s="110">
        <v>0</v>
      </c>
      <c r="H75" s="3">
        <f t="shared" si="3"/>
        <v>0</v>
      </c>
      <c r="I75" s="3">
        <f t="shared" si="4"/>
        <v>0</v>
      </c>
      <c r="J75" s="110">
        <f t="shared" si="5"/>
        <v>0</v>
      </c>
      <c r="K75" s="110"/>
      <c r="L75" s="110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  <c r="BJ75" s="111"/>
      <c r="BK75" s="111"/>
      <c r="BL75" s="111"/>
      <c r="BM75" s="111"/>
      <c r="BN75" s="111"/>
      <c r="BO75" s="111"/>
      <c r="BP75" s="111"/>
      <c r="BQ75" s="111"/>
      <c r="BR75" s="111"/>
      <c r="BS75" s="111"/>
      <c r="BT75" s="111"/>
      <c r="BU75" s="111"/>
      <c r="BV75" s="111"/>
    </row>
    <row r="76" spans="1:74" s="50" customFormat="1" ht="15" hidden="1" customHeight="1">
      <c r="A76" s="142">
        <v>72</v>
      </c>
      <c r="B76" s="143" t="s">
        <v>154</v>
      </c>
      <c r="C76" s="144" t="s">
        <v>155</v>
      </c>
      <c r="D76" s="143" t="s">
        <v>21</v>
      </c>
      <c r="E76" s="109"/>
      <c r="F76" s="109"/>
      <c r="G76" s="110">
        <v>0</v>
      </c>
      <c r="H76" s="3">
        <f t="shared" si="3"/>
        <v>0</v>
      </c>
      <c r="I76" s="3">
        <f t="shared" si="4"/>
        <v>0</v>
      </c>
      <c r="J76" s="110">
        <f t="shared" si="5"/>
        <v>0</v>
      </c>
      <c r="K76" s="110"/>
      <c r="L76" s="110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  <c r="BO76" s="111"/>
      <c r="BP76" s="111"/>
      <c r="BQ76" s="111"/>
      <c r="BR76" s="111"/>
      <c r="BS76" s="111"/>
      <c r="BT76" s="111"/>
      <c r="BU76" s="111"/>
      <c r="BV76" s="111"/>
    </row>
    <row r="77" spans="1:74" s="50" customFormat="1" ht="15" hidden="1" customHeight="1">
      <c r="A77" s="142">
        <v>73</v>
      </c>
      <c r="B77" s="143" t="s">
        <v>156</v>
      </c>
      <c r="C77" s="144" t="s">
        <v>157</v>
      </c>
      <c r="D77" s="143" t="s">
        <v>21</v>
      </c>
      <c r="E77" s="109"/>
      <c r="F77" s="109"/>
      <c r="G77" s="110">
        <v>0</v>
      </c>
      <c r="H77" s="3">
        <f t="shared" si="3"/>
        <v>0</v>
      </c>
      <c r="I77" s="3">
        <f t="shared" si="4"/>
        <v>0</v>
      </c>
      <c r="J77" s="110">
        <f t="shared" si="5"/>
        <v>0</v>
      </c>
      <c r="K77" s="110"/>
      <c r="L77" s="110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  <c r="BO77" s="111"/>
      <c r="BP77" s="111"/>
      <c r="BQ77" s="111"/>
      <c r="BR77" s="111"/>
      <c r="BS77" s="111"/>
      <c r="BT77" s="111"/>
      <c r="BU77" s="111"/>
      <c r="BV77" s="111"/>
    </row>
    <row r="78" spans="1:74" s="50" customFormat="1" ht="15" hidden="1" customHeight="1">
      <c r="A78" s="142">
        <v>74</v>
      </c>
      <c r="B78" s="143" t="s">
        <v>158</v>
      </c>
      <c r="C78" s="144" t="s">
        <v>159</v>
      </c>
      <c r="D78" s="143" t="s">
        <v>21</v>
      </c>
      <c r="E78" s="109"/>
      <c r="F78" s="109"/>
      <c r="G78" s="110">
        <v>0</v>
      </c>
      <c r="H78" s="3">
        <f t="shared" si="3"/>
        <v>0</v>
      </c>
      <c r="I78" s="3">
        <f t="shared" si="4"/>
        <v>0</v>
      </c>
      <c r="J78" s="110">
        <f t="shared" si="5"/>
        <v>0</v>
      </c>
      <c r="K78" s="110"/>
      <c r="L78" s="110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11"/>
      <c r="BV78" s="111"/>
    </row>
    <row r="79" spans="1:74" s="50" customFormat="1" ht="15" hidden="1" customHeight="1">
      <c r="A79" s="142">
        <v>75</v>
      </c>
      <c r="B79" s="143" t="s">
        <v>160</v>
      </c>
      <c r="C79" s="144" t="s">
        <v>161</v>
      </c>
      <c r="D79" s="143" t="s">
        <v>21</v>
      </c>
      <c r="E79" s="109"/>
      <c r="F79" s="109"/>
      <c r="G79" s="110">
        <v>0</v>
      </c>
      <c r="H79" s="3">
        <f t="shared" si="3"/>
        <v>0</v>
      </c>
      <c r="I79" s="3">
        <f t="shared" si="4"/>
        <v>0</v>
      </c>
      <c r="J79" s="110">
        <f t="shared" si="5"/>
        <v>0</v>
      </c>
      <c r="K79" s="110"/>
      <c r="L79" s="110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  <c r="BJ79" s="111"/>
      <c r="BK79" s="111"/>
      <c r="BL79" s="111"/>
      <c r="BM79" s="111"/>
      <c r="BN79" s="111"/>
      <c r="BO79" s="111"/>
      <c r="BP79" s="111"/>
      <c r="BQ79" s="111"/>
      <c r="BR79" s="111"/>
      <c r="BS79" s="111"/>
      <c r="BT79" s="111"/>
      <c r="BU79" s="111"/>
      <c r="BV79" s="111"/>
    </row>
    <row r="80" spans="1:74" s="50" customFormat="1" ht="15" hidden="1" customHeight="1">
      <c r="A80" s="142">
        <v>76</v>
      </c>
      <c r="B80" s="143" t="s">
        <v>162</v>
      </c>
      <c r="C80" s="144" t="s">
        <v>163</v>
      </c>
      <c r="D80" s="143" t="s">
        <v>21</v>
      </c>
      <c r="E80" s="109"/>
      <c r="F80" s="109"/>
      <c r="G80" s="110">
        <v>0</v>
      </c>
      <c r="H80" s="3">
        <f t="shared" si="3"/>
        <v>0</v>
      </c>
      <c r="I80" s="3">
        <f t="shared" si="4"/>
        <v>0</v>
      </c>
      <c r="J80" s="110">
        <f t="shared" si="5"/>
        <v>0</v>
      </c>
      <c r="K80" s="110"/>
      <c r="L80" s="110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  <c r="BJ80" s="111"/>
      <c r="BK80" s="111"/>
      <c r="BL80" s="111"/>
      <c r="BM80" s="111"/>
      <c r="BN80" s="111"/>
      <c r="BO80" s="111"/>
      <c r="BP80" s="111"/>
      <c r="BQ80" s="111"/>
      <c r="BR80" s="111"/>
      <c r="BS80" s="111"/>
      <c r="BT80" s="111"/>
      <c r="BU80" s="111"/>
      <c r="BV80" s="111"/>
    </row>
    <row r="81" spans="1:74" s="50" customFormat="1" ht="15" hidden="1" customHeight="1">
      <c r="A81" s="142">
        <v>77</v>
      </c>
      <c r="B81" s="143" t="s">
        <v>164</v>
      </c>
      <c r="C81" s="144" t="s">
        <v>165</v>
      </c>
      <c r="D81" s="143" t="s">
        <v>21</v>
      </c>
      <c r="E81" s="109"/>
      <c r="F81" s="109"/>
      <c r="G81" s="110">
        <v>0</v>
      </c>
      <c r="H81" s="3">
        <f t="shared" si="3"/>
        <v>0</v>
      </c>
      <c r="I81" s="3">
        <f t="shared" si="4"/>
        <v>0</v>
      </c>
      <c r="J81" s="110">
        <f t="shared" si="5"/>
        <v>0</v>
      </c>
      <c r="K81" s="110"/>
      <c r="L81" s="110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  <c r="BJ81" s="111"/>
      <c r="BK81" s="111"/>
      <c r="BL81" s="111"/>
      <c r="BM81" s="111"/>
      <c r="BN81" s="111"/>
      <c r="BO81" s="111"/>
      <c r="BP81" s="111"/>
      <c r="BQ81" s="111"/>
      <c r="BR81" s="111"/>
      <c r="BS81" s="111"/>
      <c r="BT81" s="111"/>
      <c r="BU81" s="111"/>
      <c r="BV81" s="111"/>
    </row>
    <row r="82" spans="1:74" s="50" customFormat="1" ht="15" hidden="1" customHeight="1">
      <c r="A82" s="142">
        <v>78</v>
      </c>
      <c r="B82" s="143" t="s">
        <v>166</v>
      </c>
      <c r="C82" s="144" t="s">
        <v>167</v>
      </c>
      <c r="D82" s="143" t="s">
        <v>21</v>
      </c>
      <c r="E82" s="109"/>
      <c r="F82" s="109"/>
      <c r="G82" s="110">
        <v>0</v>
      </c>
      <c r="H82" s="3">
        <f t="shared" si="3"/>
        <v>0</v>
      </c>
      <c r="I82" s="3">
        <f t="shared" si="4"/>
        <v>0</v>
      </c>
      <c r="J82" s="110">
        <f t="shared" si="5"/>
        <v>0</v>
      </c>
      <c r="K82" s="110"/>
      <c r="L82" s="110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1"/>
      <c r="BJ82" s="111"/>
      <c r="BK82" s="111"/>
      <c r="BL82" s="111"/>
      <c r="BM82" s="111"/>
      <c r="BN82" s="111"/>
      <c r="BO82" s="111"/>
      <c r="BP82" s="111"/>
      <c r="BQ82" s="111"/>
      <c r="BR82" s="111"/>
      <c r="BS82" s="111"/>
      <c r="BT82" s="111"/>
      <c r="BU82" s="111"/>
      <c r="BV82" s="111"/>
    </row>
    <row r="83" spans="1:74" s="50" customFormat="1" ht="15" hidden="1" customHeight="1">
      <c r="A83" s="142">
        <v>79</v>
      </c>
      <c r="B83" s="143" t="s">
        <v>168</v>
      </c>
      <c r="C83" s="144" t="s">
        <v>169</v>
      </c>
      <c r="D83" s="143" t="s">
        <v>21</v>
      </c>
      <c r="E83" s="109"/>
      <c r="F83" s="109"/>
      <c r="G83" s="110">
        <v>0</v>
      </c>
      <c r="H83" s="3">
        <f t="shared" si="3"/>
        <v>0</v>
      </c>
      <c r="I83" s="3">
        <f t="shared" si="4"/>
        <v>0</v>
      </c>
      <c r="J83" s="110">
        <f t="shared" si="5"/>
        <v>0</v>
      </c>
      <c r="K83" s="110"/>
      <c r="L83" s="110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1"/>
      <c r="BG83" s="111"/>
      <c r="BH83" s="111"/>
      <c r="BI83" s="111"/>
      <c r="BJ83" s="111"/>
      <c r="BK83" s="111"/>
      <c r="BL83" s="111"/>
      <c r="BM83" s="111"/>
      <c r="BN83" s="111"/>
      <c r="BO83" s="111"/>
      <c r="BP83" s="111"/>
      <c r="BQ83" s="111"/>
      <c r="BR83" s="111"/>
      <c r="BS83" s="111"/>
      <c r="BT83" s="111"/>
      <c r="BU83" s="111"/>
      <c r="BV83" s="111"/>
    </row>
    <row r="84" spans="1:74" s="50" customFormat="1" ht="15" hidden="1" customHeight="1">
      <c r="A84" s="142">
        <v>80</v>
      </c>
      <c r="B84" s="143" t="s">
        <v>170</v>
      </c>
      <c r="C84" s="144" t="s">
        <v>171</v>
      </c>
      <c r="D84" s="143" t="s">
        <v>21</v>
      </c>
      <c r="E84" s="109"/>
      <c r="F84" s="109"/>
      <c r="G84" s="110">
        <v>0</v>
      </c>
      <c r="H84" s="3">
        <f t="shared" si="3"/>
        <v>0</v>
      </c>
      <c r="I84" s="3">
        <f t="shared" si="4"/>
        <v>0</v>
      </c>
      <c r="J84" s="110">
        <f t="shared" si="5"/>
        <v>0</v>
      </c>
      <c r="K84" s="110"/>
      <c r="L84" s="110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  <c r="BG84" s="111"/>
      <c r="BH84" s="111"/>
      <c r="BI84" s="111"/>
      <c r="BJ84" s="111"/>
      <c r="BK84" s="111"/>
      <c r="BL84" s="111"/>
      <c r="BM84" s="111"/>
      <c r="BN84" s="111"/>
      <c r="BO84" s="111"/>
      <c r="BP84" s="111"/>
      <c r="BQ84" s="111"/>
      <c r="BR84" s="111"/>
      <c r="BS84" s="111"/>
      <c r="BT84" s="111"/>
      <c r="BU84" s="111"/>
      <c r="BV84" s="111"/>
    </row>
    <row r="85" spans="1:74" s="50" customFormat="1" ht="15" hidden="1" customHeight="1">
      <c r="A85" s="142">
        <v>81</v>
      </c>
      <c r="B85" s="143" t="s">
        <v>172</v>
      </c>
      <c r="C85" s="144" t="s">
        <v>173</v>
      </c>
      <c r="D85" s="143" t="s">
        <v>21</v>
      </c>
      <c r="E85" s="109"/>
      <c r="F85" s="109"/>
      <c r="G85" s="110">
        <v>0</v>
      </c>
      <c r="H85" s="3">
        <f t="shared" si="3"/>
        <v>0</v>
      </c>
      <c r="I85" s="3">
        <f t="shared" si="4"/>
        <v>0</v>
      </c>
      <c r="J85" s="110">
        <f t="shared" si="5"/>
        <v>0</v>
      </c>
      <c r="K85" s="110"/>
      <c r="L85" s="110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11"/>
      <c r="BI85" s="111"/>
      <c r="BJ85" s="111"/>
      <c r="BK85" s="111"/>
      <c r="BL85" s="111"/>
      <c r="BM85" s="111"/>
      <c r="BN85" s="111"/>
      <c r="BO85" s="111"/>
      <c r="BP85" s="111"/>
      <c r="BQ85" s="111"/>
      <c r="BR85" s="111"/>
      <c r="BS85" s="111"/>
      <c r="BT85" s="111"/>
      <c r="BU85" s="111"/>
      <c r="BV85" s="111"/>
    </row>
    <row r="86" spans="1:74" s="50" customFormat="1" ht="15" hidden="1" customHeight="1">
      <c r="A86" s="109">
        <v>82</v>
      </c>
      <c r="B86" s="26" t="s">
        <v>174</v>
      </c>
      <c r="C86" s="27" t="s">
        <v>175</v>
      </c>
      <c r="D86" s="26" t="s">
        <v>14</v>
      </c>
      <c r="E86" s="109"/>
      <c r="F86" s="109"/>
      <c r="G86" s="110">
        <v>144</v>
      </c>
      <c r="H86" s="3">
        <f t="shared" si="3"/>
        <v>0</v>
      </c>
      <c r="I86" s="3">
        <f t="shared" si="4"/>
        <v>0</v>
      </c>
      <c r="J86" s="110">
        <f t="shared" si="5"/>
        <v>144</v>
      </c>
      <c r="K86" s="110"/>
      <c r="L86" s="110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1"/>
      <c r="BG86" s="111"/>
      <c r="BH86" s="111"/>
      <c r="BI86" s="111"/>
      <c r="BJ86" s="111"/>
      <c r="BK86" s="111"/>
      <c r="BL86" s="111"/>
      <c r="BM86" s="111"/>
      <c r="BN86" s="111"/>
      <c r="BO86" s="111"/>
      <c r="BP86" s="111"/>
      <c r="BQ86" s="111"/>
      <c r="BR86" s="111"/>
      <c r="BS86" s="111"/>
      <c r="BT86" s="111"/>
      <c r="BU86" s="111"/>
      <c r="BV86" s="111"/>
    </row>
    <row r="87" spans="1:74" s="50" customFormat="1" ht="15" hidden="1" customHeight="1">
      <c r="A87" s="142">
        <v>83</v>
      </c>
      <c r="B87" s="143" t="s">
        <v>176</v>
      </c>
      <c r="C87" s="144" t="s">
        <v>177</v>
      </c>
      <c r="D87" s="143" t="s">
        <v>21</v>
      </c>
      <c r="E87" s="109"/>
      <c r="F87" s="109"/>
      <c r="G87" s="110">
        <v>0</v>
      </c>
      <c r="H87" s="3">
        <f t="shared" si="3"/>
        <v>0</v>
      </c>
      <c r="I87" s="3">
        <f t="shared" si="4"/>
        <v>0</v>
      </c>
      <c r="J87" s="110">
        <f t="shared" si="5"/>
        <v>0</v>
      </c>
      <c r="K87" s="110"/>
      <c r="L87" s="110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3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1"/>
      <c r="BG87" s="111"/>
      <c r="BH87" s="111"/>
      <c r="BI87" s="111"/>
      <c r="BJ87" s="111"/>
      <c r="BK87" s="111"/>
      <c r="BL87" s="111"/>
      <c r="BM87" s="111"/>
      <c r="BN87" s="111"/>
      <c r="BO87" s="111"/>
      <c r="BP87" s="111"/>
      <c r="BQ87" s="111"/>
      <c r="BR87" s="111"/>
      <c r="BS87" s="111"/>
      <c r="BT87" s="111"/>
      <c r="BU87" s="111"/>
      <c r="BV87" s="111"/>
    </row>
    <row r="88" spans="1:74" s="92" customFormat="1" ht="15" hidden="1" customHeight="1">
      <c r="A88" s="109">
        <v>84</v>
      </c>
      <c r="B88" s="26" t="s">
        <v>178</v>
      </c>
      <c r="C88" s="27" t="s">
        <v>179</v>
      </c>
      <c r="D88" s="26" t="s">
        <v>21</v>
      </c>
      <c r="E88" s="109"/>
      <c r="F88" s="109"/>
      <c r="G88" s="108">
        <v>292</v>
      </c>
      <c r="H88" s="26">
        <f t="shared" si="3"/>
        <v>0</v>
      </c>
      <c r="I88" s="26">
        <f t="shared" si="4"/>
        <v>12</v>
      </c>
      <c r="J88" s="108">
        <f t="shared" si="5"/>
        <v>280</v>
      </c>
      <c r="K88" s="108"/>
      <c r="L88" s="108"/>
      <c r="M88" s="109"/>
      <c r="N88" s="109">
        <v>12</v>
      </c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109"/>
      <c r="AX88" s="109"/>
      <c r="AY88" s="109"/>
      <c r="AZ88" s="109"/>
      <c r="BA88" s="109"/>
      <c r="BB88" s="109"/>
      <c r="BC88" s="109"/>
      <c r="BD88" s="109"/>
      <c r="BE88" s="109"/>
      <c r="BF88" s="109"/>
      <c r="BG88" s="109"/>
      <c r="BH88" s="109"/>
      <c r="BI88" s="109"/>
      <c r="BJ88" s="109"/>
      <c r="BK88" s="109"/>
      <c r="BL88" s="109"/>
      <c r="BM88" s="109"/>
      <c r="BN88" s="109"/>
      <c r="BO88" s="109"/>
      <c r="BP88" s="109"/>
      <c r="BQ88" s="109"/>
      <c r="BR88" s="109"/>
      <c r="BS88" s="109"/>
      <c r="BT88" s="109"/>
      <c r="BU88" s="109"/>
      <c r="BV88" s="109"/>
    </row>
    <row r="89" spans="1:74" s="50" customFormat="1" ht="15" hidden="1" customHeight="1">
      <c r="A89" s="142">
        <v>85</v>
      </c>
      <c r="B89" s="249" t="s">
        <v>180</v>
      </c>
      <c r="C89" s="144" t="s">
        <v>181</v>
      </c>
      <c r="D89" s="143" t="s">
        <v>21</v>
      </c>
      <c r="E89" s="109"/>
      <c r="F89" s="109"/>
      <c r="G89" s="110">
        <v>847</v>
      </c>
      <c r="H89" s="3">
        <f t="shared" si="3"/>
        <v>1178</v>
      </c>
      <c r="I89" s="3">
        <f t="shared" si="4"/>
        <v>810</v>
      </c>
      <c r="J89" s="110">
        <f t="shared" si="5"/>
        <v>1215</v>
      </c>
      <c r="K89" s="110"/>
      <c r="L89" s="110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>
        <v>278</v>
      </c>
      <c r="X89" s="111"/>
      <c r="Y89" s="111"/>
      <c r="Z89" s="111">
        <f>108+36</f>
        <v>144</v>
      </c>
      <c r="AA89" s="111"/>
      <c r="AB89" s="111"/>
      <c r="AC89" s="111"/>
      <c r="AD89" s="111">
        <f>72+108</f>
        <v>180</v>
      </c>
      <c r="AE89" s="111">
        <v>900</v>
      </c>
      <c r="AF89" s="111">
        <v>120</v>
      </c>
      <c r="AG89" s="111"/>
      <c r="AH89" s="111">
        <v>36</v>
      </c>
      <c r="AI89" s="111"/>
      <c r="AJ89" s="111"/>
      <c r="AK89" s="111"/>
      <c r="AL89" s="111">
        <v>54</v>
      </c>
      <c r="AM89" s="111"/>
      <c r="AN89" s="111">
        <v>276</v>
      </c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1"/>
      <c r="BJ89" s="111"/>
      <c r="BK89" s="111"/>
      <c r="BL89" s="111"/>
      <c r="BM89" s="111"/>
      <c r="BN89" s="111"/>
      <c r="BO89" s="111"/>
      <c r="BP89" s="111"/>
      <c r="BQ89" s="111"/>
      <c r="BR89" s="111"/>
      <c r="BS89" s="111"/>
      <c r="BT89" s="111"/>
      <c r="BU89" s="111"/>
      <c r="BV89" s="111"/>
    </row>
    <row r="90" spans="1:74" s="92" customFormat="1" ht="15" hidden="1" customHeight="1">
      <c r="A90" s="142">
        <v>86</v>
      </c>
      <c r="B90" s="143" t="s">
        <v>182</v>
      </c>
      <c r="C90" s="144" t="s">
        <v>183</v>
      </c>
      <c r="D90" s="143" t="s">
        <v>21</v>
      </c>
      <c r="E90" s="111"/>
      <c r="F90" s="111"/>
      <c r="G90" s="108">
        <v>0</v>
      </c>
      <c r="H90" s="26">
        <f t="shared" si="3"/>
        <v>175</v>
      </c>
      <c r="I90" s="26">
        <f t="shared" si="4"/>
        <v>0</v>
      </c>
      <c r="J90" s="108">
        <f t="shared" si="5"/>
        <v>175</v>
      </c>
      <c r="K90" s="108"/>
      <c r="L90" s="108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>
        <v>175</v>
      </c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109"/>
      <c r="BA90" s="109"/>
      <c r="BB90" s="109"/>
      <c r="BC90" s="109"/>
      <c r="BD90" s="109"/>
      <c r="BE90" s="109"/>
      <c r="BF90" s="109"/>
      <c r="BG90" s="109"/>
      <c r="BH90" s="109"/>
      <c r="BI90" s="109"/>
      <c r="BJ90" s="109"/>
      <c r="BK90" s="109"/>
      <c r="BL90" s="109"/>
      <c r="BM90" s="109"/>
      <c r="BN90" s="109"/>
      <c r="BO90" s="109"/>
      <c r="BP90" s="109"/>
      <c r="BQ90" s="109"/>
      <c r="BR90" s="109"/>
      <c r="BS90" s="109"/>
      <c r="BT90" s="109"/>
      <c r="BU90" s="109"/>
      <c r="BV90" s="109"/>
    </row>
    <row r="91" spans="1:74" s="50" customFormat="1" ht="15" hidden="1" customHeight="1">
      <c r="A91" s="142">
        <v>87</v>
      </c>
      <c r="B91" s="143" t="s">
        <v>184</v>
      </c>
      <c r="C91" s="144" t="s">
        <v>185</v>
      </c>
      <c r="D91" s="143" t="s">
        <v>21</v>
      </c>
      <c r="E91" s="109"/>
      <c r="F91" s="109"/>
      <c r="G91" s="110">
        <v>5633</v>
      </c>
      <c r="H91" s="3">
        <f t="shared" si="3"/>
        <v>0</v>
      </c>
      <c r="I91" s="3">
        <f t="shared" si="4"/>
        <v>1620</v>
      </c>
      <c r="J91" s="110">
        <f t="shared" si="5"/>
        <v>4013</v>
      </c>
      <c r="K91" s="110"/>
      <c r="L91" s="110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>
        <v>300</v>
      </c>
      <c r="AA91" s="111"/>
      <c r="AB91" s="111">
        <v>180</v>
      </c>
      <c r="AC91" s="111"/>
      <c r="AD91" s="111">
        <f>120+108</f>
        <v>228</v>
      </c>
      <c r="AE91" s="111"/>
      <c r="AF91" s="111">
        <f>540+72</f>
        <v>612</v>
      </c>
      <c r="AG91" s="111"/>
      <c r="AH91" s="111"/>
      <c r="AI91" s="111"/>
      <c r="AJ91" s="111"/>
      <c r="AK91" s="111"/>
      <c r="AL91" s="111">
        <v>300</v>
      </c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  <c r="BG91" s="111"/>
      <c r="BH91" s="111"/>
      <c r="BI91" s="111"/>
      <c r="BJ91" s="111"/>
      <c r="BK91" s="111"/>
      <c r="BL91" s="111"/>
      <c r="BM91" s="111"/>
      <c r="BN91" s="111"/>
      <c r="BO91" s="111"/>
      <c r="BP91" s="111"/>
      <c r="BQ91" s="111"/>
      <c r="BR91" s="111"/>
      <c r="BS91" s="111"/>
      <c r="BT91" s="111"/>
      <c r="BU91" s="111"/>
      <c r="BV91" s="111"/>
    </row>
    <row r="92" spans="1:74" s="92" customFormat="1" ht="15" hidden="1" customHeight="1">
      <c r="A92" s="142">
        <v>88</v>
      </c>
      <c r="B92" s="143" t="s">
        <v>186</v>
      </c>
      <c r="C92" s="144" t="s">
        <v>187</v>
      </c>
      <c r="D92" s="143" t="s">
        <v>21</v>
      </c>
      <c r="E92" s="109"/>
      <c r="F92" s="109"/>
      <c r="G92" s="108">
        <v>285</v>
      </c>
      <c r="H92" s="26">
        <f t="shared" si="3"/>
        <v>0</v>
      </c>
      <c r="I92" s="26">
        <f t="shared" si="4"/>
        <v>0</v>
      </c>
      <c r="J92" s="108">
        <f t="shared" si="5"/>
        <v>285</v>
      </c>
      <c r="K92" s="108"/>
      <c r="L92" s="108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  <c r="BB92" s="109"/>
      <c r="BC92" s="109"/>
      <c r="BD92" s="109"/>
      <c r="BE92" s="109"/>
      <c r="BF92" s="109"/>
      <c r="BG92" s="109"/>
      <c r="BH92" s="109"/>
      <c r="BI92" s="109"/>
      <c r="BJ92" s="109"/>
      <c r="BK92" s="109"/>
      <c r="BL92" s="109"/>
      <c r="BM92" s="109"/>
      <c r="BN92" s="109"/>
      <c r="BO92" s="109"/>
      <c r="BP92" s="109"/>
      <c r="BQ92" s="109"/>
      <c r="BR92" s="109"/>
      <c r="BS92" s="109"/>
      <c r="BT92" s="109"/>
      <c r="BU92" s="109"/>
      <c r="BV92" s="109"/>
    </row>
    <row r="93" spans="1:74" s="92" customFormat="1" ht="15" hidden="1" customHeight="1">
      <c r="A93" s="142">
        <v>89</v>
      </c>
      <c r="B93" s="143" t="s">
        <v>188</v>
      </c>
      <c r="C93" s="144" t="s">
        <v>189</v>
      </c>
      <c r="D93" s="143" t="s">
        <v>21</v>
      </c>
      <c r="E93" s="109"/>
      <c r="F93" s="109"/>
      <c r="G93" s="108">
        <v>5648</v>
      </c>
      <c r="H93" s="26">
        <f t="shared" si="3"/>
        <v>0</v>
      </c>
      <c r="I93" s="26">
        <f t="shared" si="4"/>
        <v>1620</v>
      </c>
      <c r="J93" s="108">
        <f t="shared" si="5"/>
        <v>4028</v>
      </c>
      <c r="K93" s="108"/>
      <c r="L93" s="108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>
        <v>300</v>
      </c>
      <c r="AA93" s="109"/>
      <c r="AB93" s="109">
        <v>180</v>
      </c>
      <c r="AC93" s="109"/>
      <c r="AD93" s="109">
        <f>120+108</f>
        <v>228</v>
      </c>
      <c r="AE93" s="109"/>
      <c r="AF93" s="109">
        <f>540+72</f>
        <v>612</v>
      </c>
      <c r="AG93" s="109"/>
      <c r="AH93" s="109"/>
      <c r="AI93" s="109"/>
      <c r="AJ93" s="109"/>
      <c r="AK93" s="109"/>
      <c r="AL93" s="109">
        <v>300</v>
      </c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  <c r="AX93" s="109"/>
      <c r="AY93" s="109"/>
      <c r="AZ93" s="109"/>
      <c r="BA93" s="109"/>
      <c r="BB93" s="109"/>
      <c r="BC93" s="109"/>
      <c r="BD93" s="109"/>
      <c r="BE93" s="109"/>
      <c r="BF93" s="109"/>
      <c r="BG93" s="109"/>
      <c r="BH93" s="109"/>
      <c r="BI93" s="109"/>
      <c r="BJ93" s="109"/>
      <c r="BK93" s="109"/>
      <c r="BL93" s="109"/>
      <c r="BM93" s="109"/>
      <c r="BN93" s="109"/>
      <c r="BO93" s="109"/>
      <c r="BP93" s="109"/>
      <c r="BQ93" s="109"/>
      <c r="BR93" s="109"/>
      <c r="BS93" s="109"/>
      <c r="BT93" s="109"/>
      <c r="BU93" s="109"/>
      <c r="BV93" s="109"/>
    </row>
    <row r="94" spans="1:74" s="50" customFormat="1" ht="15" hidden="1" customHeight="1">
      <c r="A94" s="142">
        <v>90</v>
      </c>
      <c r="B94" s="143" t="s">
        <v>190</v>
      </c>
      <c r="C94" s="144" t="s">
        <v>191</v>
      </c>
      <c r="D94" s="143" t="s">
        <v>21</v>
      </c>
      <c r="E94" s="109"/>
      <c r="F94" s="109"/>
      <c r="G94" s="110">
        <v>1149</v>
      </c>
      <c r="H94" s="3">
        <f t="shared" si="3"/>
        <v>0</v>
      </c>
      <c r="I94" s="3">
        <f t="shared" si="4"/>
        <v>444</v>
      </c>
      <c r="J94" s="110">
        <f t="shared" si="5"/>
        <v>705</v>
      </c>
      <c r="K94" s="110"/>
      <c r="L94" s="110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>
        <v>108</v>
      </c>
      <c r="AA94" s="111"/>
      <c r="AB94" s="111"/>
      <c r="AC94" s="111"/>
      <c r="AD94" s="111">
        <f>72+108</f>
        <v>180</v>
      </c>
      <c r="AE94" s="111"/>
      <c r="AF94" s="111">
        <v>120</v>
      </c>
      <c r="AG94" s="111"/>
      <c r="AH94" s="111">
        <v>36</v>
      </c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11"/>
      <c r="BM94" s="111"/>
      <c r="BN94" s="111"/>
      <c r="BO94" s="111"/>
      <c r="BP94" s="111"/>
      <c r="BQ94" s="111"/>
      <c r="BR94" s="111"/>
      <c r="BS94" s="111"/>
      <c r="BT94" s="111"/>
      <c r="BU94" s="111"/>
      <c r="BV94" s="111"/>
    </row>
    <row r="95" spans="1:74" s="92" customFormat="1" ht="15" hidden="1" customHeight="1">
      <c r="A95" s="142">
        <v>91</v>
      </c>
      <c r="B95" s="249" t="s">
        <v>192</v>
      </c>
      <c r="C95" s="144" t="s">
        <v>193</v>
      </c>
      <c r="D95" s="143" t="s">
        <v>21</v>
      </c>
      <c r="E95" s="109"/>
      <c r="F95" s="109"/>
      <c r="G95" s="108">
        <v>7</v>
      </c>
      <c r="H95" s="26">
        <f t="shared" si="3"/>
        <v>0</v>
      </c>
      <c r="I95" s="26">
        <f t="shared" si="4"/>
        <v>0</v>
      </c>
      <c r="J95" s="108">
        <f t="shared" si="5"/>
        <v>7</v>
      </c>
      <c r="K95" s="108"/>
      <c r="L95" s="108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  <c r="AW95" s="109"/>
      <c r="AX95" s="109"/>
      <c r="AY95" s="109"/>
      <c r="AZ95" s="109"/>
      <c r="BA95" s="109"/>
      <c r="BB95" s="109"/>
      <c r="BC95" s="109"/>
      <c r="BD95" s="109"/>
      <c r="BE95" s="109"/>
      <c r="BF95" s="109"/>
      <c r="BG95" s="109"/>
      <c r="BH95" s="109"/>
      <c r="BI95" s="109"/>
      <c r="BJ95" s="109"/>
      <c r="BK95" s="109"/>
      <c r="BL95" s="109"/>
      <c r="BM95" s="109"/>
      <c r="BN95" s="109"/>
      <c r="BO95" s="109"/>
      <c r="BP95" s="109"/>
      <c r="BQ95" s="109"/>
      <c r="BR95" s="109"/>
      <c r="BS95" s="109"/>
      <c r="BT95" s="109"/>
      <c r="BU95" s="109"/>
      <c r="BV95" s="109"/>
    </row>
    <row r="96" spans="1:74" s="50" customFormat="1" ht="15" hidden="1" customHeight="1">
      <c r="A96" s="142">
        <v>92</v>
      </c>
      <c r="B96" s="143" t="s">
        <v>194</v>
      </c>
      <c r="C96" s="144" t="s">
        <v>195</v>
      </c>
      <c r="D96" s="143" t="s">
        <v>21</v>
      </c>
      <c r="E96" s="109"/>
      <c r="F96" s="109"/>
      <c r="G96" s="110">
        <v>3671</v>
      </c>
      <c r="H96" s="3">
        <f t="shared" si="3"/>
        <v>175</v>
      </c>
      <c r="I96" s="3">
        <f t="shared" si="4"/>
        <v>546</v>
      </c>
      <c r="J96" s="110">
        <f t="shared" si="5"/>
        <v>3300</v>
      </c>
      <c r="K96" s="110"/>
      <c r="L96" s="110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>
        <v>175</v>
      </c>
      <c r="X96" s="111"/>
      <c r="Y96" s="111"/>
      <c r="Z96" s="111"/>
      <c r="AA96" s="111"/>
      <c r="AB96" s="111">
        <v>252</v>
      </c>
      <c r="AC96" s="111"/>
      <c r="AD96" s="111"/>
      <c r="AE96" s="111"/>
      <c r="AF96" s="111">
        <v>140</v>
      </c>
      <c r="AG96" s="111"/>
      <c r="AH96" s="111"/>
      <c r="AI96" s="111"/>
      <c r="AJ96" s="111"/>
      <c r="AK96" s="111"/>
      <c r="AL96" s="111"/>
      <c r="AM96" s="111"/>
      <c r="AN96" s="111"/>
      <c r="AO96" s="111"/>
      <c r="AP96" s="111">
        <v>154</v>
      </c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11"/>
      <c r="BM96" s="111"/>
      <c r="BN96" s="111"/>
      <c r="BO96" s="111"/>
      <c r="BP96" s="111"/>
      <c r="BQ96" s="111"/>
      <c r="BR96" s="111"/>
      <c r="BS96" s="111"/>
      <c r="BT96" s="111"/>
      <c r="BU96" s="111"/>
      <c r="BV96" s="111"/>
    </row>
    <row r="97" spans="1:74" s="50" customFormat="1" ht="15" hidden="1" customHeight="1">
      <c r="A97" s="142">
        <v>93</v>
      </c>
      <c r="B97" s="250" t="s">
        <v>196</v>
      </c>
      <c r="C97" s="251" t="s">
        <v>197</v>
      </c>
      <c r="D97" s="143" t="s">
        <v>21</v>
      </c>
      <c r="E97" s="109"/>
      <c r="F97" s="109"/>
      <c r="G97" s="110">
        <v>525</v>
      </c>
      <c r="H97" s="3">
        <f t="shared" si="3"/>
        <v>0</v>
      </c>
      <c r="I97" s="3">
        <f t="shared" si="4"/>
        <v>0</v>
      </c>
      <c r="J97" s="110">
        <f t="shared" si="5"/>
        <v>525</v>
      </c>
      <c r="K97" s="110"/>
      <c r="L97" s="110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11"/>
      <c r="BM97" s="111"/>
      <c r="BN97" s="111"/>
      <c r="BO97" s="111"/>
      <c r="BP97" s="111"/>
      <c r="BQ97" s="111"/>
      <c r="BR97" s="111"/>
      <c r="BS97" s="111"/>
      <c r="BT97" s="111"/>
      <c r="BU97" s="111"/>
      <c r="BV97" s="111"/>
    </row>
    <row r="98" spans="1:74" s="50" customFormat="1" ht="15" hidden="1" customHeight="1">
      <c r="A98" s="142">
        <v>94</v>
      </c>
      <c r="B98" s="250" t="s">
        <v>198</v>
      </c>
      <c r="C98" s="251" t="s">
        <v>199</v>
      </c>
      <c r="D98" s="143" t="s">
        <v>21</v>
      </c>
      <c r="E98" s="109"/>
      <c r="F98" s="109"/>
      <c r="G98" s="110">
        <v>646</v>
      </c>
      <c r="H98" s="3">
        <f t="shared" si="3"/>
        <v>0</v>
      </c>
      <c r="I98" s="3">
        <f t="shared" si="4"/>
        <v>0</v>
      </c>
      <c r="J98" s="110">
        <f t="shared" si="5"/>
        <v>646</v>
      </c>
      <c r="K98" s="110"/>
      <c r="L98" s="110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11"/>
      <c r="BI98" s="111"/>
      <c r="BJ98" s="111"/>
      <c r="BK98" s="111"/>
      <c r="BL98" s="111"/>
      <c r="BM98" s="111"/>
      <c r="BN98" s="111"/>
      <c r="BO98" s="111"/>
      <c r="BP98" s="111"/>
      <c r="BQ98" s="111"/>
      <c r="BR98" s="111"/>
      <c r="BS98" s="111"/>
      <c r="BT98" s="111"/>
      <c r="BU98" s="111"/>
      <c r="BV98" s="111"/>
    </row>
    <row r="99" spans="1:74" s="50" customFormat="1" ht="15" hidden="1" customHeight="1">
      <c r="A99" s="142">
        <v>95</v>
      </c>
      <c r="B99" s="143" t="s">
        <v>200</v>
      </c>
      <c r="C99" s="144" t="s">
        <v>201</v>
      </c>
      <c r="D99" s="143" t="s">
        <v>21</v>
      </c>
      <c r="E99" s="109"/>
      <c r="F99" s="109"/>
      <c r="G99" s="110">
        <v>5000</v>
      </c>
      <c r="H99" s="3">
        <f t="shared" si="3"/>
        <v>0</v>
      </c>
      <c r="I99" s="3">
        <f t="shared" si="4"/>
        <v>0</v>
      </c>
      <c r="J99" s="110">
        <f t="shared" si="5"/>
        <v>5000</v>
      </c>
      <c r="K99" s="110"/>
      <c r="L99" s="110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1"/>
      <c r="BJ99" s="111"/>
      <c r="BK99" s="111"/>
      <c r="BL99" s="111"/>
      <c r="BM99" s="111"/>
      <c r="BN99" s="111"/>
      <c r="BO99" s="111"/>
      <c r="BP99" s="111"/>
      <c r="BQ99" s="111"/>
      <c r="BR99" s="111"/>
      <c r="BS99" s="111"/>
      <c r="BT99" s="111"/>
      <c r="BU99" s="111"/>
      <c r="BV99" s="111"/>
    </row>
    <row r="100" spans="1:74" s="93" customFormat="1" ht="15" hidden="1" customHeight="1">
      <c r="A100" s="142">
        <v>96</v>
      </c>
      <c r="B100" s="142" t="s">
        <v>202</v>
      </c>
      <c r="C100" s="286" t="s">
        <v>203</v>
      </c>
      <c r="D100" s="143" t="s">
        <v>21</v>
      </c>
      <c r="E100" s="109"/>
      <c r="F100" s="109"/>
      <c r="G100" s="108">
        <v>775</v>
      </c>
      <c r="H100" s="26">
        <f t="shared" si="3"/>
        <v>514</v>
      </c>
      <c r="I100" s="26">
        <f t="shared" si="4"/>
        <v>386</v>
      </c>
      <c r="J100" s="108">
        <f t="shared" si="5"/>
        <v>903</v>
      </c>
      <c r="K100" s="108"/>
      <c r="L100" s="108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>
        <v>164</v>
      </c>
      <c r="X100" s="109">
        <v>48</v>
      </c>
      <c r="Y100" s="109"/>
      <c r="Z100" s="109">
        <v>40</v>
      </c>
      <c r="AA100" s="109"/>
      <c r="AB100" s="109">
        <v>72</v>
      </c>
      <c r="AC100" s="109"/>
      <c r="AD100" s="109"/>
      <c r="AE100" s="109">
        <v>350</v>
      </c>
      <c r="AF100" s="109">
        <f>16+6</f>
        <v>22</v>
      </c>
      <c r="AG100" s="109"/>
      <c r="AH100" s="109">
        <v>12</v>
      </c>
      <c r="AI100" s="109"/>
      <c r="AJ100" s="109"/>
      <c r="AK100" s="109"/>
      <c r="AL100" s="109">
        <v>84</v>
      </c>
      <c r="AM100" s="109"/>
      <c r="AN100" s="109">
        <v>108</v>
      </c>
      <c r="AO100" s="109"/>
      <c r="AP100" s="109"/>
      <c r="AQ100" s="109"/>
      <c r="AR100" s="109"/>
      <c r="AS100" s="109"/>
      <c r="AT100" s="109"/>
      <c r="AU100" s="109"/>
      <c r="AV100" s="109"/>
      <c r="AW100" s="109"/>
      <c r="AX100" s="109"/>
      <c r="AY100" s="109"/>
      <c r="AZ100" s="109"/>
      <c r="BA100" s="109"/>
      <c r="BB100" s="109"/>
      <c r="BC100" s="109"/>
      <c r="BD100" s="109"/>
      <c r="BE100" s="109"/>
      <c r="BF100" s="109"/>
      <c r="BG100" s="109"/>
      <c r="BH100" s="109"/>
      <c r="BI100" s="109"/>
      <c r="BJ100" s="109"/>
      <c r="BK100" s="109"/>
      <c r="BL100" s="109"/>
      <c r="BM100" s="109"/>
      <c r="BN100" s="109"/>
      <c r="BO100" s="109"/>
      <c r="BP100" s="109"/>
      <c r="BQ100" s="109"/>
      <c r="BR100" s="109"/>
      <c r="BS100" s="109"/>
      <c r="BT100" s="109"/>
      <c r="BU100" s="109"/>
      <c r="BV100" s="109"/>
    </row>
    <row r="101" spans="1:74" s="50" customFormat="1" ht="15" hidden="1" customHeight="1">
      <c r="A101" s="142">
        <v>97</v>
      </c>
      <c r="B101" s="250" t="s">
        <v>204</v>
      </c>
      <c r="C101" s="144" t="s">
        <v>205</v>
      </c>
      <c r="D101" s="143" t="s">
        <v>21</v>
      </c>
      <c r="E101" s="109"/>
      <c r="F101" s="109"/>
      <c r="G101" s="110">
        <v>744</v>
      </c>
      <c r="H101" s="3">
        <f t="shared" si="3"/>
        <v>160</v>
      </c>
      <c r="I101" s="3">
        <f t="shared" si="4"/>
        <v>244</v>
      </c>
      <c r="J101" s="110">
        <f t="shared" si="5"/>
        <v>660</v>
      </c>
      <c r="K101" s="110"/>
      <c r="L101" s="110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>
        <v>160</v>
      </c>
      <c r="X101" s="111"/>
      <c r="Y101" s="111"/>
      <c r="Z101" s="111">
        <v>84</v>
      </c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>
        <v>160</v>
      </c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/>
      <c r="BP101" s="111"/>
      <c r="BQ101" s="111"/>
      <c r="BR101" s="111"/>
      <c r="BS101" s="111"/>
      <c r="BT101" s="111"/>
      <c r="BU101" s="111"/>
      <c r="BV101" s="111"/>
    </row>
    <row r="102" spans="1:74" s="50" customFormat="1" ht="15" hidden="1" customHeight="1">
      <c r="A102" s="142">
        <v>98</v>
      </c>
      <c r="B102" s="143" t="s">
        <v>206</v>
      </c>
      <c r="C102" s="144" t="s">
        <v>207</v>
      </c>
      <c r="D102" s="143" t="s">
        <v>21</v>
      </c>
      <c r="E102" s="109"/>
      <c r="F102" s="109"/>
      <c r="G102" s="110">
        <v>1725</v>
      </c>
      <c r="H102" s="3">
        <f t="shared" si="3"/>
        <v>0</v>
      </c>
      <c r="I102" s="3">
        <f t="shared" si="4"/>
        <v>544</v>
      </c>
      <c r="J102" s="110">
        <f t="shared" si="5"/>
        <v>1181</v>
      </c>
      <c r="K102" s="110"/>
      <c r="L102" s="110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>
        <v>100</v>
      </c>
      <c r="Y102" s="111"/>
      <c r="Z102" s="111"/>
      <c r="AA102" s="111"/>
      <c r="AB102" s="111">
        <v>300</v>
      </c>
      <c r="AC102" s="111"/>
      <c r="AD102" s="111"/>
      <c r="AE102" s="111"/>
      <c r="AF102" s="111">
        <v>144</v>
      </c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11"/>
      <c r="BM102" s="111"/>
      <c r="BN102" s="111"/>
      <c r="BO102" s="111"/>
      <c r="BP102" s="111"/>
      <c r="BQ102" s="111"/>
      <c r="BR102" s="111"/>
      <c r="BS102" s="111"/>
      <c r="BT102" s="111"/>
      <c r="BU102" s="111"/>
      <c r="BV102" s="111"/>
    </row>
    <row r="103" spans="1:74" s="50" customFormat="1" ht="15" hidden="1" customHeight="1">
      <c r="A103" s="142">
        <v>99</v>
      </c>
      <c r="B103" s="143" t="s">
        <v>208</v>
      </c>
      <c r="C103" s="144" t="s">
        <v>209</v>
      </c>
      <c r="D103" s="143" t="s">
        <v>21</v>
      </c>
      <c r="E103" s="109"/>
      <c r="F103" s="109"/>
      <c r="G103" s="110">
        <v>47</v>
      </c>
      <c r="H103" s="3">
        <f t="shared" si="3"/>
        <v>0</v>
      </c>
      <c r="I103" s="3">
        <f t="shared" si="4"/>
        <v>0</v>
      </c>
      <c r="J103" s="110">
        <f t="shared" si="5"/>
        <v>47</v>
      </c>
      <c r="K103" s="110"/>
      <c r="L103" s="110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/>
      <c r="BP103" s="111"/>
      <c r="BQ103" s="111"/>
      <c r="BR103" s="111"/>
      <c r="BS103" s="111"/>
      <c r="BT103" s="111"/>
      <c r="BU103" s="111"/>
      <c r="BV103" s="111"/>
    </row>
    <row r="104" spans="1:74" s="50" customFormat="1" ht="15" hidden="1" customHeight="1">
      <c r="A104" s="142">
        <v>100</v>
      </c>
      <c r="B104" s="143" t="s">
        <v>210</v>
      </c>
      <c r="C104" s="144" t="s">
        <v>211</v>
      </c>
      <c r="D104" s="143" t="s">
        <v>21</v>
      </c>
      <c r="E104" s="109"/>
      <c r="F104" s="109"/>
      <c r="G104" s="110">
        <v>193</v>
      </c>
      <c r="H104" s="3">
        <f t="shared" si="3"/>
        <v>0</v>
      </c>
      <c r="I104" s="3">
        <f t="shared" si="4"/>
        <v>0</v>
      </c>
      <c r="J104" s="110">
        <f t="shared" si="5"/>
        <v>193</v>
      </c>
      <c r="K104" s="110"/>
      <c r="L104" s="110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11"/>
      <c r="BN104" s="111"/>
      <c r="BO104" s="111"/>
      <c r="BP104" s="111"/>
      <c r="BQ104" s="111"/>
      <c r="BR104" s="111"/>
      <c r="BS104" s="111"/>
      <c r="BT104" s="111"/>
      <c r="BU104" s="111"/>
      <c r="BV104" s="111"/>
    </row>
    <row r="105" spans="1:74" s="50" customFormat="1" ht="15" hidden="1" customHeight="1">
      <c r="A105" s="142">
        <v>101</v>
      </c>
      <c r="B105" s="250" t="s">
        <v>212</v>
      </c>
      <c r="C105" s="251" t="s">
        <v>213</v>
      </c>
      <c r="D105" s="143" t="s">
        <v>21</v>
      </c>
      <c r="E105" s="109"/>
      <c r="F105" s="109"/>
      <c r="G105" s="110">
        <v>0</v>
      </c>
      <c r="H105" s="3">
        <f t="shared" si="3"/>
        <v>0</v>
      </c>
      <c r="I105" s="3">
        <f t="shared" si="4"/>
        <v>0</v>
      </c>
      <c r="J105" s="110">
        <f t="shared" si="5"/>
        <v>0</v>
      </c>
      <c r="K105" s="110"/>
      <c r="L105" s="110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1"/>
      <c r="BJ105" s="111"/>
      <c r="BK105" s="111"/>
      <c r="BL105" s="111"/>
      <c r="BM105" s="111"/>
      <c r="BN105" s="111"/>
      <c r="BO105" s="111"/>
      <c r="BP105" s="111"/>
      <c r="BQ105" s="111"/>
      <c r="BR105" s="111"/>
      <c r="BS105" s="111"/>
      <c r="BT105" s="111"/>
      <c r="BU105" s="111"/>
      <c r="BV105" s="111"/>
    </row>
    <row r="106" spans="1:74" s="50" customFormat="1" ht="15" hidden="1" customHeight="1">
      <c r="A106" s="142">
        <v>102</v>
      </c>
      <c r="B106" s="143" t="s">
        <v>214</v>
      </c>
      <c r="C106" s="144" t="s">
        <v>215</v>
      </c>
      <c r="D106" s="143" t="s">
        <v>21</v>
      </c>
      <c r="E106" s="109"/>
      <c r="F106" s="109"/>
      <c r="G106" s="110">
        <v>94</v>
      </c>
      <c r="H106" s="3">
        <f t="shared" si="3"/>
        <v>0</v>
      </c>
      <c r="I106" s="3">
        <f t="shared" si="4"/>
        <v>0</v>
      </c>
      <c r="J106" s="110">
        <f t="shared" si="5"/>
        <v>94</v>
      </c>
      <c r="K106" s="110"/>
      <c r="L106" s="110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1"/>
      <c r="BJ106" s="111"/>
      <c r="BK106" s="111"/>
      <c r="BL106" s="111"/>
      <c r="BM106" s="111"/>
      <c r="BN106" s="111"/>
      <c r="BO106" s="111"/>
      <c r="BP106" s="111"/>
      <c r="BQ106" s="111"/>
      <c r="BR106" s="111"/>
      <c r="BS106" s="111"/>
      <c r="BT106" s="111"/>
      <c r="BU106" s="111"/>
      <c r="BV106" s="111"/>
    </row>
    <row r="107" spans="1:74" s="50" customFormat="1" ht="15" hidden="1" customHeight="1">
      <c r="A107" s="142">
        <v>103</v>
      </c>
      <c r="B107" s="142" t="s">
        <v>216</v>
      </c>
      <c r="C107" s="286" t="s">
        <v>217</v>
      </c>
      <c r="D107" s="143" t="s">
        <v>21</v>
      </c>
      <c r="E107" s="109"/>
      <c r="F107" s="109"/>
      <c r="G107" s="110">
        <v>24</v>
      </c>
      <c r="H107" s="3">
        <f t="shared" si="3"/>
        <v>0</v>
      </c>
      <c r="I107" s="3">
        <f t="shared" si="4"/>
        <v>0</v>
      </c>
      <c r="J107" s="110">
        <f t="shared" si="5"/>
        <v>24</v>
      </c>
      <c r="K107" s="110"/>
      <c r="L107" s="110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1"/>
      <c r="BJ107" s="111"/>
      <c r="BK107" s="111"/>
      <c r="BL107" s="111"/>
      <c r="BM107" s="111"/>
      <c r="BN107" s="111"/>
      <c r="BO107" s="111"/>
      <c r="BP107" s="111"/>
      <c r="BQ107" s="111"/>
      <c r="BR107" s="111"/>
      <c r="BS107" s="111"/>
      <c r="BT107" s="111"/>
      <c r="BU107" s="111"/>
      <c r="BV107" s="111"/>
    </row>
    <row r="108" spans="1:74" s="50" customFormat="1" ht="15" hidden="1" customHeight="1">
      <c r="A108" s="142">
        <v>104</v>
      </c>
      <c r="B108" s="143" t="s">
        <v>218</v>
      </c>
      <c r="C108" s="144" t="s">
        <v>219</v>
      </c>
      <c r="D108" s="143" t="s">
        <v>21</v>
      </c>
      <c r="E108" s="109"/>
      <c r="F108" s="109"/>
      <c r="G108" s="110">
        <v>29</v>
      </c>
      <c r="H108" s="3">
        <f t="shared" si="3"/>
        <v>0</v>
      </c>
      <c r="I108" s="3">
        <f t="shared" si="4"/>
        <v>0</v>
      </c>
      <c r="J108" s="110">
        <f t="shared" si="5"/>
        <v>29</v>
      </c>
      <c r="K108" s="110"/>
      <c r="L108" s="110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  <c r="BG108" s="111"/>
      <c r="BH108" s="111"/>
      <c r="BI108" s="111"/>
      <c r="BJ108" s="111"/>
      <c r="BK108" s="111"/>
      <c r="BL108" s="111"/>
      <c r="BM108" s="111"/>
      <c r="BN108" s="111"/>
      <c r="BO108" s="111"/>
      <c r="BP108" s="111"/>
      <c r="BQ108" s="111"/>
      <c r="BR108" s="111"/>
      <c r="BS108" s="111"/>
      <c r="BT108" s="111"/>
      <c r="BU108" s="111"/>
      <c r="BV108" s="111"/>
    </row>
    <row r="109" spans="1:74" s="50" customFormat="1" ht="15" hidden="1" customHeight="1">
      <c r="A109" s="142">
        <v>105</v>
      </c>
      <c r="B109" s="250" t="s">
        <v>220</v>
      </c>
      <c r="C109" s="144" t="s">
        <v>221</v>
      </c>
      <c r="D109" s="143" t="s">
        <v>21</v>
      </c>
      <c r="E109" s="109"/>
      <c r="F109" s="109"/>
      <c r="G109" s="110">
        <v>24</v>
      </c>
      <c r="H109" s="3">
        <f t="shared" si="3"/>
        <v>0</v>
      </c>
      <c r="I109" s="3">
        <f t="shared" si="4"/>
        <v>0</v>
      </c>
      <c r="J109" s="110">
        <f t="shared" si="5"/>
        <v>24</v>
      </c>
      <c r="K109" s="110"/>
      <c r="L109" s="110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  <c r="BJ109" s="111"/>
      <c r="BK109" s="111"/>
      <c r="BL109" s="111"/>
      <c r="BM109" s="111"/>
      <c r="BN109" s="111"/>
      <c r="BO109" s="111"/>
      <c r="BP109" s="111"/>
      <c r="BQ109" s="111"/>
      <c r="BR109" s="111"/>
      <c r="BS109" s="111"/>
      <c r="BT109" s="111"/>
      <c r="BU109" s="111"/>
      <c r="BV109" s="111"/>
    </row>
    <row r="110" spans="1:74" s="50" customFormat="1" ht="15" hidden="1" customHeight="1">
      <c r="A110" s="142">
        <v>106</v>
      </c>
      <c r="B110" s="143" t="s">
        <v>222</v>
      </c>
      <c r="C110" s="144" t="s">
        <v>223</v>
      </c>
      <c r="D110" s="143" t="s">
        <v>21</v>
      </c>
      <c r="E110" s="109"/>
      <c r="F110" s="109"/>
      <c r="G110" s="110">
        <v>11</v>
      </c>
      <c r="H110" s="3">
        <f t="shared" si="3"/>
        <v>0</v>
      </c>
      <c r="I110" s="3">
        <f t="shared" si="4"/>
        <v>0</v>
      </c>
      <c r="J110" s="110">
        <f t="shared" si="5"/>
        <v>11</v>
      </c>
      <c r="K110" s="110"/>
      <c r="L110" s="110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  <c r="BG110" s="111"/>
      <c r="BH110" s="111"/>
      <c r="BI110" s="111"/>
      <c r="BJ110" s="111"/>
      <c r="BK110" s="111"/>
      <c r="BL110" s="111"/>
      <c r="BM110" s="111"/>
      <c r="BN110" s="111"/>
      <c r="BO110" s="111"/>
      <c r="BP110" s="111"/>
      <c r="BQ110" s="111"/>
      <c r="BR110" s="111"/>
      <c r="BS110" s="111"/>
      <c r="BT110" s="111"/>
      <c r="BU110" s="111"/>
      <c r="BV110" s="111"/>
    </row>
    <row r="111" spans="1:74" s="50" customFormat="1" ht="15" hidden="1" customHeight="1">
      <c r="A111" s="142">
        <v>107</v>
      </c>
      <c r="B111" s="143" t="s">
        <v>224</v>
      </c>
      <c r="C111" s="144" t="s">
        <v>225</v>
      </c>
      <c r="D111" s="143" t="s">
        <v>21</v>
      </c>
      <c r="E111" s="109"/>
      <c r="F111" s="109"/>
      <c r="G111" s="110">
        <v>6</v>
      </c>
      <c r="H111" s="3">
        <f t="shared" si="3"/>
        <v>0</v>
      </c>
      <c r="I111" s="3">
        <f t="shared" si="4"/>
        <v>0</v>
      </c>
      <c r="J111" s="110">
        <f t="shared" si="5"/>
        <v>6</v>
      </c>
      <c r="K111" s="110"/>
      <c r="L111" s="110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1"/>
      <c r="AV111" s="111"/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1"/>
      <c r="BG111" s="111"/>
      <c r="BH111" s="111"/>
      <c r="BI111" s="111"/>
      <c r="BJ111" s="111"/>
      <c r="BK111" s="111"/>
      <c r="BL111" s="111"/>
      <c r="BM111" s="111"/>
      <c r="BN111" s="111"/>
      <c r="BO111" s="111"/>
      <c r="BP111" s="111"/>
      <c r="BQ111" s="111"/>
      <c r="BR111" s="111"/>
      <c r="BS111" s="111"/>
      <c r="BT111" s="111"/>
      <c r="BU111" s="111"/>
      <c r="BV111" s="111"/>
    </row>
    <row r="112" spans="1:74" s="50" customFormat="1" ht="15" hidden="1" customHeight="1">
      <c r="A112" s="142">
        <v>108</v>
      </c>
      <c r="B112" s="143" t="s">
        <v>226</v>
      </c>
      <c r="C112" s="144" t="s">
        <v>227</v>
      </c>
      <c r="D112" s="143" t="s">
        <v>21</v>
      </c>
      <c r="E112" s="109"/>
      <c r="F112" s="109"/>
      <c r="G112" s="110">
        <v>1</v>
      </c>
      <c r="H112" s="3">
        <f t="shared" si="3"/>
        <v>0</v>
      </c>
      <c r="I112" s="3">
        <f t="shared" si="4"/>
        <v>0</v>
      </c>
      <c r="J112" s="110">
        <f t="shared" si="5"/>
        <v>1</v>
      </c>
      <c r="K112" s="110"/>
      <c r="L112" s="110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  <c r="BJ112" s="111"/>
      <c r="BK112" s="111"/>
      <c r="BL112" s="111"/>
      <c r="BM112" s="111"/>
      <c r="BN112" s="111"/>
      <c r="BO112" s="111"/>
      <c r="BP112" s="111"/>
      <c r="BQ112" s="111"/>
      <c r="BR112" s="111"/>
      <c r="BS112" s="111"/>
      <c r="BT112" s="111"/>
      <c r="BU112" s="111"/>
      <c r="BV112" s="111"/>
    </row>
    <row r="113" spans="1:74" s="50" customFormat="1" ht="15" hidden="1" customHeight="1">
      <c r="A113" s="142">
        <v>109</v>
      </c>
      <c r="B113" s="143" t="s">
        <v>228</v>
      </c>
      <c r="C113" s="144" t="s">
        <v>229</v>
      </c>
      <c r="D113" s="143" t="s">
        <v>21</v>
      </c>
      <c r="E113" s="109"/>
      <c r="F113" s="109"/>
      <c r="G113" s="110">
        <v>48</v>
      </c>
      <c r="H113" s="3">
        <f t="shared" si="3"/>
        <v>0</v>
      </c>
      <c r="I113" s="3">
        <f t="shared" si="4"/>
        <v>0</v>
      </c>
      <c r="J113" s="110">
        <f t="shared" si="5"/>
        <v>48</v>
      </c>
      <c r="K113" s="110"/>
      <c r="L113" s="110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</row>
    <row r="114" spans="1:74" s="50" customFormat="1" ht="15" hidden="1" customHeight="1">
      <c r="A114" s="142">
        <v>110</v>
      </c>
      <c r="B114" s="143" t="s">
        <v>230</v>
      </c>
      <c r="C114" s="144" t="s">
        <v>231</v>
      </c>
      <c r="D114" s="143" t="s">
        <v>21</v>
      </c>
      <c r="E114" s="109"/>
      <c r="F114" s="109"/>
      <c r="G114" s="110">
        <v>49</v>
      </c>
      <c r="H114" s="3">
        <f t="shared" si="3"/>
        <v>0</v>
      </c>
      <c r="I114" s="3">
        <f t="shared" si="4"/>
        <v>0</v>
      </c>
      <c r="J114" s="110">
        <f t="shared" si="5"/>
        <v>49</v>
      </c>
      <c r="K114" s="110"/>
      <c r="L114" s="110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11"/>
      <c r="BN114" s="111"/>
      <c r="BO114" s="111"/>
      <c r="BP114" s="111"/>
      <c r="BQ114" s="111"/>
      <c r="BR114" s="111"/>
      <c r="BS114" s="111"/>
      <c r="BT114" s="111"/>
      <c r="BU114" s="111"/>
      <c r="BV114" s="111"/>
    </row>
    <row r="115" spans="1:74" s="92" customFormat="1" ht="15" hidden="1" customHeight="1">
      <c r="A115" s="142">
        <v>111</v>
      </c>
      <c r="B115" s="143" t="s">
        <v>232</v>
      </c>
      <c r="C115" s="144" t="s">
        <v>233</v>
      </c>
      <c r="D115" s="143" t="s">
        <v>21</v>
      </c>
      <c r="E115" s="109"/>
      <c r="F115" s="109"/>
      <c r="G115" s="108">
        <v>33</v>
      </c>
      <c r="H115" s="26">
        <f t="shared" si="3"/>
        <v>0</v>
      </c>
      <c r="I115" s="26">
        <f t="shared" si="4"/>
        <v>0</v>
      </c>
      <c r="J115" s="108">
        <f t="shared" si="5"/>
        <v>33</v>
      </c>
      <c r="K115" s="108"/>
      <c r="L115" s="108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  <c r="AN115" s="109"/>
      <c r="AO115" s="109"/>
      <c r="AP115" s="109"/>
      <c r="AQ115" s="109"/>
      <c r="AR115" s="109"/>
      <c r="AS115" s="109"/>
      <c r="AT115" s="109"/>
      <c r="AU115" s="109"/>
      <c r="AV115" s="109"/>
      <c r="AW115" s="109"/>
      <c r="AX115" s="109"/>
      <c r="AY115" s="109"/>
      <c r="AZ115" s="109"/>
      <c r="BA115" s="109"/>
      <c r="BB115" s="109"/>
      <c r="BC115" s="109"/>
      <c r="BD115" s="109"/>
      <c r="BE115" s="109"/>
      <c r="BF115" s="109"/>
      <c r="BG115" s="109"/>
      <c r="BH115" s="109"/>
      <c r="BI115" s="109"/>
      <c r="BJ115" s="109"/>
      <c r="BK115" s="109"/>
      <c r="BL115" s="109"/>
      <c r="BM115" s="109"/>
      <c r="BN115" s="109"/>
      <c r="BO115" s="109"/>
      <c r="BP115" s="109"/>
      <c r="BQ115" s="109"/>
      <c r="BR115" s="109"/>
      <c r="BS115" s="109"/>
      <c r="BT115" s="109"/>
      <c r="BU115" s="109"/>
      <c r="BV115" s="109"/>
    </row>
    <row r="116" spans="1:74" s="92" customFormat="1" ht="15" hidden="1" customHeight="1">
      <c r="A116" s="109">
        <v>112</v>
      </c>
      <c r="B116" s="26" t="s">
        <v>234</v>
      </c>
      <c r="C116" s="27" t="s">
        <v>235</v>
      </c>
      <c r="D116" s="26" t="s">
        <v>21</v>
      </c>
      <c r="E116" s="109"/>
      <c r="F116" s="109"/>
      <c r="G116" s="108">
        <v>267</v>
      </c>
      <c r="H116" s="26">
        <f t="shared" si="3"/>
        <v>0</v>
      </c>
      <c r="I116" s="26">
        <f t="shared" si="4"/>
        <v>0</v>
      </c>
      <c r="J116" s="108">
        <f t="shared" si="5"/>
        <v>267</v>
      </c>
      <c r="K116" s="108"/>
      <c r="L116" s="108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  <c r="AO116" s="109"/>
      <c r="AP116" s="109"/>
      <c r="AQ116" s="109"/>
      <c r="AR116" s="109"/>
      <c r="AS116" s="109"/>
      <c r="AT116" s="109"/>
      <c r="AU116" s="109"/>
      <c r="AV116" s="109"/>
      <c r="AW116" s="109"/>
      <c r="AX116" s="109"/>
      <c r="AY116" s="109"/>
      <c r="AZ116" s="109"/>
      <c r="BA116" s="109"/>
      <c r="BB116" s="109"/>
      <c r="BC116" s="109"/>
      <c r="BD116" s="109"/>
      <c r="BE116" s="109"/>
      <c r="BF116" s="109"/>
      <c r="BG116" s="109"/>
      <c r="BH116" s="109"/>
      <c r="BI116" s="109"/>
      <c r="BJ116" s="109"/>
      <c r="BK116" s="109"/>
      <c r="BL116" s="109"/>
      <c r="BM116" s="109"/>
      <c r="BN116" s="109"/>
      <c r="BO116" s="109"/>
      <c r="BP116" s="109"/>
      <c r="BQ116" s="109"/>
      <c r="BR116" s="109"/>
      <c r="BS116" s="109"/>
      <c r="BT116" s="109"/>
      <c r="BU116" s="109"/>
      <c r="BV116" s="109"/>
    </row>
    <row r="117" spans="1:74" s="92" customFormat="1" ht="15" hidden="1" customHeight="1">
      <c r="A117" s="109">
        <v>113</v>
      </c>
      <c r="B117" s="26" t="s">
        <v>236</v>
      </c>
      <c r="C117" s="27" t="s">
        <v>237</v>
      </c>
      <c r="D117" s="26" t="s">
        <v>21</v>
      </c>
      <c r="E117" s="109"/>
      <c r="F117" s="109"/>
      <c r="G117" s="108">
        <v>334</v>
      </c>
      <c r="H117" s="26">
        <f t="shared" si="3"/>
        <v>0</v>
      </c>
      <c r="I117" s="26">
        <f t="shared" si="4"/>
        <v>0</v>
      </c>
      <c r="J117" s="108">
        <f t="shared" si="5"/>
        <v>334</v>
      </c>
      <c r="K117" s="108"/>
      <c r="L117" s="108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  <c r="AO117" s="109"/>
      <c r="AP117" s="109"/>
      <c r="AQ117" s="109"/>
      <c r="AR117" s="109"/>
      <c r="AS117" s="109"/>
      <c r="AT117" s="109"/>
      <c r="AU117" s="109"/>
      <c r="AV117" s="109"/>
      <c r="AW117" s="109"/>
      <c r="AX117" s="109"/>
      <c r="AY117" s="109"/>
      <c r="AZ117" s="109"/>
      <c r="BA117" s="109"/>
      <c r="BB117" s="109"/>
      <c r="BC117" s="109"/>
      <c r="BD117" s="109"/>
      <c r="BE117" s="109"/>
      <c r="BF117" s="109"/>
      <c r="BG117" s="109"/>
      <c r="BH117" s="109"/>
      <c r="BI117" s="109"/>
      <c r="BJ117" s="109"/>
      <c r="BK117" s="109"/>
      <c r="BL117" s="109"/>
      <c r="BM117" s="109"/>
      <c r="BN117" s="109"/>
      <c r="BO117" s="109"/>
      <c r="BP117" s="109"/>
      <c r="BQ117" s="109"/>
      <c r="BR117" s="109"/>
      <c r="BS117" s="109"/>
      <c r="BT117" s="109"/>
      <c r="BU117" s="109"/>
      <c r="BV117" s="109"/>
    </row>
    <row r="118" spans="1:74" s="50" customFormat="1" ht="15" hidden="1" customHeight="1">
      <c r="A118" s="109">
        <v>114</v>
      </c>
      <c r="B118" s="26" t="s">
        <v>238</v>
      </c>
      <c r="C118" s="27" t="s">
        <v>239</v>
      </c>
      <c r="D118" s="26" t="s">
        <v>21</v>
      </c>
      <c r="E118" s="109"/>
      <c r="F118" s="109"/>
      <c r="G118" s="110">
        <v>41</v>
      </c>
      <c r="H118" s="3">
        <f t="shared" si="3"/>
        <v>0</v>
      </c>
      <c r="I118" s="3">
        <f t="shared" si="4"/>
        <v>0</v>
      </c>
      <c r="J118" s="110">
        <f t="shared" si="5"/>
        <v>41</v>
      </c>
      <c r="K118" s="110"/>
      <c r="L118" s="110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11"/>
      <c r="BK118" s="111"/>
      <c r="BL118" s="111"/>
      <c r="BM118" s="111"/>
      <c r="BN118" s="111"/>
      <c r="BO118" s="111"/>
      <c r="BP118" s="111"/>
      <c r="BQ118" s="111"/>
      <c r="BR118" s="111"/>
      <c r="BS118" s="111"/>
      <c r="BT118" s="111"/>
      <c r="BU118" s="111"/>
      <c r="BV118" s="111"/>
    </row>
    <row r="119" spans="1:74" s="50" customFormat="1" ht="15" hidden="1" customHeight="1">
      <c r="A119" s="111">
        <v>115</v>
      </c>
      <c r="B119" s="34" t="s">
        <v>240</v>
      </c>
      <c r="C119" s="17" t="s">
        <v>241</v>
      </c>
      <c r="D119" s="3" t="s">
        <v>21</v>
      </c>
      <c r="E119" s="111"/>
      <c r="F119" s="111"/>
      <c r="G119" s="110">
        <v>4</v>
      </c>
      <c r="H119" s="3">
        <f t="shared" ref="H119:H182" si="6">SUM(M119+O119+Q119+S119+U119+W119+Y119+AA119+AC119+AE119+AG119+AI119+AK119+AM119+AO119+AQ119+AS119+AU119+AW119+AY119+BA119+BC119+BE119+BG119+BI119+BK119+BM119+BO119+BQ119+BS119+BU119)</f>
        <v>0</v>
      </c>
      <c r="I119" s="3">
        <f t="shared" ref="I119:I182" si="7">SUM(N119+P119+R119+T119+V119+X119+Z119+AB119+AD119+AF119+AH119+AJ119+AL119+AN119+AP119+AR119+AT119+AV119+AX119+AZ119+BB119+BD119+BF119+BH119+BJ119+BL119+BN119+BP119+BR119+BT119+BV119)</f>
        <v>0</v>
      </c>
      <c r="J119" s="110">
        <f t="shared" ref="J119:J182" si="8">G119+H119-I119</f>
        <v>4</v>
      </c>
      <c r="K119" s="110"/>
      <c r="L119" s="110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11"/>
      <c r="BN119" s="111"/>
      <c r="BO119" s="111"/>
      <c r="BP119" s="111"/>
      <c r="BQ119" s="111"/>
      <c r="BR119" s="111"/>
      <c r="BS119" s="111"/>
      <c r="BT119" s="111"/>
      <c r="BU119" s="111"/>
      <c r="BV119" s="111"/>
    </row>
    <row r="120" spans="1:74" s="50" customFormat="1" ht="15" hidden="1" customHeight="1">
      <c r="A120" s="111">
        <v>116</v>
      </c>
      <c r="B120" s="3" t="s">
        <v>242</v>
      </c>
      <c r="C120" s="17" t="s">
        <v>243</v>
      </c>
      <c r="D120" s="3" t="s">
        <v>21</v>
      </c>
      <c r="E120" s="111"/>
      <c r="F120" s="111"/>
      <c r="G120" s="110">
        <v>13</v>
      </c>
      <c r="H120" s="3">
        <f t="shared" si="6"/>
        <v>0</v>
      </c>
      <c r="I120" s="3">
        <f t="shared" si="7"/>
        <v>0</v>
      </c>
      <c r="J120" s="110">
        <f t="shared" si="8"/>
        <v>13</v>
      </c>
      <c r="K120" s="110"/>
      <c r="L120" s="110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  <c r="BO120" s="111"/>
      <c r="BP120" s="111"/>
      <c r="BQ120" s="111"/>
      <c r="BR120" s="111"/>
      <c r="BS120" s="111"/>
      <c r="BT120" s="111"/>
      <c r="BU120" s="111"/>
      <c r="BV120" s="111"/>
    </row>
    <row r="121" spans="1:74" s="50" customFormat="1" ht="15" hidden="1" customHeight="1">
      <c r="A121" s="111">
        <v>117</v>
      </c>
      <c r="B121" s="3" t="s">
        <v>244</v>
      </c>
      <c r="C121" s="17" t="s">
        <v>245</v>
      </c>
      <c r="D121" s="3" t="s">
        <v>21</v>
      </c>
      <c r="E121" s="111"/>
      <c r="F121" s="111"/>
      <c r="G121" s="110">
        <v>0</v>
      </c>
      <c r="H121" s="3">
        <f t="shared" si="6"/>
        <v>0</v>
      </c>
      <c r="I121" s="3">
        <f t="shared" si="7"/>
        <v>0</v>
      </c>
      <c r="J121" s="110">
        <f t="shared" si="8"/>
        <v>0</v>
      </c>
      <c r="K121" s="110"/>
      <c r="L121" s="110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11"/>
      <c r="BM121" s="111"/>
      <c r="BN121" s="111"/>
      <c r="BO121" s="111"/>
      <c r="BP121" s="111"/>
      <c r="BQ121" s="111"/>
      <c r="BR121" s="111"/>
      <c r="BS121" s="111"/>
      <c r="BT121" s="111"/>
      <c r="BU121" s="111"/>
      <c r="BV121" s="111"/>
    </row>
    <row r="122" spans="1:74" s="50" customFormat="1" ht="15" hidden="1" customHeight="1">
      <c r="A122" s="111">
        <v>118</v>
      </c>
      <c r="B122" s="3" t="s">
        <v>246</v>
      </c>
      <c r="C122" s="20" t="s">
        <v>247</v>
      </c>
      <c r="D122" s="3" t="s">
        <v>21</v>
      </c>
      <c r="E122" s="111"/>
      <c r="F122" s="111"/>
      <c r="G122" s="110">
        <v>3</v>
      </c>
      <c r="H122" s="3">
        <f t="shared" si="6"/>
        <v>0</v>
      </c>
      <c r="I122" s="3">
        <f t="shared" si="7"/>
        <v>0</v>
      </c>
      <c r="J122" s="110">
        <f t="shared" si="8"/>
        <v>3</v>
      </c>
      <c r="K122" s="110"/>
      <c r="L122" s="110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  <c r="BG122" s="111"/>
      <c r="BH122" s="111"/>
      <c r="BI122" s="111"/>
      <c r="BJ122" s="111"/>
      <c r="BK122" s="111"/>
      <c r="BL122" s="111"/>
      <c r="BM122" s="111"/>
      <c r="BN122" s="111"/>
      <c r="BO122" s="111"/>
      <c r="BP122" s="111"/>
      <c r="BQ122" s="111"/>
      <c r="BR122" s="111"/>
      <c r="BS122" s="111"/>
      <c r="BT122" s="111"/>
      <c r="BU122" s="111"/>
      <c r="BV122" s="111"/>
    </row>
    <row r="123" spans="1:74" s="50" customFormat="1" ht="15" hidden="1" customHeight="1">
      <c r="A123" s="111">
        <v>119</v>
      </c>
      <c r="B123" s="4" t="s">
        <v>248</v>
      </c>
      <c r="C123" s="19" t="s">
        <v>249</v>
      </c>
      <c r="D123" s="3" t="s">
        <v>21</v>
      </c>
      <c r="E123" s="111"/>
      <c r="F123" s="111"/>
      <c r="G123" s="110">
        <v>0</v>
      </c>
      <c r="H123" s="3">
        <f t="shared" si="6"/>
        <v>0</v>
      </c>
      <c r="I123" s="3">
        <f t="shared" si="7"/>
        <v>0</v>
      </c>
      <c r="J123" s="110">
        <f t="shared" si="8"/>
        <v>0</v>
      </c>
      <c r="K123" s="110"/>
      <c r="L123" s="110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  <c r="BJ123" s="111"/>
      <c r="BK123" s="111"/>
      <c r="BL123" s="111"/>
      <c r="BM123" s="111"/>
      <c r="BN123" s="111"/>
      <c r="BO123" s="111"/>
      <c r="BP123" s="111"/>
      <c r="BQ123" s="111"/>
      <c r="BR123" s="111"/>
      <c r="BS123" s="111"/>
      <c r="BT123" s="111"/>
      <c r="BU123" s="111"/>
      <c r="BV123" s="111"/>
    </row>
    <row r="124" spans="1:74" s="50" customFormat="1" ht="15" hidden="1" customHeight="1">
      <c r="A124" s="111">
        <v>120</v>
      </c>
      <c r="B124" s="3" t="s">
        <v>250</v>
      </c>
      <c r="C124" s="17" t="s">
        <v>251</v>
      </c>
      <c r="D124" s="3" t="s">
        <v>21</v>
      </c>
      <c r="E124" s="111"/>
      <c r="F124" s="111"/>
      <c r="G124" s="110">
        <v>5</v>
      </c>
      <c r="H124" s="3">
        <f t="shared" si="6"/>
        <v>0</v>
      </c>
      <c r="I124" s="3">
        <f t="shared" si="7"/>
        <v>0</v>
      </c>
      <c r="J124" s="110">
        <f t="shared" si="8"/>
        <v>5</v>
      </c>
      <c r="K124" s="110"/>
      <c r="L124" s="110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  <c r="BJ124" s="111"/>
      <c r="BK124" s="111"/>
      <c r="BL124" s="111"/>
      <c r="BM124" s="111"/>
      <c r="BN124" s="111"/>
      <c r="BO124" s="111"/>
      <c r="BP124" s="111"/>
      <c r="BQ124" s="111"/>
      <c r="BR124" s="111"/>
      <c r="BS124" s="111"/>
      <c r="BT124" s="111"/>
      <c r="BU124" s="111"/>
      <c r="BV124" s="111"/>
    </row>
    <row r="125" spans="1:74" s="50" customFormat="1" ht="15" hidden="1" customHeight="1">
      <c r="A125" s="111">
        <v>121</v>
      </c>
      <c r="B125" s="270" t="s">
        <v>252</v>
      </c>
      <c r="C125" s="96" t="s">
        <v>253</v>
      </c>
      <c r="D125" s="10" t="s">
        <v>21</v>
      </c>
      <c r="E125" s="137"/>
      <c r="F125" s="137"/>
      <c r="G125" s="124">
        <v>15</v>
      </c>
      <c r="H125" s="10">
        <f t="shared" si="6"/>
        <v>0</v>
      </c>
      <c r="I125" s="3">
        <f t="shared" si="7"/>
        <v>0</v>
      </c>
      <c r="J125" s="110">
        <f t="shared" si="8"/>
        <v>15</v>
      </c>
      <c r="K125" s="110"/>
      <c r="L125" s="110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8"/>
      <c r="BS125" s="88"/>
      <c r="BT125" s="88"/>
      <c r="BU125" s="88"/>
      <c r="BV125" s="88"/>
    </row>
    <row r="126" spans="1:74" s="50" customFormat="1" ht="15" hidden="1" customHeight="1">
      <c r="A126" s="111">
        <v>122</v>
      </c>
      <c r="B126" s="3" t="s">
        <v>254</v>
      </c>
      <c r="C126" s="17" t="s">
        <v>255</v>
      </c>
      <c r="D126" s="3" t="s">
        <v>14</v>
      </c>
      <c r="E126" s="111"/>
      <c r="F126" s="111"/>
      <c r="G126" s="110">
        <v>0</v>
      </c>
      <c r="H126" s="3">
        <f t="shared" si="6"/>
        <v>0</v>
      </c>
      <c r="I126" s="3">
        <f t="shared" si="7"/>
        <v>0</v>
      </c>
      <c r="J126" s="110">
        <f t="shared" si="8"/>
        <v>0</v>
      </c>
      <c r="K126" s="110"/>
      <c r="L126" s="110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1"/>
      <c r="BG126" s="111"/>
      <c r="BH126" s="111"/>
      <c r="BI126" s="111"/>
      <c r="BJ126" s="111"/>
      <c r="BK126" s="111"/>
      <c r="BL126" s="111"/>
      <c r="BM126" s="111"/>
      <c r="BN126" s="111"/>
      <c r="BO126" s="111"/>
      <c r="BP126" s="111"/>
      <c r="BQ126" s="111"/>
      <c r="BR126" s="111"/>
      <c r="BS126" s="111"/>
      <c r="BT126" s="111"/>
      <c r="BU126" s="111"/>
      <c r="BV126" s="111"/>
    </row>
    <row r="127" spans="1:74" s="50" customFormat="1" ht="15" hidden="1" customHeight="1">
      <c r="A127" s="111">
        <v>123</v>
      </c>
      <c r="B127" s="3" t="s">
        <v>256</v>
      </c>
      <c r="C127" s="17" t="s">
        <v>257</v>
      </c>
      <c r="D127" s="3" t="s">
        <v>21</v>
      </c>
      <c r="E127" s="111"/>
      <c r="F127" s="111"/>
      <c r="G127" s="110">
        <v>20</v>
      </c>
      <c r="H127" s="3">
        <f t="shared" si="6"/>
        <v>0</v>
      </c>
      <c r="I127" s="3">
        <f t="shared" si="7"/>
        <v>0</v>
      </c>
      <c r="J127" s="110">
        <f t="shared" si="8"/>
        <v>20</v>
      </c>
      <c r="K127" s="110"/>
      <c r="L127" s="110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1"/>
      <c r="BG127" s="111"/>
      <c r="BH127" s="111"/>
      <c r="BI127" s="111"/>
      <c r="BJ127" s="111"/>
      <c r="BK127" s="111"/>
      <c r="BL127" s="111"/>
      <c r="BM127" s="111"/>
      <c r="BN127" s="111"/>
      <c r="BO127" s="111"/>
      <c r="BP127" s="111"/>
      <c r="BQ127" s="111"/>
      <c r="BR127" s="111"/>
      <c r="BS127" s="111"/>
      <c r="BT127" s="111"/>
      <c r="BU127" s="111"/>
      <c r="BV127" s="111"/>
    </row>
    <row r="128" spans="1:74" s="50" customFormat="1" ht="15" hidden="1" customHeight="1">
      <c r="A128" s="111">
        <v>124</v>
      </c>
      <c r="B128" s="3" t="s">
        <v>258</v>
      </c>
      <c r="C128" s="17" t="s">
        <v>259</v>
      </c>
      <c r="D128" s="3" t="s">
        <v>21</v>
      </c>
      <c r="E128" s="111"/>
      <c r="F128" s="111"/>
      <c r="G128" s="110">
        <v>38</v>
      </c>
      <c r="H128" s="3">
        <f t="shared" si="6"/>
        <v>0</v>
      </c>
      <c r="I128" s="3">
        <f t="shared" si="7"/>
        <v>0</v>
      </c>
      <c r="J128" s="110">
        <f t="shared" si="8"/>
        <v>38</v>
      </c>
      <c r="K128" s="110"/>
      <c r="L128" s="110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11"/>
      <c r="BM128" s="111"/>
      <c r="BN128" s="111"/>
      <c r="BO128" s="111"/>
      <c r="BP128" s="111"/>
      <c r="BQ128" s="111"/>
      <c r="BR128" s="111"/>
      <c r="BS128" s="111"/>
      <c r="BT128" s="111"/>
      <c r="BU128" s="111"/>
      <c r="BV128" s="111"/>
    </row>
    <row r="129" spans="1:74" s="50" customFormat="1" ht="15" hidden="1" customHeight="1">
      <c r="A129" s="111">
        <v>125</v>
      </c>
      <c r="B129" s="3" t="s">
        <v>260</v>
      </c>
      <c r="C129" s="17" t="s">
        <v>261</v>
      </c>
      <c r="D129" s="3" t="s">
        <v>21</v>
      </c>
      <c r="E129" s="111"/>
      <c r="F129" s="111"/>
      <c r="G129" s="110">
        <v>27</v>
      </c>
      <c r="H129" s="3">
        <f t="shared" si="6"/>
        <v>0</v>
      </c>
      <c r="I129" s="3">
        <f t="shared" si="7"/>
        <v>0</v>
      </c>
      <c r="J129" s="110">
        <f t="shared" si="8"/>
        <v>27</v>
      </c>
      <c r="K129" s="110"/>
      <c r="L129" s="110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  <c r="BJ129" s="111"/>
      <c r="BK129" s="111"/>
      <c r="BL129" s="111"/>
      <c r="BM129" s="111"/>
      <c r="BN129" s="111"/>
      <c r="BO129" s="111"/>
      <c r="BP129" s="111"/>
      <c r="BQ129" s="111"/>
      <c r="BR129" s="111"/>
      <c r="BS129" s="111"/>
      <c r="BT129" s="111"/>
      <c r="BU129" s="111"/>
      <c r="BV129" s="111"/>
    </row>
    <row r="130" spans="1:74" s="92" customFormat="1" ht="15" hidden="1" customHeight="1">
      <c r="A130" s="403">
        <v>126</v>
      </c>
      <c r="B130" s="464" t="s">
        <v>262</v>
      </c>
      <c r="C130" s="465" t="s">
        <v>263</v>
      </c>
      <c r="D130" s="404" t="s">
        <v>21</v>
      </c>
      <c r="E130" s="111"/>
      <c r="F130" s="111"/>
      <c r="G130" s="108">
        <v>74</v>
      </c>
      <c r="H130" s="26">
        <f t="shared" si="6"/>
        <v>0</v>
      </c>
      <c r="I130" s="26">
        <f t="shared" si="7"/>
        <v>42</v>
      </c>
      <c r="J130" s="108">
        <f t="shared" si="8"/>
        <v>32</v>
      </c>
      <c r="K130" s="108"/>
      <c r="L130" s="108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>
        <v>20</v>
      </c>
      <c r="AG130" s="109"/>
      <c r="AH130" s="109"/>
      <c r="AI130" s="109"/>
      <c r="AJ130" s="109"/>
      <c r="AK130" s="109"/>
      <c r="AL130" s="109"/>
      <c r="AM130" s="109"/>
      <c r="AN130" s="109"/>
      <c r="AO130" s="109"/>
      <c r="AP130" s="109">
        <v>22</v>
      </c>
      <c r="AQ130" s="109"/>
      <c r="AR130" s="109"/>
      <c r="AS130" s="109"/>
      <c r="AT130" s="109"/>
      <c r="AU130" s="109"/>
      <c r="AV130" s="109"/>
      <c r="AW130" s="109"/>
      <c r="AX130" s="109"/>
      <c r="AY130" s="109"/>
      <c r="AZ130" s="109"/>
      <c r="BA130" s="109"/>
      <c r="BB130" s="109"/>
      <c r="BC130" s="109"/>
      <c r="BD130" s="109"/>
      <c r="BE130" s="109"/>
      <c r="BF130" s="109"/>
      <c r="BG130" s="109"/>
      <c r="BH130" s="109"/>
      <c r="BI130" s="109"/>
      <c r="BJ130" s="109"/>
      <c r="BK130" s="109"/>
      <c r="BL130" s="109"/>
      <c r="BM130" s="109"/>
      <c r="BN130" s="109"/>
      <c r="BO130" s="109"/>
      <c r="BP130" s="109"/>
      <c r="BQ130" s="109"/>
      <c r="BR130" s="109"/>
      <c r="BS130" s="109"/>
      <c r="BT130" s="109"/>
      <c r="BU130" s="109"/>
      <c r="BV130" s="109"/>
    </row>
    <row r="131" spans="1:74" s="50" customFormat="1" ht="15" hidden="1" customHeight="1">
      <c r="A131" s="142">
        <v>127</v>
      </c>
      <c r="B131" s="143" t="s">
        <v>264</v>
      </c>
      <c r="C131" s="144" t="s">
        <v>265</v>
      </c>
      <c r="D131" s="143" t="s">
        <v>21</v>
      </c>
      <c r="E131" s="111"/>
      <c r="F131" s="111"/>
      <c r="G131" s="110">
        <v>0</v>
      </c>
      <c r="H131" s="3">
        <f t="shared" si="6"/>
        <v>0</v>
      </c>
      <c r="I131" s="3">
        <f t="shared" si="7"/>
        <v>0</v>
      </c>
      <c r="J131" s="110">
        <f t="shared" si="8"/>
        <v>0</v>
      </c>
      <c r="K131" s="110"/>
      <c r="L131" s="110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1"/>
      <c r="BG131" s="111"/>
      <c r="BH131" s="111"/>
      <c r="BI131" s="111"/>
      <c r="BJ131" s="111"/>
      <c r="BK131" s="111"/>
      <c r="BL131" s="111"/>
      <c r="BM131" s="111"/>
      <c r="BN131" s="111"/>
      <c r="BO131" s="111"/>
      <c r="BP131" s="111"/>
      <c r="BQ131" s="111"/>
      <c r="BR131" s="111"/>
      <c r="BS131" s="111"/>
      <c r="BT131" s="111"/>
      <c r="BU131" s="111"/>
      <c r="BV131" s="111"/>
    </row>
    <row r="132" spans="1:74" s="50" customFormat="1" ht="15" hidden="1" customHeight="1">
      <c r="A132" s="142">
        <v>128</v>
      </c>
      <c r="B132" s="250" t="s">
        <v>266</v>
      </c>
      <c r="C132" s="251" t="s">
        <v>267</v>
      </c>
      <c r="D132" s="143" t="s">
        <v>21</v>
      </c>
      <c r="E132" s="111"/>
      <c r="F132" s="111"/>
      <c r="G132" s="110">
        <v>0</v>
      </c>
      <c r="H132" s="3">
        <f t="shared" si="6"/>
        <v>0</v>
      </c>
      <c r="I132" s="3">
        <f t="shared" si="7"/>
        <v>0</v>
      </c>
      <c r="J132" s="110">
        <f t="shared" si="8"/>
        <v>0</v>
      </c>
      <c r="K132" s="110"/>
      <c r="L132" s="110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1"/>
      <c r="BG132" s="111"/>
      <c r="BH132" s="111"/>
      <c r="BI132" s="111"/>
      <c r="BJ132" s="111"/>
      <c r="BK132" s="111"/>
      <c r="BL132" s="111"/>
      <c r="BM132" s="111"/>
      <c r="BN132" s="111"/>
      <c r="BO132" s="111"/>
      <c r="BP132" s="111"/>
      <c r="BQ132" s="111"/>
      <c r="BR132" s="111"/>
      <c r="BS132" s="111"/>
      <c r="BT132" s="111"/>
      <c r="BU132" s="111"/>
      <c r="BV132" s="111"/>
    </row>
    <row r="133" spans="1:74" s="50" customFormat="1" ht="15" hidden="1" customHeight="1">
      <c r="A133" s="142">
        <v>129</v>
      </c>
      <c r="B133" s="252" t="s">
        <v>268</v>
      </c>
      <c r="C133" s="413" t="s">
        <v>269</v>
      </c>
      <c r="D133" s="143" t="s">
        <v>21</v>
      </c>
      <c r="E133" s="111"/>
      <c r="F133" s="111"/>
      <c r="G133" s="110">
        <v>0</v>
      </c>
      <c r="H133" s="3">
        <f t="shared" si="6"/>
        <v>0</v>
      </c>
      <c r="I133" s="3">
        <f t="shared" si="7"/>
        <v>0</v>
      </c>
      <c r="J133" s="110">
        <f t="shared" si="8"/>
        <v>0</v>
      </c>
      <c r="K133" s="110"/>
      <c r="L133" s="110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1"/>
      <c r="BG133" s="111"/>
      <c r="BH133" s="111"/>
      <c r="BI133" s="111"/>
      <c r="BJ133" s="111"/>
      <c r="BK133" s="111"/>
      <c r="BL133" s="111"/>
      <c r="BM133" s="111"/>
      <c r="BN133" s="111"/>
      <c r="BO133" s="111"/>
      <c r="BP133" s="111"/>
      <c r="BQ133" s="111"/>
      <c r="BR133" s="111"/>
      <c r="BS133" s="111"/>
      <c r="BT133" s="111"/>
      <c r="BU133" s="111"/>
      <c r="BV133" s="111"/>
    </row>
    <row r="134" spans="1:74" s="50" customFormat="1" ht="15" hidden="1" customHeight="1">
      <c r="A134" s="109">
        <v>130</v>
      </c>
      <c r="B134" s="26" t="s">
        <v>270</v>
      </c>
      <c r="C134" s="27" t="s">
        <v>271</v>
      </c>
      <c r="D134" s="26" t="s">
        <v>21</v>
      </c>
      <c r="E134" s="109"/>
      <c r="F134" s="109"/>
      <c r="G134" s="110">
        <v>121</v>
      </c>
      <c r="H134" s="3">
        <f t="shared" si="6"/>
        <v>0</v>
      </c>
      <c r="I134" s="3">
        <f t="shared" si="7"/>
        <v>0</v>
      </c>
      <c r="J134" s="110">
        <f t="shared" si="8"/>
        <v>121</v>
      </c>
      <c r="K134" s="110"/>
      <c r="L134" s="110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  <c r="BJ134" s="111"/>
      <c r="BK134" s="111"/>
      <c r="BL134" s="111"/>
      <c r="BM134" s="111"/>
      <c r="BN134" s="111"/>
      <c r="BO134" s="111"/>
      <c r="BP134" s="111"/>
      <c r="BQ134" s="111"/>
      <c r="BR134" s="111"/>
      <c r="BS134" s="111"/>
      <c r="BT134" s="111"/>
      <c r="BU134" s="111"/>
      <c r="BV134" s="111"/>
    </row>
    <row r="135" spans="1:74" s="50" customFormat="1" ht="15" hidden="1" customHeight="1">
      <c r="A135" s="109">
        <v>131</v>
      </c>
      <c r="B135" s="26" t="s">
        <v>272</v>
      </c>
      <c r="C135" s="27" t="s">
        <v>273</v>
      </c>
      <c r="D135" s="26" t="s">
        <v>21</v>
      </c>
      <c r="E135" s="109"/>
      <c r="F135" s="109"/>
      <c r="G135" s="110">
        <v>110</v>
      </c>
      <c r="H135" s="3">
        <f t="shared" si="6"/>
        <v>0</v>
      </c>
      <c r="I135" s="3">
        <f t="shared" si="7"/>
        <v>0</v>
      </c>
      <c r="J135" s="110">
        <f t="shared" si="8"/>
        <v>110</v>
      </c>
      <c r="K135" s="110"/>
      <c r="L135" s="110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11"/>
      <c r="BN135" s="111"/>
      <c r="BO135" s="111"/>
      <c r="BP135" s="111"/>
      <c r="BQ135" s="111"/>
      <c r="BR135" s="111"/>
      <c r="BS135" s="111"/>
      <c r="BT135" s="111"/>
      <c r="BU135" s="111"/>
      <c r="BV135" s="111"/>
    </row>
    <row r="136" spans="1:74" s="50" customFormat="1" ht="15" hidden="1" customHeight="1">
      <c r="A136" s="109">
        <v>132</v>
      </c>
      <c r="B136" s="26" t="s">
        <v>274</v>
      </c>
      <c r="C136" s="27" t="s">
        <v>275</v>
      </c>
      <c r="D136" s="26" t="s">
        <v>21</v>
      </c>
      <c r="E136" s="109"/>
      <c r="F136" s="109"/>
      <c r="G136" s="110">
        <v>7</v>
      </c>
      <c r="H136" s="3">
        <f t="shared" si="6"/>
        <v>0</v>
      </c>
      <c r="I136" s="3">
        <f t="shared" si="7"/>
        <v>0</v>
      </c>
      <c r="J136" s="110">
        <f t="shared" si="8"/>
        <v>7</v>
      </c>
      <c r="K136" s="110"/>
      <c r="L136" s="110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  <c r="BJ136" s="111"/>
      <c r="BK136" s="111"/>
      <c r="BL136" s="111"/>
      <c r="BM136" s="111"/>
      <c r="BN136" s="111"/>
      <c r="BO136" s="111"/>
      <c r="BP136" s="111"/>
      <c r="BQ136" s="111"/>
      <c r="BR136" s="111"/>
      <c r="BS136" s="111"/>
      <c r="BT136" s="111"/>
      <c r="BU136" s="111"/>
      <c r="BV136" s="111"/>
    </row>
    <row r="137" spans="1:74" s="50" customFormat="1" ht="15" hidden="1" customHeight="1">
      <c r="A137" s="109">
        <v>133</v>
      </c>
      <c r="B137" s="26" t="s">
        <v>276</v>
      </c>
      <c r="C137" s="27" t="s">
        <v>277</v>
      </c>
      <c r="D137" s="26" t="s">
        <v>21</v>
      </c>
      <c r="E137" s="109"/>
      <c r="F137" s="109"/>
      <c r="G137" s="110">
        <v>1</v>
      </c>
      <c r="H137" s="3">
        <f t="shared" si="6"/>
        <v>0</v>
      </c>
      <c r="I137" s="3">
        <f t="shared" si="7"/>
        <v>0</v>
      </c>
      <c r="J137" s="110">
        <f t="shared" si="8"/>
        <v>1</v>
      </c>
      <c r="K137" s="110"/>
      <c r="L137" s="110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11"/>
      <c r="BM137" s="111"/>
      <c r="BN137" s="111"/>
      <c r="BO137" s="111"/>
      <c r="BP137" s="111"/>
      <c r="BQ137" s="111"/>
      <c r="BR137" s="111"/>
      <c r="BS137" s="111"/>
      <c r="BT137" s="111"/>
      <c r="BU137" s="111"/>
      <c r="BV137" s="111"/>
    </row>
    <row r="138" spans="1:74" s="50" customFormat="1" ht="15" hidden="1" customHeight="1">
      <c r="A138" s="109">
        <v>134</v>
      </c>
      <c r="B138" s="26" t="s">
        <v>278</v>
      </c>
      <c r="C138" s="27" t="s">
        <v>279</v>
      </c>
      <c r="D138" s="26" t="s">
        <v>21</v>
      </c>
      <c r="E138" s="109"/>
      <c r="F138" s="109"/>
      <c r="G138" s="110">
        <v>93</v>
      </c>
      <c r="H138" s="3">
        <f t="shared" si="6"/>
        <v>0</v>
      </c>
      <c r="I138" s="3">
        <f t="shared" si="7"/>
        <v>0</v>
      </c>
      <c r="J138" s="110">
        <f t="shared" si="8"/>
        <v>93</v>
      </c>
      <c r="K138" s="110"/>
      <c r="L138" s="110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/>
      <c r="BP138" s="111"/>
      <c r="BQ138" s="111"/>
      <c r="BR138" s="111"/>
      <c r="BS138" s="111"/>
      <c r="BT138" s="111"/>
      <c r="BU138" s="111"/>
      <c r="BV138" s="111"/>
    </row>
    <row r="139" spans="1:74" s="50" customFormat="1" ht="15" hidden="1" customHeight="1">
      <c r="A139" s="109">
        <v>135</v>
      </c>
      <c r="B139" s="26" t="s">
        <v>280</v>
      </c>
      <c r="C139" s="27" t="s">
        <v>281</v>
      </c>
      <c r="D139" s="26" t="s">
        <v>21</v>
      </c>
      <c r="E139" s="109"/>
      <c r="F139" s="109"/>
      <c r="G139" s="110">
        <v>9</v>
      </c>
      <c r="H139" s="3">
        <f t="shared" si="6"/>
        <v>0</v>
      </c>
      <c r="I139" s="3">
        <f t="shared" si="7"/>
        <v>0</v>
      </c>
      <c r="J139" s="110">
        <f t="shared" si="8"/>
        <v>9</v>
      </c>
      <c r="K139" s="110"/>
      <c r="L139" s="110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/>
      <c r="BP139" s="111"/>
      <c r="BQ139" s="111"/>
      <c r="BR139" s="111"/>
      <c r="BS139" s="111"/>
      <c r="BT139" s="111"/>
      <c r="BU139" s="111"/>
      <c r="BV139" s="111"/>
    </row>
    <row r="140" spans="1:74" s="50" customFormat="1" ht="15" hidden="1" customHeight="1">
      <c r="A140" s="142">
        <v>136</v>
      </c>
      <c r="B140" s="143" t="s">
        <v>282</v>
      </c>
      <c r="C140" s="144" t="s">
        <v>283</v>
      </c>
      <c r="D140" s="143" t="s">
        <v>21</v>
      </c>
      <c r="E140" s="109"/>
      <c r="F140" s="109"/>
      <c r="G140" s="110">
        <v>0</v>
      </c>
      <c r="H140" s="3">
        <f t="shared" si="6"/>
        <v>0</v>
      </c>
      <c r="I140" s="3">
        <f t="shared" si="7"/>
        <v>0</v>
      </c>
      <c r="J140" s="110">
        <f t="shared" si="8"/>
        <v>0</v>
      </c>
      <c r="K140" s="110"/>
      <c r="L140" s="110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11"/>
      <c r="BM140" s="111"/>
      <c r="BN140" s="111"/>
      <c r="BO140" s="111"/>
      <c r="BP140" s="111"/>
      <c r="BQ140" s="111"/>
      <c r="BR140" s="111"/>
      <c r="BS140" s="111"/>
      <c r="BT140" s="111"/>
      <c r="BU140" s="111"/>
      <c r="BV140" s="111"/>
    </row>
    <row r="141" spans="1:74" s="50" customFormat="1" ht="15" hidden="1" customHeight="1">
      <c r="A141" s="142">
        <v>137</v>
      </c>
      <c r="B141" s="143" t="s">
        <v>284</v>
      </c>
      <c r="C141" s="144" t="s">
        <v>285</v>
      </c>
      <c r="D141" s="143" t="s">
        <v>21</v>
      </c>
      <c r="E141" s="109"/>
      <c r="F141" s="109"/>
      <c r="G141" s="110">
        <v>0</v>
      </c>
      <c r="H141" s="3">
        <f t="shared" si="6"/>
        <v>0</v>
      </c>
      <c r="I141" s="3">
        <f t="shared" si="7"/>
        <v>0</v>
      </c>
      <c r="J141" s="110">
        <f t="shared" si="8"/>
        <v>0</v>
      </c>
      <c r="K141" s="110"/>
      <c r="L141" s="110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/>
      <c r="BP141" s="111"/>
      <c r="BQ141" s="111"/>
      <c r="BR141" s="111"/>
      <c r="BS141" s="111"/>
      <c r="BT141" s="111"/>
      <c r="BU141" s="111"/>
      <c r="BV141" s="111"/>
    </row>
    <row r="142" spans="1:74" s="50" customFormat="1" ht="15" hidden="1" customHeight="1">
      <c r="A142" s="142">
        <v>138</v>
      </c>
      <c r="B142" s="143" t="s">
        <v>286</v>
      </c>
      <c r="C142" s="144" t="s">
        <v>287</v>
      </c>
      <c r="D142" s="143" t="s">
        <v>21</v>
      </c>
      <c r="E142" s="109"/>
      <c r="F142" s="109"/>
      <c r="G142" s="110">
        <v>0</v>
      </c>
      <c r="H142" s="3">
        <f t="shared" si="6"/>
        <v>0</v>
      </c>
      <c r="I142" s="3">
        <f t="shared" si="7"/>
        <v>0</v>
      </c>
      <c r="J142" s="110">
        <f t="shared" si="8"/>
        <v>0</v>
      </c>
      <c r="K142" s="110"/>
      <c r="L142" s="110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  <c r="BJ142" s="111"/>
      <c r="BK142" s="111"/>
      <c r="BL142" s="111"/>
      <c r="BM142" s="111"/>
      <c r="BN142" s="111"/>
      <c r="BO142" s="111"/>
      <c r="BP142" s="111"/>
      <c r="BQ142" s="111"/>
      <c r="BR142" s="111"/>
      <c r="BS142" s="111"/>
      <c r="BT142" s="111"/>
      <c r="BU142" s="111"/>
      <c r="BV142" s="111"/>
    </row>
    <row r="143" spans="1:74" s="50" customFormat="1" ht="15" hidden="1" customHeight="1">
      <c r="A143" s="142">
        <v>139</v>
      </c>
      <c r="B143" s="143" t="s">
        <v>288</v>
      </c>
      <c r="C143" s="144" t="s">
        <v>289</v>
      </c>
      <c r="D143" s="143" t="s">
        <v>21</v>
      </c>
      <c r="E143" s="109"/>
      <c r="F143" s="109"/>
      <c r="G143" s="110">
        <v>0</v>
      </c>
      <c r="H143" s="3">
        <f t="shared" si="6"/>
        <v>0</v>
      </c>
      <c r="I143" s="3">
        <f t="shared" si="7"/>
        <v>0</v>
      </c>
      <c r="J143" s="110">
        <f t="shared" si="8"/>
        <v>0</v>
      </c>
      <c r="K143" s="110"/>
      <c r="L143" s="110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11"/>
      <c r="BK143" s="111"/>
      <c r="BL143" s="111"/>
      <c r="BM143" s="111"/>
      <c r="BN143" s="111"/>
      <c r="BO143" s="111"/>
      <c r="BP143" s="111"/>
      <c r="BQ143" s="111"/>
      <c r="BR143" s="111"/>
      <c r="BS143" s="111"/>
      <c r="BT143" s="111"/>
      <c r="BU143" s="111"/>
      <c r="BV143" s="111"/>
    </row>
    <row r="144" spans="1:74" s="50" customFormat="1" ht="15" hidden="1" customHeight="1">
      <c r="A144" s="109">
        <v>140</v>
      </c>
      <c r="B144" s="26" t="s">
        <v>290</v>
      </c>
      <c r="C144" s="27" t="s">
        <v>291</v>
      </c>
      <c r="D144" s="26" t="s">
        <v>21</v>
      </c>
      <c r="E144" s="109"/>
      <c r="F144" s="109"/>
      <c r="G144" s="110">
        <v>842</v>
      </c>
      <c r="H144" s="3">
        <f t="shared" si="6"/>
        <v>0</v>
      </c>
      <c r="I144" s="3">
        <f t="shared" si="7"/>
        <v>0</v>
      </c>
      <c r="J144" s="110">
        <f t="shared" si="8"/>
        <v>842</v>
      </c>
      <c r="K144" s="110"/>
      <c r="L144" s="110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11"/>
      <c r="BL144" s="111"/>
      <c r="BM144" s="111"/>
      <c r="BN144" s="111"/>
      <c r="BO144" s="111"/>
      <c r="BP144" s="111"/>
      <c r="BQ144" s="111"/>
      <c r="BR144" s="111"/>
      <c r="BS144" s="111"/>
      <c r="BT144" s="111"/>
      <c r="BU144" s="111"/>
      <c r="BV144" s="111"/>
    </row>
    <row r="145" spans="1:74" s="50" customFormat="1" ht="15" hidden="1" customHeight="1">
      <c r="A145" s="142">
        <v>141</v>
      </c>
      <c r="B145" s="143" t="s">
        <v>292</v>
      </c>
      <c r="C145" s="251" t="s">
        <v>293</v>
      </c>
      <c r="D145" s="143" t="s">
        <v>21</v>
      </c>
      <c r="E145" s="109"/>
      <c r="F145" s="109"/>
      <c r="G145" s="110">
        <v>808</v>
      </c>
      <c r="H145" s="3">
        <f t="shared" si="6"/>
        <v>0</v>
      </c>
      <c r="I145" s="3">
        <f t="shared" si="7"/>
        <v>20</v>
      </c>
      <c r="J145" s="110">
        <f t="shared" si="8"/>
        <v>788</v>
      </c>
      <c r="K145" s="110"/>
      <c r="L145" s="110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>
        <v>20</v>
      </c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11"/>
      <c r="BK145" s="111"/>
      <c r="BL145" s="111"/>
      <c r="BM145" s="111"/>
      <c r="BN145" s="111"/>
      <c r="BO145" s="111"/>
      <c r="BP145" s="111"/>
      <c r="BQ145" s="111"/>
      <c r="BR145" s="111"/>
      <c r="BS145" s="111"/>
      <c r="BT145" s="111"/>
      <c r="BU145" s="111"/>
      <c r="BV145" s="111"/>
    </row>
    <row r="146" spans="1:74" s="50" customFormat="1" ht="15" hidden="1" customHeight="1">
      <c r="A146" s="142">
        <v>142</v>
      </c>
      <c r="B146" s="285" t="s">
        <v>294</v>
      </c>
      <c r="C146" s="144" t="s">
        <v>295</v>
      </c>
      <c r="D146" s="143" t="s">
        <v>21</v>
      </c>
      <c r="E146" s="109"/>
      <c r="F146" s="111"/>
      <c r="G146" s="110">
        <v>0</v>
      </c>
      <c r="H146" s="3">
        <f t="shared" si="6"/>
        <v>0</v>
      </c>
      <c r="I146" s="3">
        <f t="shared" si="7"/>
        <v>0</v>
      </c>
      <c r="J146" s="110">
        <f t="shared" si="8"/>
        <v>0</v>
      </c>
      <c r="K146" s="110"/>
      <c r="L146" s="110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  <c r="BG146" s="111"/>
      <c r="BH146" s="111"/>
      <c r="BI146" s="111"/>
      <c r="BJ146" s="111"/>
      <c r="BK146" s="111"/>
      <c r="BL146" s="111"/>
      <c r="BM146" s="111"/>
      <c r="BN146" s="111"/>
      <c r="BO146" s="111"/>
      <c r="BP146" s="111"/>
      <c r="BQ146" s="111"/>
      <c r="BR146" s="111"/>
      <c r="BS146" s="111"/>
      <c r="BT146" s="111"/>
      <c r="BU146" s="111"/>
      <c r="BV146" s="111"/>
    </row>
    <row r="147" spans="1:74" s="50" customFormat="1" ht="15" hidden="1" customHeight="1">
      <c r="A147" s="111">
        <v>143</v>
      </c>
      <c r="B147" s="3" t="s">
        <v>296</v>
      </c>
      <c r="C147" s="272" t="s">
        <v>297</v>
      </c>
      <c r="D147" s="3" t="s">
        <v>21</v>
      </c>
      <c r="E147" s="109"/>
      <c r="F147" s="111"/>
      <c r="G147" s="110">
        <v>34</v>
      </c>
      <c r="H147" s="3">
        <f t="shared" si="6"/>
        <v>0</v>
      </c>
      <c r="I147" s="3">
        <f t="shared" si="7"/>
        <v>0</v>
      </c>
      <c r="J147" s="110">
        <f t="shared" si="8"/>
        <v>34</v>
      </c>
      <c r="K147" s="110"/>
      <c r="L147" s="110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11"/>
      <c r="BL147" s="111"/>
      <c r="BM147" s="111"/>
      <c r="BN147" s="111"/>
      <c r="BO147" s="111"/>
      <c r="BP147" s="111"/>
      <c r="BQ147" s="111"/>
      <c r="BR147" s="111"/>
      <c r="BS147" s="111"/>
      <c r="BT147" s="111"/>
      <c r="BU147" s="111"/>
      <c r="BV147" s="111"/>
    </row>
    <row r="148" spans="1:74" s="50" customFormat="1" ht="15" hidden="1" customHeight="1">
      <c r="A148" s="111">
        <v>144</v>
      </c>
      <c r="B148" s="3" t="s">
        <v>298</v>
      </c>
      <c r="C148" s="17" t="s">
        <v>299</v>
      </c>
      <c r="D148" s="3" t="s">
        <v>21</v>
      </c>
      <c r="E148" s="109"/>
      <c r="F148" s="111"/>
      <c r="G148" s="110">
        <v>2606</v>
      </c>
      <c r="H148" s="3">
        <f t="shared" si="6"/>
        <v>0</v>
      </c>
      <c r="I148" s="3">
        <f t="shared" si="7"/>
        <v>0</v>
      </c>
      <c r="J148" s="110">
        <f t="shared" si="8"/>
        <v>2606</v>
      </c>
      <c r="K148" s="110"/>
      <c r="L148" s="110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11"/>
      <c r="BK148" s="111"/>
      <c r="BL148" s="111"/>
      <c r="BM148" s="111"/>
      <c r="BN148" s="111"/>
      <c r="BO148" s="111"/>
      <c r="BP148" s="111"/>
      <c r="BQ148" s="111"/>
      <c r="BR148" s="111"/>
      <c r="BS148" s="111"/>
      <c r="BT148" s="111"/>
      <c r="BU148" s="111"/>
      <c r="BV148" s="111"/>
    </row>
    <row r="149" spans="1:74" s="50" customFormat="1" ht="15" hidden="1" customHeight="1">
      <c r="A149" s="142">
        <v>145</v>
      </c>
      <c r="B149" s="250" t="s">
        <v>300</v>
      </c>
      <c r="C149" s="144" t="s">
        <v>301</v>
      </c>
      <c r="D149" s="143" t="s">
        <v>21</v>
      </c>
      <c r="E149" s="109"/>
      <c r="F149" s="111"/>
      <c r="G149" s="110">
        <v>128</v>
      </c>
      <c r="H149" s="3">
        <f t="shared" si="6"/>
        <v>0</v>
      </c>
      <c r="I149" s="3">
        <f t="shared" si="7"/>
        <v>0</v>
      </c>
      <c r="J149" s="110">
        <f t="shared" si="8"/>
        <v>128</v>
      </c>
      <c r="K149" s="110"/>
      <c r="L149" s="110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11"/>
      <c r="BL149" s="111"/>
      <c r="BM149" s="111"/>
      <c r="BN149" s="111"/>
      <c r="BO149" s="111"/>
      <c r="BP149" s="111"/>
      <c r="BQ149" s="111"/>
      <c r="BR149" s="111"/>
      <c r="BS149" s="111"/>
      <c r="BT149" s="111"/>
      <c r="BU149" s="111"/>
      <c r="BV149" s="111"/>
    </row>
    <row r="150" spans="1:74" s="50" customFormat="1" ht="15" hidden="1" customHeight="1">
      <c r="A150" s="142">
        <v>146</v>
      </c>
      <c r="B150" s="250" t="s">
        <v>302</v>
      </c>
      <c r="C150" s="144" t="s">
        <v>303</v>
      </c>
      <c r="D150" s="143" t="s">
        <v>21</v>
      </c>
      <c r="E150" s="109"/>
      <c r="F150" s="111"/>
      <c r="G150" s="110">
        <v>80</v>
      </c>
      <c r="H150" s="3">
        <f t="shared" si="6"/>
        <v>0</v>
      </c>
      <c r="I150" s="3">
        <f t="shared" si="7"/>
        <v>0</v>
      </c>
      <c r="J150" s="110">
        <f t="shared" si="8"/>
        <v>80</v>
      </c>
      <c r="K150" s="110"/>
      <c r="L150" s="110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11"/>
      <c r="BL150" s="111"/>
      <c r="BM150" s="111"/>
      <c r="BN150" s="111"/>
      <c r="BO150" s="111"/>
      <c r="BP150" s="111"/>
      <c r="BQ150" s="111"/>
      <c r="BR150" s="111"/>
      <c r="BS150" s="111"/>
      <c r="BT150" s="111"/>
      <c r="BU150" s="111"/>
      <c r="BV150" s="111"/>
    </row>
    <row r="151" spans="1:74" s="50" customFormat="1" ht="15" hidden="1" customHeight="1">
      <c r="A151" s="142">
        <v>147</v>
      </c>
      <c r="B151" s="250" t="s">
        <v>304</v>
      </c>
      <c r="C151" s="144" t="s">
        <v>305</v>
      </c>
      <c r="D151" s="143" t="s">
        <v>21</v>
      </c>
      <c r="E151" s="109"/>
      <c r="F151" s="111"/>
      <c r="G151" s="110">
        <v>0</v>
      </c>
      <c r="H151" s="3">
        <f t="shared" si="6"/>
        <v>0</v>
      </c>
      <c r="I151" s="3">
        <f t="shared" si="7"/>
        <v>0</v>
      </c>
      <c r="J151" s="110">
        <f t="shared" si="8"/>
        <v>0</v>
      </c>
      <c r="K151" s="110"/>
      <c r="L151" s="110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11"/>
      <c r="BK151" s="111"/>
      <c r="BL151" s="111"/>
      <c r="BM151" s="111"/>
      <c r="BN151" s="111"/>
      <c r="BO151" s="111"/>
      <c r="BP151" s="111"/>
      <c r="BQ151" s="111"/>
      <c r="BR151" s="111"/>
      <c r="BS151" s="111"/>
      <c r="BT151" s="111"/>
      <c r="BU151" s="111"/>
      <c r="BV151" s="111"/>
    </row>
    <row r="152" spans="1:74" s="50" customFormat="1" ht="15" hidden="1" customHeight="1">
      <c r="A152" s="142">
        <v>148</v>
      </c>
      <c r="B152" s="143" t="s">
        <v>306</v>
      </c>
      <c r="C152" s="144" t="s">
        <v>307</v>
      </c>
      <c r="D152" s="143" t="s">
        <v>21</v>
      </c>
      <c r="E152" s="109"/>
      <c r="F152" s="111"/>
      <c r="G152" s="108">
        <v>0</v>
      </c>
      <c r="H152" s="26">
        <f t="shared" si="6"/>
        <v>0</v>
      </c>
      <c r="I152" s="26">
        <f t="shared" si="7"/>
        <v>0</v>
      </c>
      <c r="J152" s="108">
        <f t="shared" si="8"/>
        <v>0</v>
      </c>
      <c r="K152" s="108"/>
      <c r="L152" s="108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11"/>
      <c r="BK152" s="111"/>
      <c r="BL152" s="111"/>
      <c r="BM152" s="111"/>
      <c r="BN152" s="111"/>
      <c r="BO152" s="111"/>
      <c r="BP152" s="111"/>
      <c r="BQ152" s="111"/>
      <c r="BR152" s="111"/>
      <c r="BS152" s="111"/>
      <c r="BT152" s="111"/>
      <c r="BU152" s="111"/>
      <c r="BV152" s="111"/>
    </row>
    <row r="153" spans="1:74" s="50" customFormat="1" ht="15" hidden="1" customHeight="1">
      <c r="A153" s="142">
        <v>149</v>
      </c>
      <c r="B153" s="143" t="s">
        <v>308</v>
      </c>
      <c r="C153" s="144" t="s">
        <v>309</v>
      </c>
      <c r="D153" s="143" t="s">
        <v>21</v>
      </c>
      <c r="E153" s="109"/>
      <c r="F153" s="111"/>
      <c r="G153" s="110">
        <v>18</v>
      </c>
      <c r="H153" s="3">
        <f t="shared" si="6"/>
        <v>0</v>
      </c>
      <c r="I153" s="3">
        <f t="shared" si="7"/>
        <v>0</v>
      </c>
      <c r="J153" s="110">
        <f t="shared" si="8"/>
        <v>18</v>
      </c>
      <c r="K153" s="110"/>
      <c r="L153" s="110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11"/>
      <c r="BK153" s="111"/>
      <c r="BL153" s="111"/>
      <c r="BM153" s="111"/>
      <c r="BN153" s="111"/>
      <c r="BO153" s="111"/>
      <c r="BP153" s="111"/>
      <c r="BQ153" s="111"/>
      <c r="BR153" s="111"/>
      <c r="BS153" s="111"/>
      <c r="BT153" s="111"/>
      <c r="BU153" s="111"/>
      <c r="BV153" s="111"/>
    </row>
    <row r="154" spans="1:74" s="50" customFormat="1" ht="15" hidden="1" customHeight="1">
      <c r="A154" s="142">
        <v>150</v>
      </c>
      <c r="B154" s="143" t="s">
        <v>310</v>
      </c>
      <c r="C154" s="144" t="s">
        <v>311</v>
      </c>
      <c r="D154" s="143" t="s">
        <v>21</v>
      </c>
      <c r="E154" s="109"/>
      <c r="F154" s="111"/>
      <c r="G154" s="110">
        <v>0</v>
      </c>
      <c r="H154" s="3">
        <f t="shared" si="6"/>
        <v>0</v>
      </c>
      <c r="I154" s="3">
        <f t="shared" si="7"/>
        <v>0</v>
      </c>
      <c r="J154" s="110">
        <f t="shared" si="8"/>
        <v>0</v>
      </c>
      <c r="K154" s="110"/>
      <c r="L154" s="110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1"/>
      <c r="BI154" s="111"/>
      <c r="BJ154" s="111"/>
      <c r="BK154" s="111"/>
      <c r="BL154" s="111"/>
      <c r="BM154" s="111"/>
      <c r="BN154" s="111"/>
      <c r="BO154" s="111"/>
      <c r="BP154" s="111"/>
      <c r="BQ154" s="111"/>
      <c r="BR154" s="111"/>
      <c r="BS154" s="111"/>
      <c r="BT154" s="111"/>
      <c r="BU154" s="111"/>
      <c r="BV154" s="111"/>
    </row>
    <row r="155" spans="1:74" s="50" customFormat="1" ht="15" hidden="1" customHeight="1">
      <c r="A155" s="142">
        <v>151</v>
      </c>
      <c r="B155" s="143" t="s">
        <v>312</v>
      </c>
      <c r="C155" s="144" t="s">
        <v>313</v>
      </c>
      <c r="D155" s="143" t="s">
        <v>21</v>
      </c>
      <c r="E155" s="109"/>
      <c r="F155" s="111"/>
      <c r="G155" s="110">
        <v>0</v>
      </c>
      <c r="H155" s="3">
        <f t="shared" si="6"/>
        <v>0</v>
      </c>
      <c r="I155" s="3">
        <f t="shared" si="7"/>
        <v>0</v>
      </c>
      <c r="J155" s="110">
        <f t="shared" si="8"/>
        <v>0</v>
      </c>
      <c r="K155" s="110"/>
      <c r="L155" s="110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  <c r="BJ155" s="111"/>
      <c r="BK155" s="111"/>
      <c r="BL155" s="111"/>
      <c r="BM155" s="111"/>
      <c r="BN155" s="111"/>
      <c r="BO155" s="111"/>
      <c r="BP155" s="111"/>
      <c r="BQ155" s="111"/>
      <c r="BR155" s="111"/>
      <c r="BS155" s="111"/>
      <c r="BT155" s="111"/>
      <c r="BU155" s="111"/>
      <c r="BV155" s="111"/>
    </row>
    <row r="156" spans="1:74" s="50" customFormat="1" ht="15" hidden="1" customHeight="1">
      <c r="A156" s="111">
        <v>152</v>
      </c>
      <c r="B156" s="3" t="s">
        <v>314</v>
      </c>
      <c r="C156" s="17" t="s">
        <v>315</v>
      </c>
      <c r="D156" s="3" t="s">
        <v>21</v>
      </c>
      <c r="E156" s="111"/>
      <c r="F156" s="111"/>
      <c r="G156" s="110">
        <v>135</v>
      </c>
      <c r="H156" s="3">
        <f t="shared" si="6"/>
        <v>0</v>
      </c>
      <c r="I156" s="3">
        <f t="shared" si="7"/>
        <v>0</v>
      </c>
      <c r="J156" s="110">
        <f t="shared" si="8"/>
        <v>135</v>
      </c>
      <c r="K156" s="110"/>
      <c r="L156" s="110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/>
      <c r="BK156" s="111"/>
      <c r="BL156" s="111"/>
      <c r="BM156" s="111"/>
      <c r="BN156" s="111"/>
      <c r="BO156" s="111"/>
      <c r="BP156" s="111"/>
      <c r="BQ156" s="111"/>
      <c r="BR156" s="111"/>
      <c r="BS156" s="111"/>
      <c r="BT156" s="111"/>
      <c r="BU156" s="111"/>
      <c r="BV156" s="111"/>
    </row>
    <row r="157" spans="1:74" s="50" customFormat="1" ht="15" hidden="1" customHeight="1">
      <c r="A157" s="111">
        <v>153</v>
      </c>
      <c r="B157" s="3" t="s">
        <v>316</v>
      </c>
      <c r="C157" s="17" t="s">
        <v>317</v>
      </c>
      <c r="D157" s="3" t="s">
        <v>21</v>
      </c>
      <c r="E157" s="111"/>
      <c r="F157" s="111"/>
      <c r="G157" s="110">
        <v>56</v>
      </c>
      <c r="H157" s="3">
        <f t="shared" si="6"/>
        <v>0</v>
      </c>
      <c r="I157" s="3">
        <f t="shared" si="7"/>
        <v>0</v>
      </c>
      <c r="J157" s="110">
        <f t="shared" si="8"/>
        <v>56</v>
      </c>
      <c r="K157" s="110"/>
      <c r="L157" s="110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11"/>
      <c r="BL157" s="111"/>
      <c r="BM157" s="111"/>
      <c r="BN157" s="111"/>
      <c r="BO157" s="111"/>
      <c r="BP157" s="111"/>
      <c r="BQ157" s="111"/>
      <c r="BR157" s="111"/>
      <c r="BS157" s="111"/>
      <c r="BT157" s="111"/>
      <c r="BU157" s="111"/>
      <c r="BV157" s="111"/>
    </row>
    <row r="158" spans="1:74" s="50" customFormat="1" ht="15" hidden="1" customHeight="1">
      <c r="A158" s="111">
        <v>154</v>
      </c>
      <c r="B158" s="3" t="s">
        <v>318</v>
      </c>
      <c r="C158" s="17" t="s">
        <v>319</v>
      </c>
      <c r="D158" s="3" t="s">
        <v>21</v>
      </c>
      <c r="E158" s="111"/>
      <c r="F158" s="111"/>
      <c r="G158" s="110">
        <v>929</v>
      </c>
      <c r="H158" s="3">
        <f t="shared" si="6"/>
        <v>0</v>
      </c>
      <c r="I158" s="3">
        <f t="shared" si="7"/>
        <v>0</v>
      </c>
      <c r="J158" s="110">
        <f t="shared" si="8"/>
        <v>929</v>
      </c>
      <c r="K158" s="110"/>
      <c r="L158" s="110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11"/>
      <c r="BK158" s="111"/>
      <c r="BL158" s="111"/>
      <c r="BM158" s="111"/>
      <c r="BN158" s="111"/>
      <c r="BO158" s="111"/>
      <c r="BP158" s="111"/>
      <c r="BQ158" s="111"/>
      <c r="BR158" s="111"/>
      <c r="BS158" s="111"/>
      <c r="BT158" s="111"/>
      <c r="BU158" s="111"/>
      <c r="BV158" s="111"/>
    </row>
    <row r="159" spans="1:74" s="50" customFormat="1" ht="15" hidden="1" customHeight="1">
      <c r="A159" s="142">
        <v>155</v>
      </c>
      <c r="B159" s="143" t="s">
        <v>320</v>
      </c>
      <c r="C159" s="144" t="s">
        <v>321</v>
      </c>
      <c r="D159" s="143" t="s">
        <v>21</v>
      </c>
      <c r="E159" s="109"/>
      <c r="F159" s="111"/>
      <c r="G159" s="108">
        <v>0</v>
      </c>
      <c r="H159" s="26">
        <f t="shared" si="6"/>
        <v>0</v>
      </c>
      <c r="I159" s="26">
        <f t="shared" si="7"/>
        <v>0</v>
      </c>
      <c r="J159" s="108">
        <f t="shared" si="8"/>
        <v>0</v>
      </c>
      <c r="K159" s="108"/>
      <c r="L159" s="108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1"/>
      <c r="BC159" s="111"/>
      <c r="BD159" s="111"/>
      <c r="BE159" s="111"/>
      <c r="BF159" s="111"/>
      <c r="BG159" s="111"/>
      <c r="BH159" s="111"/>
      <c r="BI159" s="111"/>
      <c r="BJ159" s="111"/>
      <c r="BK159" s="111"/>
      <c r="BL159" s="111"/>
      <c r="BM159" s="111"/>
      <c r="BN159" s="111"/>
      <c r="BO159" s="111"/>
      <c r="BP159" s="111"/>
      <c r="BQ159" s="111"/>
      <c r="BR159" s="111"/>
      <c r="BS159" s="111"/>
      <c r="BT159" s="111"/>
      <c r="BU159" s="111"/>
      <c r="BV159" s="111"/>
    </row>
    <row r="160" spans="1:74" s="50" customFormat="1" ht="15" hidden="1" customHeight="1">
      <c r="A160" s="142">
        <v>156</v>
      </c>
      <c r="B160" s="143" t="s">
        <v>322</v>
      </c>
      <c r="C160" s="144" t="s">
        <v>323</v>
      </c>
      <c r="D160" s="143" t="s">
        <v>21</v>
      </c>
      <c r="E160" s="109"/>
      <c r="F160" s="111"/>
      <c r="G160" s="110">
        <v>54</v>
      </c>
      <c r="H160" s="3">
        <f t="shared" si="6"/>
        <v>0</v>
      </c>
      <c r="I160" s="3">
        <f t="shared" si="7"/>
        <v>0</v>
      </c>
      <c r="J160" s="110">
        <f t="shared" si="8"/>
        <v>54</v>
      </c>
      <c r="K160" s="110"/>
      <c r="L160" s="110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11"/>
      <c r="BK160" s="111"/>
      <c r="BL160" s="111"/>
      <c r="BM160" s="111"/>
      <c r="BN160" s="111"/>
      <c r="BO160" s="111"/>
      <c r="BP160" s="111"/>
      <c r="BQ160" s="111"/>
      <c r="BR160" s="111"/>
      <c r="BS160" s="111"/>
      <c r="BT160" s="111"/>
      <c r="BU160" s="111"/>
      <c r="BV160" s="111"/>
    </row>
    <row r="161" spans="1:74" s="92" customFormat="1" ht="15" hidden="1" customHeight="1">
      <c r="A161" s="142">
        <v>157</v>
      </c>
      <c r="B161" s="143" t="s">
        <v>324</v>
      </c>
      <c r="C161" s="144" t="s">
        <v>325</v>
      </c>
      <c r="D161" s="143" t="s">
        <v>21</v>
      </c>
      <c r="E161" s="109"/>
      <c r="F161" s="111"/>
      <c r="G161" s="108">
        <v>212</v>
      </c>
      <c r="H161" s="26">
        <f t="shared" si="6"/>
        <v>0</v>
      </c>
      <c r="I161" s="26">
        <f t="shared" si="7"/>
        <v>50</v>
      </c>
      <c r="J161" s="108">
        <f t="shared" si="8"/>
        <v>162</v>
      </c>
      <c r="K161" s="108"/>
      <c r="L161" s="108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  <c r="AK161" s="109"/>
      <c r="AL161" s="109">
        <v>50</v>
      </c>
      <c r="AM161" s="109"/>
      <c r="AN161" s="109"/>
      <c r="AO161" s="109"/>
      <c r="AP161" s="109"/>
      <c r="AQ161" s="109"/>
      <c r="AR161" s="109"/>
      <c r="AS161" s="109"/>
      <c r="AT161" s="109"/>
      <c r="AU161" s="109"/>
      <c r="AV161" s="109"/>
      <c r="AW161" s="109"/>
      <c r="AX161" s="109"/>
      <c r="AY161" s="109"/>
      <c r="AZ161" s="109"/>
      <c r="BA161" s="109"/>
      <c r="BB161" s="109"/>
      <c r="BC161" s="109"/>
      <c r="BD161" s="109"/>
      <c r="BE161" s="109"/>
      <c r="BF161" s="109"/>
      <c r="BG161" s="109"/>
      <c r="BH161" s="109"/>
      <c r="BI161" s="109"/>
      <c r="BJ161" s="109"/>
      <c r="BK161" s="109"/>
      <c r="BL161" s="109"/>
      <c r="BM161" s="109"/>
      <c r="BN161" s="109"/>
      <c r="BO161" s="109"/>
      <c r="BP161" s="109"/>
      <c r="BQ161" s="109"/>
      <c r="BR161" s="109"/>
      <c r="BS161" s="109"/>
      <c r="BT161" s="109"/>
      <c r="BU161" s="109"/>
      <c r="BV161" s="109"/>
    </row>
    <row r="162" spans="1:74" s="50" customFormat="1" ht="15" hidden="1" customHeight="1">
      <c r="A162" s="142">
        <v>158</v>
      </c>
      <c r="B162" s="143" t="s">
        <v>326</v>
      </c>
      <c r="C162" s="144" t="s">
        <v>327</v>
      </c>
      <c r="D162" s="143" t="s">
        <v>21</v>
      </c>
      <c r="E162" s="109"/>
      <c r="F162" s="111"/>
      <c r="G162" s="110">
        <v>346</v>
      </c>
      <c r="H162" s="3">
        <f t="shared" si="6"/>
        <v>0</v>
      </c>
      <c r="I162" s="3">
        <f t="shared" si="7"/>
        <v>0</v>
      </c>
      <c r="J162" s="110">
        <f t="shared" si="8"/>
        <v>346</v>
      </c>
      <c r="K162" s="110"/>
      <c r="L162" s="110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  <c r="BG162" s="111"/>
      <c r="BH162" s="111"/>
      <c r="BI162" s="111"/>
      <c r="BJ162" s="111"/>
      <c r="BK162" s="111"/>
      <c r="BL162" s="111"/>
      <c r="BM162" s="111"/>
      <c r="BN162" s="111"/>
      <c r="BO162" s="111"/>
      <c r="BP162" s="111"/>
      <c r="BQ162" s="111"/>
      <c r="BR162" s="111"/>
      <c r="BS162" s="111"/>
      <c r="BT162" s="111"/>
      <c r="BU162" s="111"/>
      <c r="BV162" s="111"/>
    </row>
    <row r="163" spans="1:74" s="50" customFormat="1" ht="15" hidden="1" customHeight="1">
      <c r="A163" s="111">
        <v>159</v>
      </c>
      <c r="B163" s="3" t="s">
        <v>328</v>
      </c>
      <c r="C163" s="17" t="s">
        <v>329</v>
      </c>
      <c r="D163" s="3" t="s">
        <v>21</v>
      </c>
      <c r="E163" s="109"/>
      <c r="F163" s="111"/>
      <c r="G163" s="110">
        <v>525</v>
      </c>
      <c r="H163" s="3">
        <f t="shared" si="6"/>
        <v>0</v>
      </c>
      <c r="I163" s="3">
        <f t="shared" si="7"/>
        <v>0</v>
      </c>
      <c r="J163" s="110">
        <f t="shared" si="8"/>
        <v>525</v>
      </c>
      <c r="K163" s="110"/>
      <c r="L163" s="110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11"/>
      <c r="BM163" s="111"/>
      <c r="BN163" s="111"/>
      <c r="BO163" s="111"/>
      <c r="BP163" s="111"/>
      <c r="BQ163" s="111"/>
      <c r="BR163" s="111"/>
      <c r="BS163" s="111"/>
      <c r="BT163" s="111"/>
      <c r="BU163" s="111"/>
      <c r="BV163" s="111"/>
    </row>
    <row r="164" spans="1:74" s="50" customFormat="1" ht="15" hidden="1" customHeight="1">
      <c r="A164" s="111">
        <v>160</v>
      </c>
      <c r="B164" s="3" t="s">
        <v>330</v>
      </c>
      <c r="C164" s="17" t="s">
        <v>331</v>
      </c>
      <c r="D164" s="3" t="s">
        <v>21</v>
      </c>
      <c r="E164" s="109"/>
      <c r="F164" s="111"/>
      <c r="G164" s="110">
        <v>2</v>
      </c>
      <c r="H164" s="3">
        <f t="shared" si="6"/>
        <v>0</v>
      </c>
      <c r="I164" s="3">
        <f t="shared" si="7"/>
        <v>0</v>
      </c>
      <c r="J164" s="110">
        <f t="shared" si="8"/>
        <v>2</v>
      </c>
      <c r="K164" s="110"/>
      <c r="L164" s="110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  <c r="BJ164" s="111"/>
      <c r="BK164" s="111"/>
      <c r="BL164" s="111"/>
      <c r="BM164" s="111"/>
      <c r="BN164" s="111"/>
      <c r="BO164" s="111"/>
      <c r="BP164" s="111"/>
      <c r="BQ164" s="111"/>
      <c r="BR164" s="111"/>
      <c r="BS164" s="111"/>
      <c r="BT164" s="111"/>
      <c r="BU164" s="111"/>
      <c r="BV164" s="111"/>
    </row>
    <row r="165" spans="1:74" s="50" customFormat="1" ht="15" hidden="1" customHeight="1">
      <c r="A165" s="111">
        <v>161</v>
      </c>
      <c r="B165" s="3" t="s">
        <v>332</v>
      </c>
      <c r="C165" s="17" t="s">
        <v>333</v>
      </c>
      <c r="D165" s="3" t="s">
        <v>21</v>
      </c>
      <c r="E165" s="109"/>
      <c r="F165" s="111"/>
      <c r="G165" s="110">
        <v>1</v>
      </c>
      <c r="H165" s="3">
        <f t="shared" si="6"/>
        <v>0</v>
      </c>
      <c r="I165" s="3">
        <f t="shared" si="7"/>
        <v>0</v>
      </c>
      <c r="J165" s="110">
        <f t="shared" si="8"/>
        <v>1</v>
      </c>
      <c r="K165" s="110"/>
      <c r="L165" s="110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  <c r="BJ165" s="111"/>
      <c r="BK165" s="111"/>
      <c r="BL165" s="111"/>
      <c r="BM165" s="111"/>
      <c r="BN165" s="111"/>
      <c r="BO165" s="111"/>
      <c r="BP165" s="111"/>
      <c r="BQ165" s="111"/>
      <c r="BR165" s="111"/>
      <c r="BS165" s="111"/>
      <c r="BT165" s="111"/>
      <c r="BU165" s="111"/>
      <c r="BV165" s="111"/>
    </row>
    <row r="166" spans="1:74" s="50" customFormat="1" ht="15" hidden="1" customHeight="1">
      <c r="A166" s="111">
        <v>162</v>
      </c>
      <c r="B166" s="3" t="s">
        <v>334</v>
      </c>
      <c r="C166" s="17" t="s">
        <v>335</v>
      </c>
      <c r="D166" s="3" t="s">
        <v>21</v>
      </c>
      <c r="E166" s="109"/>
      <c r="F166" s="111"/>
      <c r="G166" s="110">
        <v>24</v>
      </c>
      <c r="H166" s="3">
        <f t="shared" si="6"/>
        <v>0</v>
      </c>
      <c r="I166" s="3">
        <f t="shared" si="7"/>
        <v>0</v>
      </c>
      <c r="J166" s="110">
        <f t="shared" si="8"/>
        <v>24</v>
      </c>
      <c r="K166" s="110"/>
      <c r="L166" s="110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  <c r="BG166" s="111"/>
      <c r="BH166" s="111"/>
      <c r="BI166" s="111"/>
      <c r="BJ166" s="111"/>
      <c r="BK166" s="111"/>
      <c r="BL166" s="111"/>
      <c r="BM166" s="111"/>
      <c r="BN166" s="111"/>
      <c r="BO166" s="111"/>
      <c r="BP166" s="111"/>
      <c r="BQ166" s="111"/>
      <c r="BR166" s="111"/>
      <c r="BS166" s="111"/>
      <c r="BT166" s="111"/>
      <c r="BU166" s="111"/>
      <c r="BV166" s="111"/>
    </row>
    <row r="167" spans="1:74" s="50" customFormat="1" ht="15" hidden="1" customHeight="1">
      <c r="A167" s="111">
        <v>163</v>
      </c>
      <c r="B167" s="3" t="s">
        <v>336</v>
      </c>
      <c r="C167" s="17" t="s">
        <v>337</v>
      </c>
      <c r="D167" s="3" t="s">
        <v>21</v>
      </c>
      <c r="E167" s="109"/>
      <c r="F167" s="111"/>
      <c r="G167" s="110">
        <v>16</v>
      </c>
      <c r="H167" s="3">
        <f t="shared" si="6"/>
        <v>0</v>
      </c>
      <c r="I167" s="3">
        <f t="shared" si="7"/>
        <v>0</v>
      </c>
      <c r="J167" s="110">
        <f t="shared" si="8"/>
        <v>16</v>
      </c>
      <c r="K167" s="110"/>
      <c r="L167" s="110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1"/>
      <c r="BC167" s="111"/>
      <c r="BD167" s="111"/>
      <c r="BE167" s="111"/>
      <c r="BF167" s="111"/>
      <c r="BG167" s="111"/>
      <c r="BH167" s="111"/>
      <c r="BI167" s="111"/>
      <c r="BJ167" s="111"/>
      <c r="BK167" s="111"/>
      <c r="BL167" s="111"/>
      <c r="BM167" s="111"/>
      <c r="BN167" s="111"/>
      <c r="BO167" s="111"/>
      <c r="BP167" s="111"/>
      <c r="BQ167" s="111"/>
      <c r="BR167" s="111"/>
      <c r="BS167" s="111"/>
      <c r="BT167" s="111"/>
      <c r="BU167" s="111"/>
      <c r="BV167" s="111"/>
    </row>
    <row r="168" spans="1:74" s="50" customFormat="1" ht="15" hidden="1" customHeight="1">
      <c r="A168" s="142">
        <v>164</v>
      </c>
      <c r="B168" s="143" t="s">
        <v>338</v>
      </c>
      <c r="C168" s="144" t="s">
        <v>339</v>
      </c>
      <c r="D168" s="143" t="s">
        <v>21</v>
      </c>
      <c r="E168" s="109"/>
      <c r="F168" s="111"/>
      <c r="G168" s="110">
        <v>9</v>
      </c>
      <c r="H168" s="3">
        <f t="shared" si="6"/>
        <v>0</v>
      </c>
      <c r="I168" s="3">
        <f t="shared" si="7"/>
        <v>0</v>
      </c>
      <c r="J168" s="110">
        <f t="shared" si="8"/>
        <v>9</v>
      </c>
      <c r="K168" s="110"/>
      <c r="L168" s="110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  <c r="BG168" s="111"/>
      <c r="BH168" s="111"/>
      <c r="BI168" s="111"/>
      <c r="BJ168" s="111"/>
      <c r="BK168" s="111"/>
      <c r="BL168" s="111"/>
      <c r="BM168" s="111"/>
      <c r="BN168" s="111"/>
      <c r="BO168" s="111"/>
      <c r="BP168" s="111"/>
      <c r="BQ168" s="111"/>
      <c r="BR168" s="111"/>
      <c r="BS168" s="111"/>
      <c r="BT168" s="111"/>
      <c r="BU168" s="111"/>
      <c r="BV168" s="111"/>
    </row>
    <row r="169" spans="1:74" s="50" customFormat="1" ht="15" hidden="1" customHeight="1">
      <c r="A169" s="111">
        <v>165</v>
      </c>
      <c r="B169" s="3" t="s">
        <v>340</v>
      </c>
      <c r="C169" s="17" t="s">
        <v>341</v>
      </c>
      <c r="D169" s="3" t="s">
        <v>21</v>
      </c>
      <c r="E169" s="109"/>
      <c r="F169" s="111"/>
      <c r="G169" s="110">
        <v>898</v>
      </c>
      <c r="H169" s="3">
        <f t="shared" si="6"/>
        <v>0</v>
      </c>
      <c r="I169" s="3">
        <f t="shared" si="7"/>
        <v>0</v>
      </c>
      <c r="J169" s="110">
        <f t="shared" si="8"/>
        <v>898</v>
      </c>
      <c r="K169" s="110"/>
      <c r="L169" s="110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B169" s="111"/>
      <c r="BC169" s="111"/>
      <c r="BD169" s="111"/>
      <c r="BE169" s="111"/>
      <c r="BF169" s="111"/>
      <c r="BG169" s="111"/>
      <c r="BH169" s="111"/>
      <c r="BI169" s="111"/>
      <c r="BJ169" s="111"/>
      <c r="BK169" s="111"/>
      <c r="BL169" s="111"/>
      <c r="BM169" s="111"/>
      <c r="BN169" s="111"/>
      <c r="BO169" s="111"/>
      <c r="BP169" s="111"/>
      <c r="BQ169" s="111"/>
      <c r="BR169" s="111"/>
      <c r="BS169" s="111"/>
      <c r="BT169" s="111"/>
      <c r="BU169" s="111"/>
      <c r="BV169" s="111"/>
    </row>
    <row r="170" spans="1:74" s="50" customFormat="1" ht="15" hidden="1" customHeight="1">
      <c r="A170" s="142">
        <v>166</v>
      </c>
      <c r="B170" s="143" t="s">
        <v>342</v>
      </c>
      <c r="C170" s="322" t="s">
        <v>343</v>
      </c>
      <c r="D170" s="143" t="s">
        <v>21</v>
      </c>
      <c r="E170" s="109"/>
      <c r="F170" s="111"/>
      <c r="G170" s="110">
        <v>56</v>
      </c>
      <c r="H170" s="3">
        <f t="shared" si="6"/>
        <v>0</v>
      </c>
      <c r="I170" s="3">
        <f t="shared" si="7"/>
        <v>0</v>
      </c>
      <c r="J170" s="110">
        <f t="shared" si="8"/>
        <v>56</v>
      </c>
      <c r="K170" s="110"/>
      <c r="L170" s="110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11"/>
      <c r="BK170" s="111"/>
      <c r="BL170" s="111"/>
      <c r="BM170" s="111"/>
      <c r="BN170" s="111"/>
      <c r="BO170" s="111"/>
      <c r="BP170" s="111"/>
      <c r="BQ170" s="111"/>
      <c r="BR170" s="111"/>
      <c r="BS170" s="111"/>
      <c r="BT170" s="111"/>
      <c r="BU170" s="111"/>
      <c r="BV170" s="111"/>
    </row>
    <row r="171" spans="1:74" s="50" customFormat="1" ht="15" hidden="1" customHeight="1">
      <c r="A171" s="142">
        <v>167</v>
      </c>
      <c r="B171" s="143" t="s">
        <v>344</v>
      </c>
      <c r="C171" s="144" t="s">
        <v>345</v>
      </c>
      <c r="D171" s="143" t="s">
        <v>21</v>
      </c>
      <c r="E171" s="109"/>
      <c r="F171" s="111"/>
      <c r="G171" s="110">
        <v>51</v>
      </c>
      <c r="H171" s="3">
        <f t="shared" si="6"/>
        <v>0</v>
      </c>
      <c r="I171" s="3">
        <f t="shared" si="7"/>
        <v>0</v>
      </c>
      <c r="J171" s="110">
        <f t="shared" si="8"/>
        <v>51</v>
      </c>
      <c r="K171" s="110"/>
      <c r="L171" s="110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  <c r="BG171" s="111"/>
      <c r="BH171" s="111"/>
      <c r="BI171" s="111"/>
      <c r="BJ171" s="111"/>
      <c r="BK171" s="111"/>
      <c r="BL171" s="111"/>
      <c r="BM171" s="111"/>
      <c r="BN171" s="111"/>
      <c r="BO171" s="111"/>
      <c r="BP171" s="111"/>
      <c r="BQ171" s="111"/>
      <c r="BR171" s="111"/>
      <c r="BS171" s="111"/>
      <c r="BT171" s="111"/>
      <c r="BU171" s="111"/>
      <c r="BV171" s="111"/>
    </row>
    <row r="172" spans="1:74" s="50" customFormat="1" ht="15" hidden="1" customHeight="1">
      <c r="A172" s="111">
        <v>168</v>
      </c>
      <c r="B172" s="3" t="s">
        <v>346</v>
      </c>
      <c r="C172" s="17" t="s">
        <v>347</v>
      </c>
      <c r="D172" s="3" t="s">
        <v>21</v>
      </c>
      <c r="E172" s="109"/>
      <c r="F172" s="111"/>
      <c r="G172" s="110">
        <v>1</v>
      </c>
      <c r="H172" s="3">
        <f t="shared" si="6"/>
        <v>0</v>
      </c>
      <c r="I172" s="3">
        <f t="shared" si="7"/>
        <v>0</v>
      </c>
      <c r="J172" s="110">
        <f t="shared" si="8"/>
        <v>1</v>
      </c>
      <c r="K172" s="110"/>
      <c r="L172" s="110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  <c r="BJ172" s="111"/>
      <c r="BK172" s="111"/>
      <c r="BL172" s="111"/>
      <c r="BM172" s="111"/>
      <c r="BN172" s="111"/>
      <c r="BO172" s="111"/>
      <c r="BP172" s="111"/>
      <c r="BQ172" s="111"/>
      <c r="BR172" s="111"/>
      <c r="BS172" s="111"/>
      <c r="BT172" s="111"/>
      <c r="BU172" s="111"/>
      <c r="BV172" s="111"/>
    </row>
    <row r="173" spans="1:74" s="50" customFormat="1" ht="15" hidden="1" customHeight="1">
      <c r="A173" s="109">
        <v>169</v>
      </c>
      <c r="B173" s="26" t="s">
        <v>348</v>
      </c>
      <c r="C173" s="27" t="s">
        <v>349</v>
      </c>
      <c r="D173" s="26" t="s">
        <v>21</v>
      </c>
      <c r="E173" s="109"/>
      <c r="F173" s="109"/>
      <c r="G173" s="110">
        <v>10</v>
      </c>
      <c r="H173" s="3">
        <f t="shared" si="6"/>
        <v>0</v>
      </c>
      <c r="I173" s="3">
        <f t="shared" si="7"/>
        <v>0</v>
      </c>
      <c r="J173" s="110">
        <f t="shared" si="8"/>
        <v>10</v>
      </c>
      <c r="K173" s="110"/>
      <c r="L173" s="110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1"/>
      <c r="BC173" s="111"/>
      <c r="BD173" s="111"/>
      <c r="BE173" s="111"/>
      <c r="BF173" s="111"/>
      <c r="BG173" s="111"/>
      <c r="BH173" s="111"/>
      <c r="BI173" s="111"/>
      <c r="BJ173" s="111"/>
      <c r="BK173" s="111"/>
      <c r="BL173" s="111"/>
      <c r="BM173" s="111"/>
      <c r="BN173" s="111"/>
      <c r="BO173" s="111"/>
      <c r="BP173" s="111"/>
      <c r="BQ173" s="111"/>
      <c r="BR173" s="111"/>
      <c r="BS173" s="111"/>
      <c r="BT173" s="111"/>
      <c r="BU173" s="111"/>
      <c r="BV173" s="111"/>
    </row>
    <row r="174" spans="1:74" s="50" customFormat="1" ht="30" hidden="1" customHeight="1">
      <c r="A174" s="109">
        <v>170</v>
      </c>
      <c r="B174" s="26" t="s">
        <v>350</v>
      </c>
      <c r="C174" s="27" t="s">
        <v>351</v>
      </c>
      <c r="D174" s="26" t="s">
        <v>21</v>
      </c>
      <c r="E174" s="109"/>
      <c r="F174" s="109"/>
      <c r="G174" s="110">
        <v>160</v>
      </c>
      <c r="H174" s="3">
        <f t="shared" si="6"/>
        <v>0</v>
      </c>
      <c r="I174" s="3">
        <f t="shared" si="7"/>
        <v>0</v>
      </c>
      <c r="J174" s="110">
        <f t="shared" si="8"/>
        <v>160</v>
      </c>
      <c r="K174" s="110"/>
      <c r="L174" s="110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1"/>
      <c r="BC174" s="111"/>
      <c r="BD174" s="111"/>
      <c r="BE174" s="111"/>
      <c r="BF174" s="111"/>
      <c r="BG174" s="111"/>
      <c r="BH174" s="111"/>
      <c r="BI174" s="111"/>
      <c r="BJ174" s="111"/>
      <c r="BK174" s="111"/>
      <c r="BL174" s="111"/>
      <c r="BM174" s="111"/>
      <c r="BN174" s="111"/>
      <c r="BO174" s="111"/>
      <c r="BP174" s="111"/>
      <c r="BQ174" s="111"/>
      <c r="BR174" s="111"/>
      <c r="BS174" s="111"/>
      <c r="BT174" s="111"/>
      <c r="BU174" s="111"/>
      <c r="BV174" s="111"/>
    </row>
    <row r="175" spans="1:74" s="50" customFormat="1" ht="15" hidden="1" customHeight="1">
      <c r="A175" s="142">
        <v>171</v>
      </c>
      <c r="B175" s="143" t="s">
        <v>352</v>
      </c>
      <c r="C175" s="144" t="s">
        <v>353</v>
      </c>
      <c r="D175" s="143" t="s">
        <v>21</v>
      </c>
      <c r="E175" s="109"/>
      <c r="F175" s="109"/>
      <c r="G175" s="110">
        <v>146</v>
      </c>
      <c r="H175" s="3">
        <f t="shared" si="6"/>
        <v>0</v>
      </c>
      <c r="I175" s="3">
        <f t="shared" si="7"/>
        <v>0</v>
      </c>
      <c r="J175" s="110">
        <f t="shared" si="8"/>
        <v>146</v>
      </c>
      <c r="K175" s="110"/>
      <c r="L175" s="110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  <c r="BJ175" s="111"/>
      <c r="BK175" s="111"/>
      <c r="BL175" s="111"/>
      <c r="BM175" s="111"/>
      <c r="BN175" s="111"/>
      <c r="BO175" s="111"/>
      <c r="BP175" s="111"/>
      <c r="BQ175" s="111"/>
      <c r="BR175" s="111"/>
      <c r="BS175" s="111"/>
      <c r="BT175" s="111"/>
      <c r="BU175" s="111"/>
      <c r="BV175" s="111"/>
    </row>
    <row r="176" spans="1:74" s="50" customFormat="1" ht="15" hidden="1" customHeight="1">
      <c r="A176" s="142">
        <v>172</v>
      </c>
      <c r="B176" s="143" t="s">
        <v>354</v>
      </c>
      <c r="C176" s="144" t="s">
        <v>355</v>
      </c>
      <c r="D176" s="143" t="s">
        <v>21</v>
      </c>
      <c r="E176" s="109"/>
      <c r="F176" s="109"/>
      <c r="G176" s="110">
        <v>514</v>
      </c>
      <c r="H176" s="3">
        <f t="shared" si="6"/>
        <v>0</v>
      </c>
      <c r="I176" s="3">
        <f t="shared" si="7"/>
        <v>0</v>
      </c>
      <c r="J176" s="110">
        <f t="shared" si="8"/>
        <v>514</v>
      </c>
      <c r="K176" s="110"/>
      <c r="L176" s="110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/>
      <c r="BP176" s="111"/>
      <c r="BQ176" s="111"/>
      <c r="BR176" s="111"/>
      <c r="BS176" s="111"/>
      <c r="BT176" s="111"/>
      <c r="BU176" s="111"/>
      <c r="BV176" s="111"/>
    </row>
    <row r="177" spans="1:74" s="50" customFormat="1" ht="15" hidden="1" customHeight="1">
      <c r="A177" s="109">
        <v>173</v>
      </c>
      <c r="B177" s="26" t="s">
        <v>356</v>
      </c>
      <c r="C177" s="27" t="s">
        <v>357</v>
      </c>
      <c r="D177" s="26" t="s">
        <v>21</v>
      </c>
      <c r="E177" s="109"/>
      <c r="F177" s="109"/>
      <c r="G177" s="110">
        <v>1730</v>
      </c>
      <c r="H177" s="3">
        <f t="shared" si="6"/>
        <v>0</v>
      </c>
      <c r="I177" s="3">
        <f t="shared" si="7"/>
        <v>0</v>
      </c>
      <c r="J177" s="110">
        <f t="shared" si="8"/>
        <v>1730</v>
      </c>
      <c r="K177" s="110"/>
      <c r="L177" s="110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3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/>
      <c r="BP177" s="111"/>
      <c r="BQ177" s="111"/>
      <c r="BR177" s="111"/>
      <c r="BS177" s="111"/>
      <c r="BT177" s="111"/>
      <c r="BU177" s="111"/>
      <c r="BV177" s="111"/>
    </row>
    <row r="178" spans="1:74" s="50" customFormat="1" ht="15" hidden="1" customHeight="1">
      <c r="A178" s="142">
        <v>174</v>
      </c>
      <c r="B178" s="147" t="s">
        <v>358</v>
      </c>
      <c r="C178" s="148" t="s">
        <v>359</v>
      </c>
      <c r="D178" s="147" t="s">
        <v>21</v>
      </c>
      <c r="E178" s="254"/>
      <c r="F178" s="254"/>
      <c r="G178" s="110">
        <v>158</v>
      </c>
      <c r="H178" s="3">
        <f t="shared" si="6"/>
        <v>0</v>
      </c>
      <c r="I178" s="3">
        <f t="shared" si="7"/>
        <v>74</v>
      </c>
      <c r="J178" s="110">
        <f t="shared" si="8"/>
        <v>84</v>
      </c>
      <c r="K178" s="110"/>
      <c r="L178" s="110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>
        <v>18</v>
      </c>
      <c r="AA178" s="111"/>
      <c r="AB178" s="111"/>
      <c r="AC178" s="111"/>
      <c r="AD178" s="111">
        <f>12+18</f>
        <v>30</v>
      </c>
      <c r="AE178" s="111"/>
      <c r="AF178" s="111">
        <v>20</v>
      </c>
      <c r="AG178" s="111"/>
      <c r="AH178" s="111">
        <v>6</v>
      </c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11"/>
      <c r="BM178" s="111"/>
      <c r="BN178" s="111"/>
      <c r="BO178" s="111"/>
      <c r="BP178" s="111"/>
      <c r="BQ178" s="111"/>
      <c r="BR178" s="111"/>
      <c r="BS178" s="111"/>
      <c r="BT178" s="111"/>
      <c r="BU178" s="111"/>
      <c r="BV178" s="111"/>
    </row>
    <row r="179" spans="1:74" s="50" customFormat="1" ht="15" hidden="1" customHeight="1">
      <c r="A179" s="142">
        <v>175</v>
      </c>
      <c r="B179" s="143" t="s">
        <v>360</v>
      </c>
      <c r="C179" s="144" t="s">
        <v>361</v>
      </c>
      <c r="D179" s="143" t="s">
        <v>21</v>
      </c>
      <c r="E179" s="109"/>
      <c r="F179" s="109"/>
      <c r="G179" s="110">
        <v>117</v>
      </c>
      <c r="H179" s="3">
        <f t="shared" si="6"/>
        <v>0</v>
      </c>
      <c r="I179" s="3">
        <f t="shared" si="7"/>
        <v>117</v>
      </c>
      <c r="J179" s="110">
        <f t="shared" si="8"/>
        <v>0</v>
      </c>
      <c r="K179" s="110"/>
      <c r="L179" s="110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>
        <v>50</v>
      </c>
      <c r="AA179" s="111"/>
      <c r="AB179" s="111">
        <v>30</v>
      </c>
      <c r="AC179" s="111"/>
      <c r="AD179" s="111">
        <f>20+17</f>
        <v>37</v>
      </c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/>
      <c r="BP179" s="111"/>
      <c r="BQ179" s="111"/>
      <c r="BR179" s="111"/>
      <c r="BS179" s="111"/>
      <c r="BT179" s="111"/>
      <c r="BU179" s="111"/>
      <c r="BV179" s="111"/>
    </row>
    <row r="180" spans="1:74" s="50" customFormat="1" ht="15" hidden="1" customHeight="1">
      <c r="A180" s="109">
        <v>176</v>
      </c>
      <c r="B180" s="26" t="s">
        <v>362</v>
      </c>
      <c r="C180" s="27" t="s">
        <v>363</v>
      </c>
      <c r="D180" s="26" t="s">
        <v>21</v>
      </c>
      <c r="E180" s="109"/>
      <c r="F180" s="109"/>
      <c r="G180" s="110">
        <v>17</v>
      </c>
      <c r="H180" s="3">
        <f t="shared" si="6"/>
        <v>0</v>
      </c>
      <c r="I180" s="3">
        <f t="shared" si="7"/>
        <v>0</v>
      </c>
      <c r="J180" s="110">
        <f t="shared" si="8"/>
        <v>17</v>
      </c>
      <c r="K180" s="110"/>
      <c r="L180" s="110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11"/>
      <c r="BN180" s="111"/>
      <c r="BO180" s="111"/>
      <c r="BP180" s="111"/>
      <c r="BQ180" s="111"/>
      <c r="BR180" s="111"/>
      <c r="BS180" s="111"/>
      <c r="BT180" s="111"/>
      <c r="BU180" s="111"/>
      <c r="BV180" s="111"/>
    </row>
    <row r="181" spans="1:74" s="50" customFormat="1" ht="15" hidden="1" customHeight="1">
      <c r="A181" s="142">
        <v>177</v>
      </c>
      <c r="B181" s="143" t="s">
        <v>364</v>
      </c>
      <c r="C181" s="144" t="s">
        <v>365</v>
      </c>
      <c r="D181" s="143" t="s">
        <v>21</v>
      </c>
      <c r="E181" s="109"/>
      <c r="F181" s="109"/>
      <c r="G181" s="110">
        <v>660</v>
      </c>
      <c r="H181" s="3">
        <f t="shared" si="6"/>
        <v>0</v>
      </c>
      <c r="I181" s="3">
        <f t="shared" si="7"/>
        <v>80</v>
      </c>
      <c r="J181" s="110">
        <f t="shared" si="8"/>
        <v>580</v>
      </c>
      <c r="K181" s="110"/>
      <c r="L181" s="110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>
        <v>60</v>
      </c>
      <c r="AE181" s="111"/>
      <c r="AF181" s="111">
        <v>20</v>
      </c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  <c r="BJ181" s="111"/>
      <c r="BK181" s="111"/>
      <c r="BL181" s="111"/>
      <c r="BM181" s="111"/>
      <c r="BN181" s="111"/>
      <c r="BO181" s="111"/>
      <c r="BP181" s="111"/>
      <c r="BQ181" s="111"/>
      <c r="BR181" s="111"/>
      <c r="BS181" s="111"/>
      <c r="BT181" s="111"/>
      <c r="BU181" s="111"/>
      <c r="BV181" s="111"/>
    </row>
    <row r="182" spans="1:74" s="50" customFormat="1" ht="15" hidden="1" customHeight="1">
      <c r="A182" s="142">
        <v>178</v>
      </c>
      <c r="B182" s="143" t="s">
        <v>366</v>
      </c>
      <c r="C182" s="144" t="s">
        <v>367</v>
      </c>
      <c r="D182" s="143" t="s">
        <v>21</v>
      </c>
      <c r="E182" s="109"/>
      <c r="F182" s="109"/>
      <c r="G182" s="110">
        <v>250</v>
      </c>
      <c r="H182" s="3">
        <f t="shared" si="6"/>
        <v>0</v>
      </c>
      <c r="I182" s="3">
        <f t="shared" si="7"/>
        <v>50</v>
      </c>
      <c r="J182" s="110">
        <f t="shared" si="8"/>
        <v>200</v>
      </c>
      <c r="K182" s="110"/>
      <c r="L182" s="110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>
        <v>50</v>
      </c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1"/>
      <c r="BC182" s="111"/>
      <c r="BD182" s="111"/>
      <c r="BE182" s="111"/>
      <c r="BF182" s="111"/>
      <c r="BG182" s="111"/>
      <c r="BH182" s="111"/>
      <c r="BI182" s="111"/>
      <c r="BJ182" s="111"/>
      <c r="BK182" s="111"/>
      <c r="BL182" s="111"/>
      <c r="BM182" s="111"/>
      <c r="BN182" s="111"/>
      <c r="BO182" s="111"/>
      <c r="BP182" s="111"/>
      <c r="BQ182" s="111"/>
      <c r="BR182" s="111"/>
      <c r="BS182" s="111"/>
      <c r="BT182" s="111"/>
      <c r="BU182" s="111"/>
      <c r="BV182" s="111"/>
    </row>
    <row r="183" spans="1:74" s="50" customFormat="1" ht="15" hidden="1" customHeight="1">
      <c r="A183" s="109">
        <v>179</v>
      </c>
      <c r="B183" s="26" t="s">
        <v>368</v>
      </c>
      <c r="C183" s="27" t="s">
        <v>369</v>
      </c>
      <c r="D183" s="26" t="s">
        <v>21</v>
      </c>
      <c r="E183" s="109"/>
      <c r="F183" s="109"/>
      <c r="G183" s="110">
        <v>9</v>
      </c>
      <c r="H183" s="3">
        <f t="shared" ref="H183:H246" si="9">SUM(M183+O183+Q183+S183+U183+W183+Y183+AA183+AC183+AE183+AG183+AI183+AK183+AM183+AO183+AQ183+AS183+AU183+AW183+AY183+BA183+BC183+BE183+BG183+BI183+BK183+BM183+BO183+BQ183+BS183+BU183)</f>
        <v>0</v>
      </c>
      <c r="I183" s="3">
        <f t="shared" ref="I183:I246" si="10">SUM(N183+P183+R183+T183+V183+X183+Z183+AB183+AD183+AF183+AH183+AJ183+AL183+AN183+AP183+AR183+AT183+AV183+AX183+AZ183+BB183+BD183+BF183+BH183+BJ183+BL183+BN183+BP183+BR183+BT183+BV183)</f>
        <v>0</v>
      </c>
      <c r="J183" s="110">
        <f t="shared" ref="J183:J246" si="11">G183+H183-I183</f>
        <v>9</v>
      </c>
      <c r="K183" s="110"/>
      <c r="L183" s="110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1"/>
      <c r="BC183" s="111"/>
      <c r="BD183" s="111"/>
      <c r="BE183" s="111"/>
      <c r="BF183" s="111"/>
      <c r="BG183" s="111"/>
      <c r="BH183" s="111"/>
      <c r="BI183" s="111"/>
      <c r="BJ183" s="111"/>
      <c r="BK183" s="111"/>
      <c r="BL183" s="111"/>
      <c r="BM183" s="111"/>
      <c r="BN183" s="111"/>
      <c r="BO183" s="111"/>
      <c r="BP183" s="111"/>
      <c r="BQ183" s="111"/>
      <c r="BR183" s="111"/>
      <c r="BS183" s="111"/>
      <c r="BT183" s="111"/>
      <c r="BU183" s="111"/>
      <c r="BV183" s="111"/>
    </row>
    <row r="184" spans="1:74" s="50" customFormat="1" ht="15" hidden="1" customHeight="1">
      <c r="A184" s="109">
        <v>180</v>
      </c>
      <c r="B184" s="26" t="s">
        <v>370</v>
      </c>
      <c r="C184" s="27" t="s">
        <v>371</v>
      </c>
      <c r="D184" s="26" t="s">
        <v>21</v>
      </c>
      <c r="E184" s="109"/>
      <c r="F184" s="109"/>
      <c r="G184" s="110">
        <v>74</v>
      </c>
      <c r="H184" s="3">
        <f t="shared" si="9"/>
        <v>0</v>
      </c>
      <c r="I184" s="3">
        <f t="shared" si="10"/>
        <v>0</v>
      </c>
      <c r="J184" s="110">
        <f t="shared" si="11"/>
        <v>74</v>
      </c>
      <c r="K184" s="110"/>
      <c r="L184" s="110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1"/>
      <c r="BC184" s="111"/>
      <c r="BD184" s="111"/>
      <c r="BE184" s="111"/>
      <c r="BF184" s="111"/>
      <c r="BG184" s="111"/>
      <c r="BH184" s="111"/>
      <c r="BI184" s="111"/>
      <c r="BJ184" s="111"/>
      <c r="BK184" s="111"/>
      <c r="BL184" s="111"/>
      <c r="BM184" s="111"/>
      <c r="BN184" s="111"/>
      <c r="BO184" s="111"/>
      <c r="BP184" s="111"/>
      <c r="BQ184" s="111"/>
      <c r="BR184" s="111"/>
      <c r="BS184" s="111"/>
      <c r="BT184" s="111"/>
      <c r="BU184" s="111"/>
      <c r="BV184" s="111"/>
    </row>
    <row r="185" spans="1:74" s="50" customFormat="1" ht="15" hidden="1" customHeight="1">
      <c r="A185" s="109">
        <v>181</v>
      </c>
      <c r="B185" s="26" t="s">
        <v>372</v>
      </c>
      <c r="C185" s="27" t="s">
        <v>373</v>
      </c>
      <c r="D185" s="26" t="s">
        <v>21</v>
      </c>
      <c r="E185" s="109"/>
      <c r="F185" s="109"/>
      <c r="G185" s="110">
        <v>19</v>
      </c>
      <c r="H185" s="3">
        <f t="shared" si="9"/>
        <v>0</v>
      </c>
      <c r="I185" s="3">
        <f t="shared" si="10"/>
        <v>0</v>
      </c>
      <c r="J185" s="110">
        <f t="shared" si="11"/>
        <v>19</v>
      </c>
      <c r="K185" s="110"/>
      <c r="L185" s="110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1"/>
      <c r="BC185" s="111"/>
      <c r="BD185" s="111"/>
      <c r="BE185" s="111"/>
      <c r="BF185" s="111"/>
      <c r="BG185" s="111"/>
      <c r="BH185" s="111"/>
      <c r="BI185" s="111"/>
      <c r="BJ185" s="111"/>
      <c r="BK185" s="111"/>
      <c r="BL185" s="111"/>
      <c r="BM185" s="111"/>
      <c r="BN185" s="111"/>
      <c r="BO185" s="111"/>
      <c r="BP185" s="111"/>
      <c r="BQ185" s="111"/>
      <c r="BR185" s="111"/>
      <c r="BS185" s="111"/>
      <c r="BT185" s="111"/>
      <c r="BU185" s="111"/>
      <c r="BV185" s="111"/>
    </row>
    <row r="186" spans="1:74" s="50" customFormat="1" ht="15" hidden="1" customHeight="1">
      <c r="A186" s="109">
        <v>182</v>
      </c>
      <c r="B186" s="26" t="s">
        <v>374</v>
      </c>
      <c r="C186" s="27" t="s">
        <v>375</v>
      </c>
      <c r="D186" s="26" t="s">
        <v>21</v>
      </c>
      <c r="E186" s="109"/>
      <c r="F186" s="109"/>
      <c r="G186" s="108">
        <v>151</v>
      </c>
      <c r="H186" s="26">
        <f t="shared" si="9"/>
        <v>0</v>
      </c>
      <c r="I186" s="26">
        <f t="shared" si="10"/>
        <v>0</v>
      </c>
      <c r="J186" s="108">
        <f t="shared" si="11"/>
        <v>151</v>
      </c>
      <c r="K186" s="108"/>
      <c r="L186" s="108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1"/>
      <c r="BC186" s="111"/>
      <c r="BD186" s="111"/>
      <c r="BE186" s="111"/>
      <c r="BF186" s="111"/>
      <c r="BG186" s="111"/>
      <c r="BH186" s="111"/>
      <c r="BI186" s="111"/>
      <c r="BJ186" s="111"/>
      <c r="BK186" s="111"/>
      <c r="BL186" s="111"/>
      <c r="BM186" s="111"/>
      <c r="BN186" s="111"/>
      <c r="BO186" s="111"/>
      <c r="BP186" s="111"/>
      <c r="BQ186" s="111"/>
      <c r="BR186" s="111"/>
      <c r="BS186" s="111"/>
      <c r="BT186" s="111"/>
      <c r="BU186" s="111"/>
      <c r="BV186" s="111"/>
    </row>
    <row r="187" spans="1:74" s="50" customFormat="1" ht="15" hidden="1" customHeight="1">
      <c r="A187" s="142">
        <v>183</v>
      </c>
      <c r="B187" s="143" t="s">
        <v>376</v>
      </c>
      <c r="C187" s="144" t="s">
        <v>377</v>
      </c>
      <c r="D187" s="143" t="s">
        <v>21</v>
      </c>
      <c r="E187" s="109"/>
      <c r="F187" s="109"/>
      <c r="G187" s="110">
        <v>107</v>
      </c>
      <c r="H187" s="3">
        <f t="shared" si="9"/>
        <v>0</v>
      </c>
      <c r="I187" s="3">
        <f t="shared" si="10"/>
        <v>0</v>
      </c>
      <c r="J187" s="110">
        <f t="shared" si="11"/>
        <v>107</v>
      </c>
      <c r="K187" s="110"/>
      <c r="L187" s="110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1"/>
      <c r="BC187" s="111"/>
      <c r="BD187" s="111"/>
      <c r="BE187" s="111"/>
      <c r="BF187" s="111"/>
      <c r="BG187" s="111"/>
      <c r="BH187" s="111"/>
      <c r="BI187" s="111"/>
      <c r="BJ187" s="111"/>
      <c r="BK187" s="111"/>
      <c r="BL187" s="111"/>
      <c r="BM187" s="111"/>
      <c r="BN187" s="111"/>
      <c r="BO187" s="111"/>
      <c r="BP187" s="111"/>
      <c r="BQ187" s="111"/>
      <c r="BR187" s="111"/>
      <c r="BS187" s="111"/>
      <c r="BT187" s="111"/>
      <c r="BU187" s="111"/>
      <c r="BV187" s="111"/>
    </row>
    <row r="188" spans="1:74" s="50" customFormat="1" ht="15" hidden="1" customHeight="1">
      <c r="A188" s="109">
        <v>184</v>
      </c>
      <c r="B188" s="26" t="s">
        <v>378</v>
      </c>
      <c r="C188" s="27" t="s">
        <v>379</v>
      </c>
      <c r="D188" s="26" t="s">
        <v>21</v>
      </c>
      <c r="E188" s="109"/>
      <c r="F188" s="109"/>
      <c r="G188" s="110">
        <v>685</v>
      </c>
      <c r="H188" s="3">
        <f t="shared" si="9"/>
        <v>0</v>
      </c>
      <c r="I188" s="3">
        <f t="shared" si="10"/>
        <v>0</v>
      </c>
      <c r="J188" s="110">
        <f t="shared" si="11"/>
        <v>685</v>
      </c>
      <c r="K188" s="110"/>
      <c r="L188" s="110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1"/>
      <c r="BC188" s="111"/>
      <c r="BD188" s="111"/>
      <c r="BE188" s="111"/>
      <c r="BF188" s="111"/>
      <c r="BG188" s="111"/>
      <c r="BH188" s="111"/>
      <c r="BI188" s="111"/>
      <c r="BJ188" s="111"/>
      <c r="BK188" s="111"/>
      <c r="BL188" s="111"/>
      <c r="BM188" s="111"/>
      <c r="BN188" s="111"/>
      <c r="BO188" s="111"/>
      <c r="BP188" s="111"/>
      <c r="BQ188" s="111"/>
      <c r="BR188" s="111"/>
      <c r="BS188" s="111"/>
      <c r="BT188" s="111"/>
      <c r="BU188" s="111"/>
      <c r="BV188" s="111"/>
    </row>
    <row r="189" spans="1:74" s="50" customFormat="1" ht="15" hidden="1" customHeight="1">
      <c r="A189" s="109">
        <v>185</v>
      </c>
      <c r="B189" s="26" t="s">
        <v>380</v>
      </c>
      <c r="C189" s="27" t="s">
        <v>381</v>
      </c>
      <c r="D189" s="26" t="s">
        <v>21</v>
      </c>
      <c r="E189" s="109"/>
      <c r="F189" s="109"/>
      <c r="G189" s="108">
        <v>10</v>
      </c>
      <c r="H189" s="26">
        <f t="shared" si="9"/>
        <v>0</v>
      </c>
      <c r="I189" s="26">
        <f t="shared" si="10"/>
        <v>0</v>
      </c>
      <c r="J189" s="108">
        <f t="shared" si="11"/>
        <v>10</v>
      </c>
      <c r="K189" s="108"/>
      <c r="L189" s="108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  <c r="BG189" s="111"/>
      <c r="BH189" s="111"/>
      <c r="BI189" s="111"/>
      <c r="BJ189" s="111"/>
      <c r="BK189" s="111"/>
      <c r="BL189" s="111"/>
      <c r="BM189" s="111"/>
      <c r="BN189" s="111"/>
      <c r="BO189" s="111"/>
      <c r="BP189" s="111"/>
      <c r="BQ189" s="111"/>
      <c r="BR189" s="111"/>
      <c r="BS189" s="111"/>
      <c r="BT189" s="111"/>
      <c r="BU189" s="111"/>
      <c r="BV189" s="111"/>
    </row>
    <row r="190" spans="1:74" s="50" customFormat="1" ht="15" hidden="1" customHeight="1">
      <c r="A190" s="109">
        <v>186</v>
      </c>
      <c r="B190" s="26" t="s">
        <v>382</v>
      </c>
      <c r="C190" s="27" t="s">
        <v>383</v>
      </c>
      <c r="D190" s="26" t="s">
        <v>21</v>
      </c>
      <c r="E190" s="109"/>
      <c r="F190" s="109"/>
      <c r="G190" s="110">
        <v>40</v>
      </c>
      <c r="H190" s="3">
        <f t="shared" si="9"/>
        <v>0</v>
      </c>
      <c r="I190" s="3">
        <f t="shared" si="10"/>
        <v>0</v>
      </c>
      <c r="J190" s="110">
        <f t="shared" si="11"/>
        <v>40</v>
      </c>
      <c r="K190" s="110"/>
      <c r="L190" s="110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1"/>
      <c r="BC190" s="111"/>
      <c r="BD190" s="111"/>
      <c r="BE190" s="111"/>
      <c r="BF190" s="111"/>
      <c r="BG190" s="111"/>
      <c r="BH190" s="111"/>
      <c r="BI190" s="111"/>
      <c r="BJ190" s="111"/>
      <c r="BK190" s="111"/>
      <c r="BL190" s="111"/>
      <c r="BM190" s="111"/>
      <c r="BN190" s="111"/>
      <c r="BO190" s="111"/>
      <c r="BP190" s="111"/>
      <c r="BQ190" s="111"/>
      <c r="BR190" s="111"/>
      <c r="BS190" s="111"/>
      <c r="BT190" s="111"/>
      <c r="BU190" s="111"/>
      <c r="BV190" s="111"/>
    </row>
    <row r="191" spans="1:74" s="50" customFormat="1" ht="15" hidden="1" customHeight="1">
      <c r="A191" s="109">
        <v>187</v>
      </c>
      <c r="B191" s="26" t="s">
        <v>384</v>
      </c>
      <c r="C191" s="27" t="s">
        <v>385</v>
      </c>
      <c r="D191" s="26" t="s">
        <v>21</v>
      </c>
      <c r="E191" s="109"/>
      <c r="F191" s="109"/>
      <c r="G191" s="110">
        <v>42</v>
      </c>
      <c r="H191" s="3">
        <f t="shared" si="9"/>
        <v>0</v>
      </c>
      <c r="I191" s="127">
        <f t="shared" si="10"/>
        <v>0</v>
      </c>
      <c r="J191" s="110">
        <f t="shared" si="11"/>
        <v>42</v>
      </c>
      <c r="K191" s="110"/>
      <c r="L191" s="110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  <c r="BG191" s="111"/>
      <c r="BH191" s="111"/>
      <c r="BI191" s="111"/>
      <c r="BJ191" s="111"/>
      <c r="BK191" s="111"/>
      <c r="BL191" s="111"/>
      <c r="BM191" s="111"/>
      <c r="BN191" s="111"/>
      <c r="BO191" s="111"/>
      <c r="BP191" s="111"/>
      <c r="BQ191" s="111"/>
      <c r="BR191" s="111"/>
      <c r="BS191" s="111"/>
      <c r="BT191" s="111"/>
      <c r="BU191" s="111"/>
      <c r="BV191" s="111"/>
    </row>
    <row r="192" spans="1:74" s="50" customFormat="1" ht="15" hidden="1" customHeight="1">
      <c r="A192" s="109">
        <v>188</v>
      </c>
      <c r="B192" s="26" t="s">
        <v>386</v>
      </c>
      <c r="C192" s="27" t="s">
        <v>387</v>
      </c>
      <c r="D192" s="26" t="s">
        <v>21</v>
      </c>
      <c r="E192" s="109"/>
      <c r="F192" s="109"/>
      <c r="G192" s="110">
        <v>3</v>
      </c>
      <c r="H192" s="3">
        <f t="shared" si="9"/>
        <v>0</v>
      </c>
      <c r="I192" s="3">
        <f t="shared" si="10"/>
        <v>0</v>
      </c>
      <c r="J192" s="110">
        <f t="shared" si="11"/>
        <v>3</v>
      </c>
      <c r="K192" s="110"/>
      <c r="L192" s="110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0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  <c r="BG192" s="111"/>
      <c r="BH192" s="111"/>
      <c r="BI192" s="111"/>
      <c r="BJ192" s="111"/>
      <c r="BK192" s="111"/>
      <c r="BL192" s="111"/>
      <c r="BM192" s="111"/>
      <c r="BN192" s="111"/>
      <c r="BO192" s="111"/>
      <c r="BP192" s="111"/>
      <c r="BQ192" s="111"/>
      <c r="BR192" s="111"/>
      <c r="BS192" s="111"/>
      <c r="BT192" s="111"/>
      <c r="BU192" s="111"/>
      <c r="BV192" s="111"/>
    </row>
    <row r="193" spans="1:74" s="50" customFormat="1" ht="15" hidden="1" customHeight="1">
      <c r="A193" s="109">
        <v>189</v>
      </c>
      <c r="B193" s="26" t="s">
        <v>388</v>
      </c>
      <c r="C193" s="27" t="s">
        <v>389</v>
      </c>
      <c r="D193" s="26" t="s">
        <v>21</v>
      </c>
      <c r="E193" s="109"/>
      <c r="F193" s="109"/>
      <c r="G193" s="110">
        <v>3</v>
      </c>
      <c r="H193" s="3">
        <f t="shared" si="9"/>
        <v>0</v>
      </c>
      <c r="I193" s="3">
        <f t="shared" si="10"/>
        <v>0</v>
      </c>
      <c r="J193" s="110">
        <f t="shared" si="11"/>
        <v>3</v>
      </c>
      <c r="K193" s="110"/>
      <c r="L193" s="110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0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111"/>
      <c r="BG193" s="111"/>
      <c r="BH193" s="111"/>
      <c r="BI193" s="111"/>
      <c r="BJ193" s="111"/>
      <c r="BK193" s="111"/>
      <c r="BL193" s="111"/>
      <c r="BM193" s="111"/>
      <c r="BN193" s="111"/>
      <c r="BO193" s="111"/>
      <c r="BP193" s="111"/>
      <c r="BQ193" s="111"/>
      <c r="BR193" s="111"/>
      <c r="BS193" s="111"/>
      <c r="BT193" s="111"/>
      <c r="BU193" s="111"/>
      <c r="BV193" s="111"/>
    </row>
    <row r="194" spans="1:74" s="50" customFormat="1" ht="15" hidden="1" customHeight="1">
      <c r="A194" s="109">
        <v>190</v>
      </c>
      <c r="B194" s="26" t="s">
        <v>390</v>
      </c>
      <c r="C194" s="27" t="s">
        <v>391</v>
      </c>
      <c r="D194" s="26" t="s">
        <v>21</v>
      </c>
      <c r="E194" s="109"/>
      <c r="F194" s="109"/>
      <c r="G194" s="110">
        <v>13</v>
      </c>
      <c r="H194" s="3">
        <f t="shared" si="9"/>
        <v>0</v>
      </c>
      <c r="I194" s="3">
        <f t="shared" si="10"/>
        <v>0</v>
      </c>
      <c r="J194" s="110">
        <f t="shared" si="11"/>
        <v>13</v>
      </c>
      <c r="K194" s="110"/>
      <c r="L194" s="110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0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B194" s="111"/>
      <c r="BC194" s="111"/>
      <c r="BD194" s="111"/>
      <c r="BE194" s="111"/>
      <c r="BF194" s="111"/>
      <c r="BG194" s="111"/>
      <c r="BH194" s="111"/>
      <c r="BI194" s="111"/>
      <c r="BJ194" s="111"/>
      <c r="BK194" s="111"/>
      <c r="BL194" s="111"/>
      <c r="BM194" s="111"/>
      <c r="BN194" s="111"/>
      <c r="BO194" s="111"/>
      <c r="BP194" s="111"/>
      <c r="BQ194" s="111"/>
      <c r="BR194" s="111"/>
      <c r="BS194" s="111"/>
      <c r="BT194" s="111"/>
      <c r="BU194" s="111"/>
      <c r="BV194" s="111"/>
    </row>
    <row r="195" spans="1:74" s="50" customFormat="1" ht="15" hidden="1" customHeight="1">
      <c r="A195" s="109">
        <v>191</v>
      </c>
      <c r="B195" s="26" t="s">
        <v>392</v>
      </c>
      <c r="C195" s="27" t="s">
        <v>393</v>
      </c>
      <c r="D195" s="26" t="s">
        <v>21</v>
      </c>
      <c r="E195" s="109"/>
      <c r="F195" s="109"/>
      <c r="G195" s="110">
        <v>13</v>
      </c>
      <c r="H195" s="3">
        <f t="shared" si="9"/>
        <v>0</v>
      </c>
      <c r="I195" s="3">
        <f t="shared" si="10"/>
        <v>0</v>
      </c>
      <c r="J195" s="110">
        <f t="shared" si="11"/>
        <v>13</v>
      </c>
      <c r="K195" s="110"/>
      <c r="L195" s="110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B195" s="111"/>
      <c r="BC195" s="111"/>
      <c r="BD195" s="111"/>
      <c r="BE195" s="111"/>
      <c r="BF195" s="111"/>
      <c r="BG195" s="111"/>
      <c r="BH195" s="111"/>
      <c r="BI195" s="111"/>
      <c r="BJ195" s="111"/>
      <c r="BK195" s="111"/>
      <c r="BL195" s="111"/>
      <c r="BM195" s="111"/>
      <c r="BN195" s="111"/>
      <c r="BO195" s="111"/>
      <c r="BP195" s="111"/>
      <c r="BQ195" s="111"/>
      <c r="BR195" s="111"/>
      <c r="BS195" s="111"/>
      <c r="BT195" s="111"/>
      <c r="BU195" s="111"/>
      <c r="BV195" s="111"/>
    </row>
    <row r="196" spans="1:74" s="50" customFormat="1" ht="15" hidden="1" customHeight="1">
      <c r="A196" s="142">
        <v>192</v>
      </c>
      <c r="B196" s="143" t="s">
        <v>394</v>
      </c>
      <c r="C196" s="144" t="s">
        <v>395</v>
      </c>
      <c r="D196" s="143" t="s">
        <v>21</v>
      </c>
      <c r="E196" s="111"/>
      <c r="F196" s="111"/>
      <c r="G196" s="110">
        <v>0</v>
      </c>
      <c r="H196" s="3">
        <f t="shared" si="9"/>
        <v>0</v>
      </c>
      <c r="I196" s="3">
        <f t="shared" si="10"/>
        <v>0</v>
      </c>
      <c r="J196" s="110">
        <f t="shared" si="11"/>
        <v>0</v>
      </c>
      <c r="K196" s="110"/>
      <c r="L196" s="110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3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D196" s="111"/>
      <c r="BE196" s="111"/>
      <c r="BF196" s="111"/>
      <c r="BG196" s="111"/>
      <c r="BH196" s="111"/>
      <c r="BI196" s="111"/>
      <c r="BJ196" s="111"/>
      <c r="BK196" s="111"/>
      <c r="BL196" s="111"/>
      <c r="BM196" s="111"/>
      <c r="BN196" s="111"/>
      <c r="BO196" s="111"/>
      <c r="BP196" s="111"/>
      <c r="BQ196" s="111"/>
      <c r="BR196" s="111"/>
      <c r="BS196" s="111"/>
      <c r="BT196" s="111"/>
      <c r="BU196" s="111"/>
      <c r="BV196" s="111"/>
    </row>
    <row r="197" spans="1:74" s="50" customFormat="1" ht="15" hidden="1" customHeight="1">
      <c r="A197" s="142">
        <v>193</v>
      </c>
      <c r="B197" s="143" t="s">
        <v>396</v>
      </c>
      <c r="C197" s="144" t="s">
        <v>397</v>
      </c>
      <c r="D197" s="143" t="s">
        <v>21</v>
      </c>
      <c r="E197" s="111"/>
      <c r="F197" s="111"/>
      <c r="G197" s="108">
        <v>0</v>
      </c>
      <c r="H197" s="26">
        <f t="shared" si="9"/>
        <v>0</v>
      </c>
      <c r="I197" s="26">
        <f t="shared" si="10"/>
        <v>0</v>
      </c>
      <c r="J197" s="108">
        <f t="shared" si="11"/>
        <v>0</v>
      </c>
      <c r="K197" s="108"/>
      <c r="L197" s="108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28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  <c r="BO197" s="111"/>
      <c r="BP197" s="111"/>
      <c r="BQ197" s="111"/>
      <c r="BR197" s="111"/>
      <c r="BS197" s="111"/>
      <c r="BT197" s="111"/>
      <c r="BU197" s="111"/>
      <c r="BV197" s="111"/>
    </row>
    <row r="198" spans="1:74" s="50" customFormat="1" ht="15" hidden="1" customHeight="1">
      <c r="A198" s="109">
        <v>194</v>
      </c>
      <c r="B198" s="116" t="s">
        <v>398</v>
      </c>
      <c r="C198" s="113" t="s">
        <v>399</v>
      </c>
      <c r="D198" s="26" t="s">
        <v>21</v>
      </c>
      <c r="E198" s="109"/>
      <c r="F198" s="109"/>
      <c r="G198" s="110">
        <v>236</v>
      </c>
      <c r="H198" s="3">
        <f t="shared" si="9"/>
        <v>0</v>
      </c>
      <c r="I198" s="3">
        <f t="shared" si="10"/>
        <v>50</v>
      </c>
      <c r="J198" s="110">
        <f t="shared" si="11"/>
        <v>186</v>
      </c>
      <c r="K198" s="110"/>
      <c r="L198" s="110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>
        <v>50</v>
      </c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1"/>
      <c r="BC198" s="111"/>
      <c r="BD198" s="111"/>
      <c r="BE198" s="111"/>
      <c r="BF198" s="111"/>
      <c r="BG198" s="111"/>
      <c r="BH198" s="111"/>
      <c r="BI198" s="111"/>
      <c r="BJ198" s="111"/>
      <c r="BK198" s="111"/>
      <c r="BL198" s="111"/>
      <c r="BM198" s="111"/>
      <c r="BN198" s="111"/>
      <c r="BO198" s="111"/>
      <c r="BP198" s="111"/>
      <c r="BQ198" s="111"/>
      <c r="BR198" s="111"/>
      <c r="BS198" s="111"/>
      <c r="BT198" s="111"/>
      <c r="BU198" s="111"/>
      <c r="BV198" s="111"/>
    </row>
    <row r="199" spans="1:74" s="50" customFormat="1" ht="29.25" hidden="1" customHeight="1">
      <c r="A199" s="109">
        <v>195</v>
      </c>
      <c r="B199" s="112" t="s">
        <v>400</v>
      </c>
      <c r="C199" s="129" t="s">
        <v>401</v>
      </c>
      <c r="D199" s="26" t="s">
        <v>21</v>
      </c>
      <c r="E199" s="109"/>
      <c r="F199" s="109"/>
      <c r="G199" s="110">
        <v>6</v>
      </c>
      <c r="H199" s="3">
        <f t="shared" si="9"/>
        <v>0</v>
      </c>
      <c r="I199" s="3">
        <f t="shared" si="10"/>
        <v>0</v>
      </c>
      <c r="J199" s="110">
        <f t="shared" si="11"/>
        <v>6</v>
      </c>
      <c r="K199" s="110"/>
      <c r="L199" s="110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30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28"/>
      <c r="BA199" s="111"/>
      <c r="BB199" s="111"/>
      <c r="BC199" s="111"/>
      <c r="BD199" s="111"/>
      <c r="BE199" s="111"/>
      <c r="BF199" s="111"/>
      <c r="BG199" s="111"/>
      <c r="BH199" s="111"/>
      <c r="BI199" s="111"/>
      <c r="BJ199" s="111"/>
      <c r="BK199" s="111"/>
      <c r="BL199" s="111"/>
      <c r="BM199" s="111"/>
      <c r="BN199" s="111"/>
      <c r="BO199" s="111"/>
      <c r="BP199" s="111"/>
      <c r="BQ199" s="111"/>
      <c r="BR199" s="111"/>
      <c r="BS199" s="111"/>
      <c r="BT199" s="111"/>
      <c r="BU199" s="111"/>
      <c r="BV199" s="111"/>
    </row>
    <row r="200" spans="1:74" s="50" customFormat="1" ht="29.25" hidden="1" customHeight="1">
      <c r="A200" s="142">
        <v>196</v>
      </c>
      <c r="B200" s="252" t="s">
        <v>402</v>
      </c>
      <c r="C200" s="413" t="s">
        <v>403</v>
      </c>
      <c r="D200" s="143" t="s">
        <v>21</v>
      </c>
      <c r="E200" s="109"/>
      <c r="F200" s="109"/>
      <c r="G200" s="110">
        <v>219</v>
      </c>
      <c r="H200" s="3">
        <f t="shared" si="9"/>
        <v>0</v>
      </c>
      <c r="I200" s="3">
        <f t="shared" si="10"/>
        <v>50</v>
      </c>
      <c r="J200" s="110">
        <f t="shared" si="11"/>
        <v>169</v>
      </c>
      <c r="K200" s="110"/>
      <c r="L200" s="110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>
        <v>50</v>
      </c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B200" s="111"/>
      <c r="BC200" s="111"/>
      <c r="BD200" s="111"/>
      <c r="BE200" s="111"/>
      <c r="BF200" s="111"/>
      <c r="BG200" s="111"/>
      <c r="BH200" s="111"/>
      <c r="BI200" s="111"/>
      <c r="BJ200" s="111"/>
      <c r="BK200" s="111"/>
      <c r="BL200" s="111"/>
      <c r="BM200" s="111"/>
      <c r="BN200" s="111"/>
      <c r="BO200" s="111"/>
      <c r="BP200" s="111"/>
      <c r="BQ200" s="111"/>
      <c r="BR200" s="111"/>
      <c r="BS200" s="111"/>
      <c r="BT200" s="111"/>
      <c r="BU200" s="111"/>
      <c r="BV200" s="111"/>
    </row>
    <row r="201" spans="1:74" s="50" customFormat="1" ht="15" hidden="1" customHeight="1">
      <c r="A201" s="109">
        <v>197</v>
      </c>
      <c r="B201" s="112" t="s">
        <v>404</v>
      </c>
      <c r="C201" s="113" t="s">
        <v>405</v>
      </c>
      <c r="D201" s="26" t="s">
        <v>21</v>
      </c>
      <c r="E201" s="109"/>
      <c r="F201" s="109"/>
      <c r="G201" s="110">
        <v>8</v>
      </c>
      <c r="H201" s="3">
        <f t="shared" si="9"/>
        <v>0</v>
      </c>
      <c r="I201" s="3">
        <f t="shared" si="10"/>
        <v>0</v>
      </c>
      <c r="J201" s="110">
        <f t="shared" si="11"/>
        <v>8</v>
      </c>
      <c r="K201" s="110"/>
      <c r="L201" s="110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  <c r="BJ201" s="111"/>
      <c r="BK201" s="111"/>
      <c r="BL201" s="111"/>
      <c r="BM201" s="111"/>
      <c r="BN201" s="111"/>
      <c r="BO201" s="111"/>
      <c r="BP201" s="111"/>
      <c r="BQ201" s="111"/>
      <c r="BR201" s="111"/>
      <c r="BS201" s="111"/>
      <c r="BT201" s="111"/>
      <c r="BU201" s="111"/>
      <c r="BV201" s="111"/>
    </row>
    <row r="202" spans="1:74" s="50" customFormat="1" ht="29.25" hidden="1" customHeight="1">
      <c r="A202" s="111">
        <v>198</v>
      </c>
      <c r="B202" s="9" t="s">
        <v>406</v>
      </c>
      <c r="C202" s="20" t="s">
        <v>407</v>
      </c>
      <c r="D202" s="3" t="s">
        <v>21</v>
      </c>
      <c r="E202" s="111"/>
      <c r="F202" s="111"/>
      <c r="G202" s="110">
        <v>0</v>
      </c>
      <c r="H202" s="3">
        <f t="shared" si="9"/>
        <v>0</v>
      </c>
      <c r="I202" s="3">
        <f t="shared" si="10"/>
        <v>0</v>
      </c>
      <c r="J202" s="110">
        <f t="shared" si="11"/>
        <v>0</v>
      </c>
      <c r="K202" s="110"/>
      <c r="L202" s="110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B202" s="111"/>
      <c r="BC202" s="111"/>
      <c r="BD202" s="111"/>
      <c r="BE202" s="111"/>
      <c r="BF202" s="111"/>
      <c r="BG202" s="111"/>
      <c r="BH202" s="111"/>
      <c r="BI202" s="111"/>
      <c r="BJ202" s="111"/>
      <c r="BK202" s="111"/>
      <c r="BL202" s="111"/>
      <c r="BM202" s="111"/>
      <c r="BN202" s="111"/>
      <c r="BO202" s="111"/>
      <c r="BP202" s="111"/>
      <c r="BQ202" s="111"/>
      <c r="BR202" s="111"/>
      <c r="BS202" s="111"/>
      <c r="BT202" s="111"/>
      <c r="BU202" s="111"/>
      <c r="BV202" s="111"/>
    </row>
    <row r="203" spans="1:74" s="50" customFormat="1" ht="15" hidden="1" customHeight="1">
      <c r="A203" s="111">
        <v>199</v>
      </c>
      <c r="B203" s="273" t="s">
        <v>408</v>
      </c>
      <c r="C203" s="274" t="s">
        <v>409</v>
      </c>
      <c r="D203" s="127" t="s">
        <v>21</v>
      </c>
      <c r="E203" s="189"/>
      <c r="F203" s="189"/>
      <c r="G203" s="131">
        <v>49</v>
      </c>
      <c r="H203" s="3">
        <f t="shared" si="9"/>
        <v>0</v>
      </c>
      <c r="I203" s="3">
        <f t="shared" si="10"/>
        <v>0</v>
      </c>
      <c r="J203" s="110">
        <f t="shared" si="11"/>
        <v>49</v>
      </c>
      <c r="K203" s="110"/>
      <c r="L203" s="110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B203" s="111"/>
      <c r="BC203" s="111"/>
      <c r="BD203" s="111"/>
      <c r="BE203" s="111"/>
      <c r="BF203" s="111"/>
      <c r="BG203" s="111"/>
      <c r="BH203" s="111"/>
      <c r="BI203" s="111"/>
      <c r="BJ203" s="111"/>
      <c r="BK203" s="111"/>
      <c r="BL203" s="111"/>
      <c r="BM203" s="111"/>
      <c r="BN203" s="111"/>
      <c r="BO203" s="111"/>
      <c r="BP203" s="111"/>
      <c r="BQ203" s="111"/>
      <c r="BR203" s="111"/>
      <c r="BS203" s="111"/>
      <c r="BT203" s="111"/>
      <c r="BU203" s="111"/>
      <c r="BV203" s="111"/>
    </row>
    <row r="204" spans="1:74" s="50" customFormat="1" ht="15" hidden="1" customHeight="1">
      <c r="A204" s="111">
        <v>200</v>
      </c>
      <c r="B204" s="275" t="s">
        <v>410</v>
      </c>
      <c r="C204" s="276" t="s">
        <v>411</v>
      </c>
      <c r="D204" s="3" t="s">
        <v>21</v>
      </c>
      <c r="E204" s="3"/>
      <c r="F204" s="3"/>
      <c r="G204" s="33">
        <v>0</v>
      </c>
      <c r="H204" s="132">
        <f t="shared" si="9"/>
        <v>0</v>
      </c>
      <c r="I204" s="3">
        <f t="shared" si="10"/>
        <v>0</v>
      </c>
      <c r="J204" s="110">
        <f t="shared" si="11"/>
        <v>0</v>
      </c>
      <c r="K204" s="110"/>
      <c r="L204" s="110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B204" s="111"/>
      <c r="BC204" s="111"/>
      <c r="BD204" s="111"/>
      <c r="BE204" s="111"/>
      <c r="BF204" s="111"/>
      <c r="BG204" s="111"/>
      <c r="BH204" s="111"/>
      <c r="BI204" s="111"/>
      <c r="BJ204" s="111"/>
      <c r="BK204" s="111"/>
      <c r="BL204" s="111"/>
      <c r="BM204" s="111"/>
      <c r="BN204" s="111"/>
      <c r="BO204" s="111"/>
      <c r="BP204" s="111"/>
      <c r="BQ204" s="111"/>
      <c r="BR204" s="111"/>
      <c r="BS204" s="111"/>
      <c r="BT204" s="111"/>
      <c r="BU204" s="111"/>
      <c r="BV204" s="111"/>
    </row>
    <row r="205" spans="1:74" s="50" customFormat="1" ht="15" hidden="1" customHeight="1">
      <c r="A205" s="109">
        <v>201</v>
      </c>
      <c r="B205" s="109" t="s">
        <v>412</v>
      </c>
      <c r="C205" s="114" t="s">
        <v>413</v>
      </c>
      <c r="D205" s="109" t="s">
        <v>21</v>
      </c>
      <c r="E205" s="109"/>
      <c r="F205" s="109"/>
      <c r="G205" s="110">
        <v>13</v>
      </c>
      <c r="H205" s="3">
        <f t="shared" si="9"/>
        <v>0</v>
      </c>
      <c r="I205" s="3">
        <f t="shared" si="10"/>
        <v>0</v>
      </c>
      <c r="J205" s="110">
        <f t="shared" si="11"/>
        <v>13</v>
      </c>
      <c r="K205" s="110"/>
      <c r="L205" s="110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1"/>
      <c r="BC205" s="111"/>
      <c r="BD205" s="111"/>
      <c r="BE205" s="111"/>
      <c r="BF205" s="111"/>
      <c r="BG205" s="111"/>
      <c r="BH205" s="111"/>
      <c r="BI205" s="111"/>
      <c r="BJ205" s="111"/>
      <c r="BK205" s="111"/>
      <c r="BL205" s="111"/>
      <c r="BM205" s="111"/>
      <c r="BN205" s="111"/>
      <c r="BO205" s="111"/>
      <c r="BP205" s="111"/>
      <c r="BQ205" s="111"/>
      <c r="BR205" s="111"/>
      <c r="BS205" s="111"/>
      <c r="BT205" s="111"/>
      <c r="BU205" s="111"/>
      <c r="BV205" s="111"/>
    </row>
    <row r="206" spans="1:74" s="50" customFormat="1" ht="15" hidden="1" customHeight="1">
      <c r="A206" s="142">
        <v>202</v>
      </c>
      <c r="B206" s="143" t="s">
        <v>414</v>
      </c>
      <c r="C206" s="144" t="s">
        <v>415</v>
      </c>
      <c r="D206" s="143" t="s">
        <v>21</v>
      </c>
      <c r="E206" s="109"/>
      <c r="F206" s="109"/>
      <c r="G206" s="110">
        <v>129</v>
      </c>
      <c r="H206" s="3">
        <f t="shared" si="9"/>
        <v>0</v>
      </c>
      <c r="I206" s="3">
        <f t="shared" si="10"/>
        <v>50</v>
      </c>
      <c r="J206" s="110">
        <f t="shared" si="11"/>
        <v>79</v>
      </c>
      <c r="K206" s="110"/>
      <c r="L206" s="110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>
        <v>30</v>
      </c>
      <c r="AC206" s="111"/>
      <c r="AD206" s="111"/>
      <c r="AE206" s="111"/>
      <c r="AF206" s="111">
        <v>20</v>
      </c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B206" s="111"/>
      <c r="BC206" s="111"/>
      <c r="BD206" s="111"/>
      <c r="BE206" s="111"/>
      <c r="BF206" s="111"/>
      <c r="BG206" s="111"/>
      <c r="BH206" s="111"/>
      <c r="BI206" s="111"/>
      <c r="BJ206" s="111"/>
      <c r="BK206" s="111"/>
      <c r="BL206" s="111"/>
      <c r="BM206" s="111"/>
      <c r="BN206" s="111"/>
      <c r="BO206" s="111"/>
      <c r="BP206" s="111"/>
      <c r="BQ206" s="111"/>
      <c r="BR206" s="111"/>
      <c r="BS206" s="111"/>
      <c r="BT206" s="111"/>
      <c r="BU206" s="111"/>
      <c r="BV206" s="111"/>
    </row>
    <row r="207" spans="1:74" s="50" customFormat="1" ht="15" hidden="1" customHeight="1">
      <c r="A207" s="142">
        <v>203</v>
      </c>
      <c r="B207" s="143" t="s">
        <v>416</v>
      </c>
      <c r="C207" s="144" t="s">
        <v>417</v>
      </c>
      <c r="D207" s="143" t="s">
        <v>21</v>
      </c>
      <c r="E207" s="109"/>
      <c r="F207" s="109"/>
      <c r="G207" s="110">
        <v>135</v>
      </c>
      <c r="H207" s="3">
        <f t="shared" si="9"/>
        <v>0</v>
      </c>
      <c r="I207" s="3">
        <f t="shared" si="10"/>
        <v>50</v>
      </c>
      <c r="J207" s="110">
        <f t="shared" si="11"/>
        <v>85</v>
      </c>
      <c r="K207" s="110"/>
      <c r="L207" s="110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>
        <v>30</v>
      </c>
      <c r="AC207" s="111"/>
      <c r="AD207" s="111"/>
      <c r="AE207" s="111"/>
      <c r="AF207" s="111">
        <v>20</v>
      </c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  <c r="BG207" s="111"/>
      <c r="BH207" s="111"/>
      <c r="BI207" s="111"/>
      <c r="BJ207" s="111"/>
      <c r="BK207" s="111"/>
      <c r="BL207" s="111"/>
      <c r="BM207" s="111"/>
      <c r="BN207" s="111"/>
      <c r="BO207" s="111"/>
      <c r="BP207" s="111"/>
      <c r="BQ207" s="111"/>
      <c r="BR207" s="111"/>
      <c r="BS207" s="111"/>
      <c r="BT207" s="111"/>
      <c r="BU207" s="111"/>
      <c r="BV207" s="111"/>
    </row>
    <row r="208" spans="1:74" s="50" customFormat="1" ht="15" hidden="1" customHeight="1">
      <c r="A208" s="109">
        <v>204</v>
      </c>
      <c r="B208" s="26" t="s">
        <v>418</v>
      </c>
      <c r="C208" s="27" t="s">
        <v>419</v>
      </c>
      <c r="D208" s="26" t="s">
        <v>21</v>
      </c>
      <c r="E208" s="109"/>
      <c r="F208" s="109"/>
      <c r="G208" s="110">
        <v>20</v>
      </c>
      <c r="H208" s="3">
        <f t="shared" si="9"/>
        <v>0</v>
      </c>
      <c r="I208" s="3">
        <f t="shared" si="10"/>
        <v>0</v>
      </c>
      <c r="J208" s="110">
        <f t="shared" si="11"/>
        <v>20</v>
      </c>
      <c r="K208" s="110"/>
      <c r="L208" s="110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B208" s="111"/>
      <c r="BC208" s="111"/>
      <c r="BD208" s="111"/>
      <c r="BE208" s="111"/>
      <c r="BF208" s="111"/>
      <c r="BG208" s="111"/>
      <c r="BH208" s="111"/>
      <c r="BI208" s="111"/>
      <c r="BJ208" s="111"/>
      <c r="BK208" s="111"/>
      <c r="BL208" s="111"/>
      <c r="BM208" s="111"/>
      <c r="BN208" s="111"/>
      <c r="BO208" s="111"/>
      <c r="BP208" s="111"/>
      <c r="BQ208" s="111"/>
      <c r="BR208" s="111"/>
      <c r="BS208" s="111"/>
      <c r="BT208" s="111"/>
      <c r="BU208" s="111"/>
      <c r="BV208" s="111"/>
    </row>
    <row r="209" spans="1:74" s="50" customFormat="1" ht="15" hidden="1" customHeight="1">
      <c r="A209" s="109">
        <v>205</v>
      </c>
      <c r="B209" s="26" t="s">
        <v>420</v>
      </c>
      <c r="C209" s="27" t="s">
        <v>421</v>
      </c>
      <c r="D209" s="26" t="s">
        <v>21</v>
      </c>
      <c r="E209" s="109"/>
      <c r="F209" s="109"/>
      <c r="G209" s="110">
        <v>19</v>
      </c>
      <c r="H209" s="3">
        <f t="shared" si="9"/>
        <v>0</v>
      </c>
      <c r="I209" s="3">
        <f t="shared" si="10"/>
        <v>0</v>
      </c>
      <c r="J209" s="110">
        <f t="shared" si="11"/>
        <v>19</v>
      </c>
      <c r="K209" s="110"/>
      <c r="L209" s="110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  <c r="BJ209" s="111"/>
      <c r="BK209" s="111"/>
      <c r="BL209" s="111"/>
      <c r="BM209" s="111"/>
      <c r="BN209" s="111"/>
      <c r="BO209" s="111"/>
      <c r="BP209" s="111"/>
      <c r="BQ209" s="111"/>
      <c r="BR209" s="111"/>
      <c r="BS209" s="111"/>
      <c r="BT209" s="111"/>
      <c r="BU209" s="111"/>
      <c r="BV209" s="111"/>
    </row>
    <row r="210" spans="1:74" s="50" customFormat="1" ht="15.75" hidden="1" customHeight="1">
      <c r="A210" s="142">
        <v>206</v>
      </c>
      <c r="B210" s="143" t="s">
        <v>422</v>
      </c>
      <c r="C210" s="144" t="s">
        <v>423</v>
      </c>
      <c r="D210" s="143" t="s">
        <v>21</v>
      </c>
      <c r="E210" s="109"/>
      <c r="F210" s="109"/>
      <c r="G210" s="110">
        <v>122</v>
      </c>
      <c r="H210" s="3">
        <f t="shared" si="9"/>
        <v>0</v>
      </c>
      <c r="I210" s="3">
        <f t="shared" si="10"/>
        <v>68</v>
      </c>
      <c r="J210" s="110">
        <f t="shared" si="11"/>
        <v>54</v>
      </c>
      <c r="K210" s="110"/>
      <c r="L210" s="110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>
        <v>18</v>
      </c>
      <c r="AC210" s="111"/>
      <c r="AD210" s="111">
        <f>12+18</f>
        <v>30</v>
      </c>
      <c r="AE210" s="111"/>
      <c r="AF210" s="111">
        <v>20</v>
      </c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  <c r="BJ210" s="111"/>
      <c r="BK210" s="111"/>
      <c r="BL210" s="111"/>
      <c r="BM210" s="111"/>
      <c r="BN210" s="111"/>
      <c r="BO210" s="111"/>
      <c r="BP210" s="111"/>
      <c r="BQ210" s="111"/>
      <c r="BR210" s="111"/>
      <c r="BS210" s="111"/>
      <c r="BT210" s="111"/>
      <c r="BU210" s="111"/>
      <c r="BV210" s="111"/>
    </row>
    <row r="211" spans="1:74" s="50" customFormat="1" ht="15" hidden="1" customHeight="1">
      <c r="A211" s="142">
        <v>207</v>
      </c>
      <c r="B211" s="143" t="s">
        <v>424</v>
      </c>
      <c r="C211" s="144" t="s">
        <v>425</v>
      </c>
      <c r="D211" s="143" t="s">
        <v>21</v>
      </c>
      <c r="E211" s="109"/>
      <c r="F211" s="109"/>
      <c r="G211" s="110">
        <v>120</v>
      </c>
      <c r="H211" s="3">
        <f t="shared" si="9"/>
        <v>0</v>
      </c>
      <c r="I211" s="3">
        <f t="shared" si="10"/>
        <v>68</v>
      </c>
      <c r="J211" s="110">
        <f t="shared" si="11"/>
        <v>52</v>
      </c>
      <c r="K211" s="110"/>
      <c r="L211" s="110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>
        <v>18</v>
      </c>
      <c r="AC211" s="111"/>
      <c r="AD211" s="111">
        <f>12+18</f>
        <v>30</v>
      </c>
      <c r="AE211" s="111"/>
      <c r="AF211" s="111">
        <v>20</v>
      </c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1"/>
      <c r="BC211" s="111"/>
      <c r="BD211" s="111"/>
      <c r="BE211" s="111"/>
      <c r="BF211" s="111"/>
      <c r="BG211" s="111"/>
      <c r="BH211" s="111"/>
      <c r="BI211" s="111"/>
      <c r="BJ211" s="111"/>
      <c r="BK211" s="111"/>
      <c r="BL211" s="111"/>
      <c r="BM211" s="111"/>
      <c r="BN211" s="111"/>
      <c r="BO211" s="111"/>
      <c r="BP211" s="111"/>
      <c r="BQ211" s="111"/>
      <c r="BR211" s="111"/>
      <c r="BS211" s="111"/>
      <c r="BT211" s="111"/>
      <c r="BU211" s="111"/>
      <c r="BV211" s="111"/>
    </row>
    <row r="212" spans="1:74" s="50" customFormat="1" ht="15" hidden="1" customHeight="1">
      <c r="A212" s="111">
        <v>208</v>
      </c>
      <c r="B212" s="3" t="s">
        <v>426</v>
      </c>
      <c r="C212" s="17" t="s">
        <v>427</v>
      </c>
      <c r="D212" s="3" t="s">
        <v>21</v>
      </c>
      <c r="E212" s="111"/>
      <c r="F212" s="111"/>
      <c r="G212" s="110">
        <v>2</v>
      </c>
      <c r="H212" s="3">
        <f t="shared" si="9"/>
        <v>0</v>
      </c>
      <c r="I212" s="3">
        <f t="shared" si="10"/>
        <v>0</v>
      </c>
      <c r="J212" s="110">
        <f t="shared" si="11"/>
        <v>2</v>
      </c>
      <c r="K212" s="110"/>
      <c r="L212" s="110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1"/>
      <c r="BC212" s="111"/>
      <c r="BD212" s="111"/>
      <c r="BE212" s="111"/>
      <c r="BF212" s="111"/>
      <c r="BG212" s="111"/>
      <c r="BH212" s="111"/>
      <c r="BI212" s="111"/>
      <c r="BJ212" s="111"/>
      <c r="BK212" s="111"/>
      <c r="BL212" s="111"/>
      <c r="BM212" s="111"/>
      <c r="BN212" s="111"/>
      <c r="BO212" s="111"/>
      <c r="BP212" s="111"/>
      <c r="BQ212" s="111"/>
      <c r="BR212" s="111"/>
      <c r="BS212" s="111"/>
      <c r="BT212" s="111"/>
      <c r="BU212" s="111"/>
      <c r="BV212" s="111"/>
    </row>
    <row r="213" spans="1:74" s="50" customFormat="1" ht="15" hidden="1" customHeight="1">
      <c r="A213" s="111">
        <v>209</v>
      </c>
      <c r="B213" s="3" t="s">
        <v>428</v>
      </c>
      <c r="C213" s="17" t="s">
        <v>429</v>
      </c>
      <c r="D213" s="3" t="s">
        <v>21</v>
      </c>
      <c r="E213" s="111"/>
      <c r="F213" s="111"/>
      <c r="G213" s="110">
        <v>5</v>
      </c>
      <c r="H213" s="3">
        <f t="shared" si="9"/>
        <v>0</v>
      </c>
      <c r="I213" s="3">
        <f t="shared" si="10"/>
        <v>0</v>
      </c>
      <c r="J213" s="110">
        <f t="shared" si="11"/>
        <v>5</v>
      </c>
      <c r="K213" s="110"/>
      <c r="L213" s="110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1"/>
      <c r="BC213" s="111"/>
      <c r="BD213" s="111"/>
      <c r="BE213" s="111"/>
      <c r="BF213" s="111"/>
      <c r="BG213" s="111"/>
      <c r="BH213" s="111"/>
      <c r="BI213" s="111"/>
      <c r="BJ213" s="111"/>
      <c r="BK213" s="111"/>
      <c r="BL213" s="111"/>
      <c r="BM213" s="111"/>
      <c r="BN213" s="111"/>
      <c r="BO213" s="111"/>
      <c r="BP213" s="111"/>
      <c r="BQ213" s="111"/>
      <c r="BR213" s="111"/>
      <c r="BS213" s="111"/>
      <c r="BT213" s="111"/>
      <c r="BU213" s="111"/>
      <c r="BV213" s="111"/>
    </row>
    <row r="214" spans="1:74" s="50" customFormat="1" ht="15" hidden="1" customHeight="1">
      <c r="A214" s="142">
        <v>210</v>
      </c>
      <c r="B214" s="147" t="s">
        <v>430</v>
      </c>
      <c r="C214" s="144" t="s">
        <v>431</v>
      </c>
      <c r="D214" s="143" t="s">
        <v>21</v>
      </c>
      <c r="E214" s="109"/>
      <c r="F214" s="109"/>
      <c r="G214" s="110">
        <v>414</v>
      </c>
      <c r="H214" s="3">
        <f t="shared" si="9"/>
        <v>0</v>
      </c>
      <c r="I214" s="3">
        <f t="shared" si="10"/>
        <v>0</v>
      </c>
      <c r="J214" s="110">
        <f t="shared" si="11"/>
        <v>414</v>
      </c>
      <c r="K214" s="110"/>
      <c r="L214" s="110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/>
      <c r="BP214" s="111"/>
      <c r="BQ214" s="111"/>
      <c r="BR214" s="111"/>
      <c r="BS214" s="111"/>
      <c r="BT214" s="111"/>
      <c r="BU214" s="111"/>
      <c r="BV214" s="111"/>
    </row>
    <row r="215" spans="1:74" s="50" customFormat="1" ht="29.25" hidden="1" customHeight="1">
      <c r="A215" s="142">
        <v>211</v>
      </c>
      <c r="B215" s="143" t="s">
        <v>432</v>
      </c>
      <c r="C215" s="144" t="s">
        <v>433</v>
      </c>
      <c r="D215" s="143" t="s">
        <v>21</v>
      </c>
      <c r="E215" s="109"/>
      <c r="F215" s="109"/>
      <c r="G215" s="110">
        <v>796</v>
      </c>
      <c r="H215" s="3">
        <f t="shared" si="9"/>
        <v>150</v>
      </c>
      <c r="I215" s="3">
        <f t="shared" si="10"/>
        <v>100</v>
      </c>
      <c r="J215" s="110">
        <f t="shared" si="11"/>
        <v>846</v>
      </c>
      <c r="K215" s="110"/>
      <c r="L215" s="110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>
        <v>150</v>
      </c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>
        <v>100</v>
      </c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/>
      <c r="BP215" s="111"/>
      <c r="BQ215" s="111"/>
      <c r="BR215" s="111"/>
      <c r="BS215" s="111"/>
      <c r="BT215" s="111"/>
      <c r="BU215" s="111"/>
      <c r="BV215" s="111"/>
    </row>
    <row r="216" spans="1:74" s="50" customFormat="1" ht="15" hidden="1" customHeight="1">
      <c r="A216" s="109">
        <v>212</v>
      </c>
      <c r="B216" s="26" t="s">
        <v>434</v>
      </c>
      <c r="C216" s="27" t="s">
        <v>435</v>
      </c>
      <c r="D216" s="26" t="s">
        <v>21</v>
      </c>
      <c r="E216" s="109"/>
      <c r="F216" s="109"/>
      <c r="G216" s="108">
        <v>5</v>
      </c>
      <c r="H216" s="26">
        <f t="shared" si="9"/>
        <v>0</v>
      </c>
      <c r="I216" s="26">
        <f t="shared" si="10"/>
        <v>0</v>
      </c>
      <c r="J216" s="108">
        <f t="shared" si="11"/>
        <v>5</v>
      </c>
      <c r="K216" s="108"/>
      <c r="L216" s="108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1"/>
      <c r="BC216" s="111"/>
      <c r="BD216" s="111"/>
      <c r="BE216" s="111"/>
      <c r="BF216" s="111"/>
      <c r="BG216" s="111"/>
      <c r="BH216" s="111"/>
      <c r="BI216" s="111"/>
      <c r="BJ216" s="111"/>
      <c r="BK216" s="111"/>
      <c r="BL216" s="111"/>
      <c r="BM216" s="111"/>
      <c r="BN216" s="111"/>
      <c r="BO216" s="111"/>
      <c r="BP216" s="111"/>
      <c r="BQ216" s="111"/>
      <c r="BR216" s="111"/>
      <c r="BS216" s="111"/>
      <c r="BT216" s="111"/>
      <c r="BU216" s="111"/>
      <c r="BV216" s="111"/>
    </row>
    <row r="217" spans="1:74" s="50" customFormat="1" ht="15" hidden="1" customHeight="1">
      <c r="A217" s="109">
        <v>213</v>
      </c>
      <c r="B217" s="26" t="s">
        <v>436</v>
      </c>
      <c r="C217" s="27" t="s">
        <v>437</v>
      </c>
      <c r="D217" s="26" t="s">
        <v>21</v>
      </c>
      <c r="E217" s="109"/>
      <c r="F217" s="109"/>
      <c r="G217" s="108">
        <v>673</v>
      </c>
      <c r="H217" s="26">
        <f t="shared" si="9"/>
        <v>0</v>
      </c>
      <c r="I217" s="26">
        <f t="shared" si="10"/>
        <v>0</v>
      </c>
      <c r="J217" s="108">
        <f t="shared" si="11"/>
        <v>673</v>
      </c>
      <c r="K217" s="108"/>
      <c r="L217" s="108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/>
      <c r="BP217" s="111"/>
      <c r="BQ217" s="111"/>
      <c r="BR217" s="111"/>
      <c r="BS217" s="111"/>
      <c r="BT217" s="111"/>
      <c r="BU217" s="111"/>
      <c r="BV217" s="111"/>
    </row>
    <row r="218" spans="1:74" s="50" customFormat="1" ht="15" hidden="1" customHeight="1">
      <c r="A218" s="109">
        <v>214</v>
      </c>
      <c r="B218" s="26" t="s">
        <v>438</v>
      </c>
      <c r="C218" s="27" t="s">
        <v>439</v>
      </c>
      <c r="D218" s="26" t="s">
        <v>21</v>
      </c>
      <c r="E218" s="109"/>
      <c r="F218" s="109"/>
      <c r="G218" s="108">
        <v>937</v>
      </c>
      <c r="H218" s="26">
        <f t="shared" si="9"/>
        <v>0</v>
      </c>
      <c r="I218" s="26">
        <f t="shared" si="10"/>
        <v>0</v>
      </c>
      <c r="J218" s="108">
        <f t="shared" si="11"/>
        <v>937</v>
      </c>
      <c r="K218" s="108"/>
      <c r="L218" s="108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1"/>
      <c r="BC218" s="111"/>
      <c r="BD218" s="111"/>
      <c r="BE218" s="111"/>
      <c r="BF218" s="111"/>
      <c r="BG218" s="111"/>
      <c r="BH218" s="111"/>
      <c r="BI218" s="111"/>
      <c r="BJ218" s="111"/>
      <c r="BK218" s="111"/>
      <c r="BL218" s="111"/>
      <c r="BM218" s="111"/>
      <c r="BN218" s="111"/>
      <c r="BO218" s="111"/>
      <c r="BP218" s="111"/>
      <c r="BQ218" s="111"/>
      <c r="BR218" s="111"/>
      <c r="BS218" s="111"/>
      <c r="BT218" s="111"/>
      <c r="BU218" s="111"/>
      <c r="BV218" s="111"/>
    </row>
    <row r="219" spans="1:74" s="50" customFormat="1" ht="15" hidden="1" customHeight="1">
      <c r="A219" s="109">
        <v>215</v>
      </c>
      <c r="B219" s="26" t="s">
        <v>440</v>
      </c>
      <c r="C219" s="27" t="s">
        <v>441</v>
      </c>
      <c r="D219" s="26" t="s">
        <v>21</v>
      </c>
      <c r="E219" s="109"/>
      <c r="F219" s="109"/>
      <c r="G219" s="108">
        <v>914</v>
      </c>
      <c r="H219" s="26">
        <f t="shared" si="9"/>
        <v>0</v>
      </c>
      <c r="I219" s="26">
        <f t="shared" si="10"/>
        <v>0</v>
      </c>
      <c r="J219" s="108">
        <f t="shared" si="11"/>
        <v>914</v>
      </c>
      <c r="K219" s="108"/>
      <c r="L219" s="108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B219" s="111"/>
      <c r="BC219" s="111"/>
      <c r="BD219" s="111"/>
      <c r="BE219" s="111"/>
      <c r="BF219" s="111"/>
      <c r="BG219" s="111"/>
      <c r="BH219" s="111"/>
      <c r="BI219" s="111"/>
      <c r="BJ219" s="111"/>
      <c r="BK219" s="111"/>
      <c r="BL219" s="111"/>
      <c r="BM219" s="111"/>
      <c r="BN219" s="111"/>
      <c r="BO219" s="111"/>
      <c r="BP219" s="111"/>
      <c r="BQ219" s="111"/>
      <c r="BR219" s="111"/>
      <c r="BS219" s="111"/>
      <c r="BT219" s="111"/>
      <c r="BU219" s="111"/>
      <c r="BV219" s="111"/>
    </row>
    <row r="220" spans="1:74" s="50" customFormat="1" ht="15" hidden="1" customHeight="1">
      <c r="A220" s="109">
        <v>216</v>
      </c>
      <c r="B220" s="26" t="s">
        <v>442</v>
      </c>
      <c r="C220" s="27" t="s">
        <v>443</v>
      </c>
      <c r="D220" s="26" t="s">
        <v>21</v>
      </c>
      <c r="E220" s="109"/>
      <c r="F220" s="109"/>
      <c r="G220" s="108">
        <v>924</v>
      </c>
      <c r="H220" s="26">
        <f t="shared" si="9"/>
        <v>0</v>
      </c>
      <c r="I220" s="26">
        <f t="shared" si="10"/>
        <v>0</v>
      </c>
      <c r="J220" s="108">
        <f t="shared" si="11"/>
        <v>924</v>
      </c>
      <c r="K220" s="108"/>
      <c r="L220" s="108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1"/>
      <c r="BC220" s="111"/>
      <c r="BD220" s="111"/>
      <c r="BE220" s="111"/>
      <c r="BF220" s="111"/>
      <c r="BG220" s="111"/>
      <c r="BH220" s="111"/>
      <c r="BI220" s="111"/>
      <c r="BJ220" s="111"/>
      <c r="BK220" s="111"/>
      <c r="BL220" s="111"/>
      <c r="BM220" s="111"/>
      <c r="BN220" s="111"/>
      <c r="BO220" s="111"/>
      <c r="BP220" s="111"/>
      <c r="BQ220" s="111"/>
      <c r="BR220" s="111"/>
      <c r="BS220" s="111"/>
      <c r="BT220" s="111"/>
      <c r="BU220" s="111"/>
      <c r="BV220" s="111"/>
    </row>
    <row r="221" spans="1:74" s="50" customFormat="1" ht="15" hidden="1" customHeight="1">
      <c r="A221" s="109">
        <v>217</v>
      </c>
      <c r="B221" s="26" t="s">
        <v>444</v>
      </c>
      <c r="C221" s="27" t="s">
        <v>445</v>
      </c>
      <c r="D221" s="26" t="s">
        <v>21</v>
      </c>
      <c r="E221" s="109"/>
      <c r="F221" s="109"/>
      <c r="G221" s="108">
        <v>1302</v>
      </c>
      <c r="H221" s="26">
        <f t="shared" si="9"/>
        <v>0</v>
      </c>
      <c r="I221" s="26">
        <f t="shared" si="10"/>
        <v>0</v>
      </c>
      <c r="J221" s="108">
        <f t="shared" si="11"/>
        <v>1302</v>
      </c>
      <c r="K221" s="108"/>
      <c r="L221" s="108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  <c r="BG221" s="111"/>
      <c r="BH221" s="111"/>
      <c r="BI221" s="111"/>
      <c r="BJ221" s="111"/>
      <c r="BK221" s="111"/>
      <c r="BL221" s="111"/>
      <c r="BM221" s="111"/>
      <c r="BN221" s="111"/>
      <c r="BO221" s="111"/>
      <c r="BP221" s="111"/>
      <c r="BQ221" s="111"/>
      <c r="BR221" s="111"/>
      <c r="BS221" s="111"/>
      <c r="BT221" s="111"/>
      <c r="BU221" s="111"/>
      <c r="BV221" s="111"/>
    </row>
    <row r="222" spans="1:74" s="50" customFormat="1" ht="15" hidden="1" customHeight="1">
      <c r="A222" s="109">
        <v>218</v>
      </c>
      <c r="B222" s="26" t="s">
        <v>446</v>
      </c>
      <c r="C222" s="27" t="s">
        <v>447</v>
      </c>
      <c r="D222" s="26" t="s">
        <v>21</v>
      </c>
      <c r="E222" s="109"/>
      <c r="F222" s="109"/>
      <c r="G222" s="108">
        <v>1545</v>
      </c>
      <c r="H222" s="26">
        <f t="shared" si="9"/>
        <v>0</v>
      </c>
      <c r="I222" s="26">
        <f t="shared" si="10"/>
        <v>0</v>
      </c>
      <c r="J222" s="108">
        <f t="shared" si="11"/>
        <v>1545</v>
      </c>
      <c r="K222" s="108"/>
      <c r="L222" s="108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1"/>
      <c r="BC222" s="111"/>
      <c r="BD222" s="111"/>
      <c r="BE222" s="111"/>
      <c r="BF222" s="111"/>
      <c r="BG222" s="111"/>
      <c r="BH222" s="111"/>
      <c r="BI222" s="111"/>
      <c r="BJ222" s="111"/>
      <c r="BK222" s="111"/>
      <c r="BL222" s="111"/>
      <c r="BM222" s="111"/>
      <c r="BN222" s="111"/>
      <c r="BO222" s="111"/>
      <c r="BP222" s="111"/>
      <c r="BQ222" s="111"/>
      <c r="BR222" s="111"/>
      <c r="BS222" s="111"/>
      <c r="BT222" s="111"/>
      <c r="BU222" s="111"/>
      <c r="BV222" s="111"/>
    </row>
    <row r="223" spans="1:74" s="50" customFormat="1" ht="15" hidden="1" customHeight="1">
      <c r="A223" s="109">
        <v>219</v>
      </c>
      <c r="B223" s="26" t="s">
        <v>448</v>
      </c>
      <c r="C223" s="27" t="s">
        <v>449</v>
      </c>
      <c r="D223" s="26" t="s">
        <v>21</v>
      </c>
      <c r="E223" s="109"/>
      <c r="F223" s="109"/>
      <c r="G223" s="108">
        <v>1147</v>
      </c>
      <c r="H223" s="26">
        <f t="shared" si="9"/>
        <v>0</v>
      </c>
      <c r="I223" s="26">
        <f t="shared" si="10"/>
        <v>0</v>
      </c>
      <c r="J223" s="108">
        <f t="shared" si="11"/>
        <v>1147</v>
      </c>
      <c r="K223" s="108"/>
      <c r="L223" s="108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1"/>
      <c r="BC223" s="111"/>
      <c r="BD223" s="111"/>
      <c r="BE223" s="111"/>
      <c r="BF223" s="10"/>
      <c r="BG223" s="111"/>
      <c r="BH223" s="111"/>
      <c r="BI223" s="111"/>
      <c r="BJ223" s="111"/>
      <c r="BK223" s="111"/>
      <c r="BL223" s="111"/>
      <c r="BM223" s="111"/>
      <c r="BN223" s="111"/>
      <c r="BO223" s="111"/>
      <c r="BP223" s="111"/>
      <c r="BQ223" s="111"/>
      <c r="BR223" s="111"/>
      <c r="BS223" s="111"/>
      <c r="BT223" s="111"/>
      <c r="BU223" s="111"/>
      <c r="BV223" s="111"/>
    </row>
    <row r="224" spans="1:74" s="50" customFormat="1" ht="15" hidden="1" customHeight="1">
      <c r="A224" s="109">
        <v>220</v>
      </c>
      <c r="B224" s="26" t="s">
        <v>450</v>
      </c>
      <c r="C224" s="27" t="s">
        <v>451</v>
      </c>
      <c r="D224" s="26" t="s">
        <v>21</v>
      </c>
      <c r="E224" s="109"/>
      <c r="F224" s="109"/>
      <c r="G224" s="108">
        <v>375</v>
      </c>
      <c r="H224" s="26">
        <f t="shared" si="9"/>
        <v>0</v>
      </c>
      <c r="I224" s="26">
        <f t="shared" si="10"/>
        <v>0</v>
      </c>
      <c r="J224" s="108">
        <f t="shared" si="11"/>
        <v>375</v>
      </c>
      <c r="K224" s="108"/>
      <c r="L224" s="108"/>
      <c r="M224" s="111"/>
      <c r="N224" s="3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1"/>
      <c r="BC224" s="111"/>
      <c r="BD224" s="111"/>
      <c r="BE224" s="111"/>
      <c r="BF224" s="10"/>
      <c r="BG224" s="111"/>
      <c r="BH224" s="111"/>
      <c r="BI224" s="111"/>
      <c r="BJ224" s="111"/>
      <c r="BK224" s="111"/>
      <c r="BL224" s="111"/>
      <c r="BM224" s="111"/>
      <c r="BN224" s="111"/>
      <c r="BO224" s="111"/>
      <c r="BP224" s="111"/>
      <c r="BQ224" s="111"/>
      <c r="BR224" s="111"/>
      <c r="BS224" s="111"/>
      <c r="BT224" s="111"/>
      <c r="BU224" s="111"/>
      <c r="BV224" s="111"/>
    </row>
    <row r="225" spans="1:74" s="50" customFormat="1" ht="15" hidden="1" customHeight="1">
      <c r="A225" s="109">
        <v>221</v>
      </c>
      <c r="B225" s="26" t="s">
        <v>452</v>
      </c>
      <c r="C225" s="27" t="s">
        <v>453</v>
      </c>
      <c r="D225" s="26" t="s">
        <v>21</v>
      </c>
      <c r="E225" s="109"/>
      <c r="F225" s="109"/>
      <c r="G225" s="108">
        <v>410</v>
      </c>
      <c r="H225" s="26">
        <f t="shared" si="9"/>
        <v>0</v>
      </c>
      <c r="I225" s="26">
        <f t="shared" si="10"/>
        <v>0</v>
      </c>
      <c r="J225" s="108">
        <f t="shared" si="11"/>
        <v>410</v>
      </c>
      <c r="K225" s="108"/>
      <c r="L225" s="108"/>
      <c r="M225" s="111"/>
      <c r="N225" s="3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1"/>
      <c r="BC225" s="111"/>
      <c r="BD225" s="111"/>
      <c r="BE225" s="111"/>
      <c r="BF225" s="10"/>
      <c r="BG225" s="111"/>
      <c r="BH225" s="111"/>
      <c r="BI225" s="111"/>
      <c r="BJ225" s="111"/>
      <c r="BK225" s="111"/>
      <c r="BL225" s="111"/>
      <c r="BM225" s="111"/>
      <c r="BN225" s="111"/>
      <c r="BO225" s="111"/>
      <c r="BP225" s="111"/>
      <c r="BQ225" s="111"/>
      <c r="BR225" s="111"/>
      <c r="BS225" s="111"/>
      <c r="BT225" s="111"/>
      <c r="BU225" s="111"/>
      <c r="BV225" s="111"/>
    </row>
    <row r="226" spans="1:74" s="50" customFormat="1" ht="15" hidden="1" customHeight="1">
      <c r="A226" s="109">
        <v>222</v>
      </c>
      <c r="B226" s="26" t="s">
        <v>454</v>
      </c>
      <c r="C226" s="27" t="s">
        <v>455</v>
      </c>
      <c r="D226" s="26" t="s">
        <v>21</v>
      </c>
      <c r="E226" s="109"/>
      <c r="F226" s="109"/>
      <c r="G226" s="108">
        <v>368</v>
      </c>
      <c r="H226" s="26">
        <f t="shared" si="9"/>
        <v>0</v>
      </c>
      <c r="I226" s="26">
        <f t="shared" si="10"/>
        <v>0</v>
      </c>
      <c r="J226" s="108">
        <f t="shared" si="11"/>
        <v>368</v>
      </c>
      <c r="K226" s="108"/>
      <c r="L226" s="108"/>
      <c r="M226" s="111"/>
      <c r="N226" s="3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1"/>
      <c r="BC226" s="111"/>
      <c r="BD226" s="111"/>
      <c r="BE226" s="111"/>
      <c r="BF226" s="10"/>
      <c r="BG226" s="111"/>
      <c r="BH226" s="111"/>
      <c r="BI226" s="111"/>
      <c r="BJ226" s="111"/>
      <c r="BK226" s="111"/>
      <c r="BL226" s="111"/>
      <c r="BM226" s="111"/>
      <c r="BN226" s="111"/>
      <c r="BO226" s="111"/>
      <c r="BP226" s="111"/>
      <c r="BQ226" s="111"/>
      <c r="BR226" s="111"/>
      <c r="BS226" s="111"/>
      <c r="BT226" s="111"/>
      <c r="BU226" s="111"/>
      <c r="BV226" s="111"/>
    </row>
    <row r="227" spans="1:74" s="50" customFormat="1" ht="15" hidden="1" customHeight="1">
      <c r="A227" s="109">
        <v>223</v>
      </c>
      <c r="B227" s="26" t="s">
        <v>456</v>
      </c>
      <c r="C227" s="27" t="s">
        <v>457</v>
      </c>
      <c r="D227" s="26" t="s">
        <v>21</v>
      </c>
      <c r="E227" s="109"/>
      <c r="F227" s="109"/>
      <c r="G227" s="108">
        <v>364</v>
      </c>
      <c r="H227" s="26">
        <f t="shared" si="9"/>
        <v>0</v>
      </c>
      <c r="I227" s="26">
        <f t="shared" si="10"/>
        <v>0</v>
      </c>
      <c r="J227" s="108">
        <f t="shared" si="11"/>
        <v>364</v>
      </c>
      <c r="K227" s="108"/>
      <c r="L227" s="108"/>
      <c r="M227" s="111"/>
      <c r="N227" s="3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1"/>
      <c r="BC227" s="111"/>
      <c r="BD227" s="111"/>
      <c r="BE227" s="111"/>
      <c r="BF227" s="10"/>
      <c r="BG227" s="111"/>
      <c r="BH227" s="111"/>
      <c r="BI227" s="111"/>
      <c r="BJ227" s="111"/>
      <c r="BK227" s="111"/>
      <c r="BL227" s="111"/>
      <c r="BM227" s="111"/>
      <c r="BN227" s="111"/>
      <c r="BO227" s="111"/>
      <c r="BP227" s="111"/>
      <c r="BQ227" s="111"/>
      <c r="BR227" s="111"/>
      <c r="BS227" s="111"/>
      <c r="BT227" s="111"/>
      <c r="BU227" s="111"/>
      <c r="BV227" s="111"/>
    </row>
    <row r="228" spans="1:74" s="50" customFormat="1" ht="15" hidden="1" customHeight="1">
      <c r="A228" s="109">
        <v>224</v>
      </c>
      <c r="B228" s="112" t="s">
        <v>458</v>
      </c>
      <c r="C228" s="129" t="s">
        <v>459</v>
      </c>
      <c r="D228" s="26" t="s">
        <v>21</v>
      </c>
      <c r="E228" s="109"/>
      <c r="F228" s="109"/>
      <c r="G228" s="110">
        <v>469</v>
      </c>
      <c r="H228" s="3">
        <f t="shared" si="9"/>
        <v>0</v>
      </c>
      <c r="I228" s="3">
        <f t="shared" si="10"/>
        <v>0</v>
      </c>
      <c r="J228" s="110">
        <f t="shared" si="11"/>
        <v>469</v>
      </c>
      <c r="K228" s="110"/>
      <c r="L228" s="110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1"/>
      <c r="BC228" s="111"/>
      <c r="BD228" s="111"/>
      <c r="BE228" s="111"/>
      <c r="BF228" s="111"/>
      <c r="BG228" s="111"/>
      <c r="BH228" s="111"/>
      <c r="BI228" s="111"/>
      <c r="BJ228" s="111"/>
      <c r="BK228" s="111"/>
      <c r="BL228" s="111"/>
      <c r="BM228" s="111"/>
      <c r="BN228" s="111"/>
      <c r="BO228" s="111"/>
      <c r="BP228" s="111"/>
      <c r="BQ228" s="111"/>
      <c r="BR228" s="111"/>
      <c r="BS228" s="111"/>
      <c r="BT228" s="111"/>
      <c r="BU228" s="111"/>
      <c r="BV228" s="111"/>
    </row>
    <row r="229" spans="1:74" s="50" customFormat="1" ht="15" hidden="1" customHeight="1">
      <c r="A229" s="142">
        <v>225</v>
      </c>
      <c r="B229" s="143" t="s">
        <v>460</v>
      </c>
      <c r="C229" s="144" t="s">
        <v>461</v>
      </c>
      <c r="D229" s="143" t="s">
        <v>21</v>
      </c>
      <c r="E229" s="109"/>
      <c r="F229" s="111"/>
      <c r="G229" s="110">
        <v>0</v>
      </c>
      <c r="H229" s="3">
        <f t="shared" si="9"/>
        <v>0</v>
      </c>
      <c r="I229" s="3">
        <f t="shared" si="10"/>
        <v>0</v>
      </c>
      <c r="J229" s="110">
        <f t="shared" si="11"/>
        <v>0</v>
      </c>
      <c r="K229" s="110"/>
      <c r="L229" s="110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1"/>
      <c r="BC229" s="111"/>
      <c r="BD229" s="111"/>
      <c r="BE229" s="111"/>
      <c r="BF229" s="111"/>
      <c r="BG229" s="111"/>
      <c r="BH229" s="111"/>
      <c r="BI229" s="111"/>
      <c r="BJ229" s="111"/>
      <c r="BK229" s="111"/>
      <c r="BL229" s="111"/>
      <c r="BM229" s="111"/>
      <c r="BN229" s="111"/>
      <c r="BO229" s="111"/>
      <c r="BP229" s="111"/>
      <c r="BQ229" s="111"/>
      <c r="BR229" s="111"/>
      <c r="BS229" s="111"/>
      <c r="BT229" s="111"/>
      <c r="BU229" s="111"/>
      <c r="BV229" s="111"/>
    </row>
    <row r="230" spans="1:74" s="50" customFormat="1" ht="15" hidden="1" customHeight="1">
      <c r="A230" s="142">
        <v>226</v>
      </c>
      <c r="B230" s="143" t="s">
        <v>462</v>
      </c>
      <c r="C230" s="144" t="s">
        <v>463</v>
      </c>
      <c r="D230" s="143" t="s">
        <v>21</v>
      </c>
      <c r="E230" s="109"/>
      <c r="F230" s="111"/>
      <c r="G230" s="110">
        <v>807</v>
      </c>
      <c r="H230" s="3">
        <f t="shared" si="9"/>
        <v>0</v>
      </c>
      <c r="I230" s="3">
        <f t="shared" si="10"/>
        <v>0</v>
      </c>
      <c r="J230" s="110">
        <f t="shared" si="11"/>
        <v>807</v>
      </c>
      <c r="K230" s="110"/>
      <c r="L230" s="110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1"/>
      <c r="BC230" s="111"/>
      <c r="BD230" s="111"/>
      <c r="BE230" s="111"/>
      <c r="BF230" s="111"/>
      <c r="BG230" s="111"/>
      <c r="BH230" s="111"/>
      <c r="BI230" s="111"/>
      <c r="BJ230" s="111"/>
      <c r="BK230" s="111"/>
      <c r="BL230" s="111"/>
      <c r="BM230" s="111"/>
      <c r="BN230" s="111"/>
      <c r="BO230" s="111"/>
      <c r="BP230" s="111"/>
      <c r="BQ230" s="111"/>
      <c r="BR230" s="111"/>
      <c r="BS230" s="111"/>
      <c r="BT230" s="111"/>
      <c r="BU230" s="111"/>
      <c r="BV230" s="111"/>
    </row>
    <row r="231" spans="1:74" s="93" customFormat="1" ht="15" hidden="1" customHeight="1">
      <c r="A231" s="111">
        <v>227</v>
      </c>
      <c r="B231" s="3" t="s">
        <v>464</v>
      </c>
      <c r="C231" s="17" t="s">
        <v>465</v>
      </c>
      <c r="D231" s="3" t="s">
        <v>21</v>
      </c>
      <c r="E231" s="111"/>
      <c r="F231" s="111"/>
      <c r="G231" s="108">
        <v>0</v>
      </c>
      <c r="H231" s="26">
        <f t="shared" si="9"/>
        <v>0</v>
      </c>
      <c r="I231" s="26">
        <f t="shared" si="10"/>
        <v>0</v>
      </c>
      <c r="J231" s="108">
        <f t="shared" si="11"/>
        <v>0</v>
      </c>
      <c r="K231" s="108"/>
      <c r="L231" s="108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09"/>
      <c r="AK231" s="109"/>
      <c r="AL231" s="109"/>
      <c r="AM231" s="109"/>
      <c r="AN231" s="109"/>
      <c r="AO231" s="109"/>
      <c r="AP231" s="109"/>
      <c r="AQ231" s="109"/>
      <c r="AR231" s="109"/>
      <c r="AS231" s="109"/>
      <c r="AT231" s="109"/>
      <c r="AU231" s="109"/>
      <c r="AV231" s="109"/>
      <c r="AW231" s="109"/>
      <c r="AX231" s="109"/>
      <c r="AY231" s="109"/>
      <c r="AZ231" s="109"/>
      <c r="BA231" s="109"/>
      <c r="BB231" s="109"/>
      <c r="BC231" s="109"/>
      <c r="BD231" s="109"/>
      <c r="BE231" s="109"/>
      <c r="BF231" s="109"/>
      <c r="BG231" s="109"/>
      <c r="BH231" s="109"/>
      <c r="BI231" s="109"/>
      <c r="BJ231" s="109"/>
      <c r="BK231" s="109"/>
      <c r="BL231" s="109"/>
      <c r="BM231" s="109"/>
      <c r="BN231" s="109"/>
      <c r="BO231" s="109"/>
      <c r="BP231" s="109"/>
      <c r="BQ231" s="109"/>
      <c r="BR231" s="109"/>
      <c r="BS231" s="109"/>
      <c r="BT231" s="109"/>
      <c r="BU231" s="109"/>
      <c r="BV231" s="109"/>
    </row>
    <row r="232" spans="1:74" s="92" customFormat="1" ht="15" hidden="1" customHeight="1">
      <c r="A232" s="142">
        <v>228</v>
      </c>
      <c r="B232" s="143" t="s">
        <v>466</v>
      </c>
      <c r="C232" s="144" t="s">
        <v>467</v>
      </c>
      <c r="D232" s="143" t="s">
        <v>21</v>
      </c>
      <c r="E232" s="111"/>
      <c r="F232" s="111"/>
      <c r="G232" s="108">
        <v>60</v>
      </c>
      <c r="H232" s="26">
        <f t="shared" si="9"/>
        <v>0</v>
      </c>
      <c r="I232" s="26">
        <f t="shared" si="10"/>
        <v>42</v>
      </c>
      <c r="J232" s="108">
        <f t="shared" si="11"/>
        <v>18</v>
      </c>
      <c r="K232" s="108"/>
      <c r="L232" s="108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>
        <v>42</v>
      </c>
      <c r="AC232" s="109"/>
      <c r="AD232" s="109"/>
      <c r="AE232" s="109"/>
      <c r="AF232" s="109"/>
      <c r="AG232" s="109"/>
      <c r="AH232" s="109"/>
      <c r="AI232" s="109"/>
      <c r="AJ232" s="109"/>
      <c r="AK232" s="109"/>
      <c r="AL232" s="109"/>
      <c r="AM232" s="109"/>
      <c r="AN232" s="109"/>
      <c r="AO232" s="109"/>
      <c r="AP232" s="109"/>
      <c r="AQ232" s="109"/>
      <c r="AR232" s="109"/>
      <c r="AS232" s="109"/>
      <c r="AT232" s="109"/>
      <c r="AU232" s="109"/>
      <c r="AV232" s="109"/>
      <c r="AW232" s="109"/>
      <c r="AX232" s="109"/>
      <c r="AY232" s="109"/>
      <c r="AZ232" s="109"/>
      <c r="BA232" s="109"/>
      <c r="BB232" s="109"/>
      <c r="BC232" s="109"/>
      <c r="BD232" s="109"/>
      <c r="BE232" s="109"/>
      <c r="BF232" s="109"/>
      <c r="BG232" s="109"/>
      <c r="BH232" s="109"/>
      <c r="BI232" s="109"/>
      <c r="BJ232" s="109"/>
      <c r="BK232" s="109"/>
      <c r="BL232" s="109"/>
      <c r="BM232" s="109"/>
      <c r="BN232" s="109"/>
      <c r="BO232" s="109"/>
      <c r="BP232" s="109"/>
      <c r="BQ232" s="109"/>
      <c r="BR232" s="109"/>
      <c r="BS232" s="109"/>
      <c r="BT232" s="109"/>
      <c r="BU232" s="109"/>
      <c r="BV232" s="109"/>
    </row>
    <row r="233" spans="1:74" s="92" customFormat="1" ht="15" hidden="1" customHeight="1">
      <c r="A233" s="111">
        <v>229</v>
      </c>
      <c r="B233" s="3" t="s">
        <v>468</v>
      </c>
      <c r="C233" s="17" t="s">
        <v>469</v>
      </c>
      <c r="D233" s="3" t="s">
        <v>21</v>
      </c>
      <c r="E233" s="111"/>
      <c r="F233" s="111"/>
      <c r="G233" s="108">
        <v>0</v>
      </c>
      <c r="H233" s="26">
        <f t="shared" si="9"/>
        <v>0</v>
      </c>
      <c r="I233" s="26">
        <f t="shared" si="10"/>
        <v>0</v>
      </c>
      <c r="J233" s="108">
        <f t="shared" si="11"/>
        <v>0</v>
      </c>
      <c r="K233" s="108"/>
      <c r="L233" s="108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09"/>
      <c r="AK233" s="109"/>
      <c r="AL233" s="109"/>
      <c r="AM233" s="109"/>
      <c r="AN233" s="109"/>
      <c r="AO233" s="109"/>
      <c r="AP233" s="109"/>
      <c r="AQ233" s="109"/>
      <c r="AR233" s="109"/>
      <c r="AS233" s="109"/>
      <c r="AT233" s="109"/>
      <c r="AU233" s="109"/>
      <c r="AV233" s="109"/>
      <c r="AW233" s="109"/>
      <c r="AX233" s="109"/>
      <c r="AY233" s="109"/>
      <c r="AZ233" s="109"/>
      <c r="BA233" s="109"/>
      <c r="BB233" s="109"/>
      <c r="BC233" s="109"/>
      <c r="BD233" s="109"/>
      <c r="BE233" s="109"/>
      <c r="BF233" s="109"/>
      <c r="BG233" s="109"/>
      <c r="BH233" s="109"/>
      <c r="BI233" s="109"/>
      <c r="BJ233" s="109"/>
      <c r="BK233" s="109"/>
      <c r="BL233" s="109"/>
      <c r="BM233" s="109"/>
      <c r="BN233" s="109"/>
      <c r="BO233" s="109"/>
      <c r="BP233" s="109"/>
      <c r="BQ233" s="109"/>
      <c r="BR233" s="109"/>
      <c r="BS233" s="109"/>
      <c r="BT233" s="109"/>
      <c r="BU233" s="109"/>
      <c r="BV233" s="109"/>
    </row>
    <row r="234" spans="1:74" s="92" customFormat="1" ht="15" hidden="1" customHeight="1">
      <c r="A234" s="111">
        <v>230</v>
      </c>
      <c r="B234" s="3" t="s">
        <v>470</v>
      </c>
      <c r="C234" s="17" t="s">
        <v>471</v>
      </c>
      <c r="D234" s="3" t="s">
        <v>21</v>
      </c>
      <c r="E234" s="111"/>
      <c r="F234" s="111"/>
      <c r="G234" s="108">
        <v>11</v>
      </c>
      <c r="H234" s="26">
        <f t="shared" si="9"/>
        <v>0</v>
      </c>
      <c r="I234" s="26">
        <f t="shared" si="10"/>
        <v>0</v>
      </c>
      <c r="J234" s="108">
        <f t="shared" si="11"/>
        <v>11</v>
      </c>
      <c r="K234" s="108"/>
      <c r="L234" s="108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09"/>
      <c r="AK234" s="109"/>
      <c r="AL234" s="109"/>
      <c r="AM234" s="109"/>
      <c r="AN234" s="109"/>
      <c r="AO234" s="109"/>
      <c r="AP234" s="109"/>
      <c r="AQ234" s="109"/>
      <c r="AR234" s="109"/>
      <c r="AS234" s="109"/>
      <c r="AT234" s="109"/>
      <c r="AU234" s="109"/>
      <c r="AV234" s="109"/>
      <c r="AW234" s="109"/>
      <c r="AX234" s="109"/>
      <c r="AY234" s="109"/>
      <c r="AZ234" s="109"/>
      <c r="BA234" s="109"/>
      <c r="BB234" s="109"/>
      <c r="BC234" s="109"/>
      <c r="BD234" s="109"/>
      <c r="BE234" s="109"/>
      <c r="BF234" s="109"/>
      <c r="BG234" s="109"/>
      <c r="BH234" s="109"/>
      <c r="BI234" s="109"/>
      <c r="BJ234" s="109"/>
      <c r="BK234" s="109"/>
      <c r="BL234" s="109"/>
      <c r="BM234" s="109"/>
      <c r="BN234" s="109"/>
      <c r="BO234" s="109"/>
      <c r="BP234" s="109"/>
      <c r="BQ234" s="109"/>
      <c r="BR234" s="109"/>
      <c r="BS234" s="109"/>
      <c r="BT234" s="109"/>
      <c r="BU234" s="109"/>
      <c r="BV234" s="109"/>
    </row>
    <row r="235" spans="1:74" s="92" customFormat="1" ht="15" hidden="1" customHeight="1">
      <c r="A235" s="111">
        <v>231</v>
      </c>
      <c r="B235" s="3" t="s">
        <v>472</v>
      </c>
      <c r="C235" s="17" t="s">
        <v>473</v>
      </c>
      <c r="D235" s="3" t="s">
        <v>21</v>
      </c>
      <c r="E235" s="111"/>
      <c r="F235" s="111"/>
      <c r="G235" s="108">
        <v>15</v>
      </c>
      <c r="H235" s="26">
        <f t="shared" si="9"/>
        <v>0</v>
      </c>
      <c r="I235" s="26">
        <f t="shared" si="10"/>
        <v>0</v>
      </c>
      <c r="J235" s="108">
        <f t="shared" si="11"/>
        <v>15</v>
      </c>
      <c r="K235" s="108"/>
      <c r="L235" s="108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09"/>
      <c r="AK235" s="109"/>
      <c r="AL235" s="109"/>
      <c r="AM235" s="109"/>
      <c r="AN235" s="109"/>
      <c r="AO235" s="109"/>
      <c r="AP235" s="109"/>
      <c r="AQ235" s="109"/>
      <c r="AR235" s="109"/>
      <c r="AS235" s="109"/>
      <c r="AT235" s="109"/>
      <c r="AU235" s="109"/>
      <c r="AV235" s="133"/>
      <c r="AW235" s="109"/>
      <c r="AX235" s="109"/>
      <c r="AY235" s="109"/>
      <c r="AZ235" s="109"/>
      <c r="BA235" s="109"/>
      <c r="BB235" s="109"/>
      <c r="BC235" s="109"/>
      <c r="BD235" s="109"/>
      <c r="BE235" s="109"/>
      <c r="BF235" s="109"/>
      <c r="BG235" s="109"/>
      <c r="BH235" s="109"/>
      <c r="BI235" s="109"/>
      <c r="BJ235" s="109"/>
      <c r="BK235" s="109"/>
      <c r="BL235" s="109"/>
      <c r="BM235" s="109"/>
      <c r="BN235" s="109"/>
      <c r="BO235" s="109"/>
      <c r="BP235" s="109"/>
      <c r="BQ235" s="109"/>
      <c r="BR235" s="109"/>
      <c r="BS235" s="109"/>
      <c r="BT235" s="109"/>
      <c r="BU235" s="109"/>
      <c r="BV235" s="109"/>
    </row>
    <row r="236" spans="1:74" s="92" customFormat="1" ht="15" hidden="1" customHeight="1">
      <c r="A236" s="111">
        <v>232</v>
      </c>
      <c r="B236" s="127" t="s">
        <v>474</v>
      </c>
      <c r="C236" s="17" t="s">
        <v>475</v>
      </c>
      <c r="D236" s="3" t="s">
        <v>21</v>
      </c>
      <c r="E236" s="111"/>
      <c r="F236" s="111"/>
      <c r="G236" s="108">
        <v>134</v>
      </c>
      <c r="H236" s="26">
        <f t="shared" si="9"/>
        <v>0</v>
      </c>
      <c r="I236" s="26">
        <f t="shared" si="10"/>
        <v>0</v>
      </c>
      <c r="J236" s="108">
        <f t="shared" si="11"/>
        <v>134</v>
      </c>
      <c r="K236" s="108"/>
      <c r="L236" s="108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09"/>
      <c r="AK236" s="109"/>
      <c r="AL236" s="109"/>
      <c r="AM236" s="109"/>
      <c r="AN236" s="109"/>
      <c r="AO236" s="109"/>
      <c r="AP236" s="109"/>
      <c r="AQ236" s="109"/>
      <c r="AR236" s="109"/>
      <c r="AS236" s="109"/>
      <c r="AT236" s="109"/>
      <c r="AU236" s="109"/>
      <c r="AV236" s="109"/>
      <c r="AW236" s="109"/>
      <c r="AX236" s="109"/>
      <c r="AY236" s="109"/>
      <c r="AZ236" s="109"/>
      <c r="BA236" s="109"/>
      <c r="BB236" s="109"/>
      <c r="BC236" s="109"/>
      <c r="BD236" s="109"/>
      <c r="BE236" s="109"/>
      <c r="BF236" s="109"/>
      <c r="BG236" s="109"/>
      <c r="BH236" s="109"/>
      <c r="BI236" s="109"/>
      <c r="BJ236" s="109"/>
      <c r="BK236" s="109"/>
      <c r="BL236" s="109"/>
      <c r="BM236" s="109"/>
      <c r="BN236" s="109"/>
      <c r="BO236" s="109"/>
      <c r="BP236" s="109"/>
      <c r="BQ236" s="109"/>
      <c r="BR236" s="109"/>
      <c r="BS236" s="109"/>
      <c r="BT236" s="109"/>
      <c r="BU236" s="109"/>
      <c r="BV236" s="109"/>
    </row>
    <row r="237" spans="1:74" s="92" customFormat="1" ht="15" hidden="1" customHeight="1">
      <c r="A237" s="111">
        <v>233</v>
      </c>
      <c r="B237" s="3" t="s">
        <v>476</v>
      </c>
      <c r="C237" s="17" t="s">
        <v>477</v>
      </c>
      <c r="D237" s="3" t="s">
        <v>21</v>
      </c>
      <c r="E237" s="111"/>
      <c r="F237" s="111"/>
      <c r="G237" s="108">
        <v>27</v>
      </c>
      <c r="H237" s="26">
        <f t="shared" si="9"/>
        <v>0</v>
      </c>
      <c r="I237" s="26">
        <f t="shared" si="10"/>
        <v>0</v>
      </c>
      <c r="J237" s="108">
        <f t="shared" si="11"/>
        <v>27</v>
      </c>
      <c r="K237" s="108"/>
      <c r="L237" s="108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09"/>
      <c r="AK237" s="109"/>
      <c r="AL237" s="109"/>
      <c r="AM237" s="109"/>
      <c r="AN237" s="109"/>
      <c r="AO237" s="109"/>
      <c r="AP237" s="109"/>
      <c r="AQ237" s="109"/>
      <c r="AR237" s="109"/>
      <c r="AS237" s="109"/>
      <c r="AT237" s="109"/>
      <c r="AU237" s="109"/>
      <c r="AV237" s="109"/>
      <c r="AW237" s="109"/>
      <c r="AX237" s="109"/>
      <c r="AY237" s="109"/>
      <c r="AZ237" s="109"/>
      <c r="BA237" s="109"/>
      <c r="BB237" s="109"/>
      <c r="BC237" s="109"/>
      <c r="BD237" s="109"/>
      <c r="BE237" s="109"/>
      <c r="BF237" s="109"/>
      <c r="BG237" s="109"/>
      <c r="BH237" s="109"/>
      <c r="BI237" s="109"/>
      <c r="BJ237" s="109"/>
      <c r="BK237" s="109"/>
      <c r="BL237" s="109"/>
      <c r="BM237" s="109"/>
      <c r="BN237" s="109"/>
      <c r="BO237" s="109"/>
      <c r="BP237" s="109"/>
      <c r="BQ237" s="109"/>
      <c r="BR237" s="109"/>
      <c r="BS237" s="109"/>
      <c r="BT237" s="109"/>
      <c r="BU237" s="109"/>
      <c r="BV237" s="109"/>
    </row>
    <row r="238" spans="1:74" s="50" customFormat="1" ht="15" hidden="1" customHeight="1">
      <c r="A238" s="111">
        <v>234</v>
      </c>
      <c r="B238" s="3" t="s">
        <v>478</v>
      </c>
      <c r="C238" s="17" t="s">
        <v>479</v>
      </c>
      <c r="D238" s="3" t="s">
        <v>21</v>
      </c>
      <c r="E238" s="111"/>
      <c r="F238" s="111"/>
      <c r="G238" s="110">
        <v>11</v>
      </c>
      <c r="H238" s="3">
        <f t="shared" si="9"/>
        <v>0</v>
      </c>
      <c r="I238" s="3">
        <f t="shared" si="10"/>
        <v>0</v>
      </c>
      <c r="J238" s="110">
        <f t="shared" si="11"/>
        <v>11</v>
      </c>
      <c r="K238" s="110"/>
      <c r="L238" s="110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11"/>
      <c r="BN238" s="111"/>
      <c r="BO238" s="111"/>
      <c r="BP238" s="111"/>
      <c r="BQ238" s="111"/>
      <c r="BR238" s="111"/>
      <c r="BS238" s="111"/>
      <c r="BT238" s="111"/>
      <c r="BU238" s="111"/>
      <c r="BV238" s="111"/>
    </row>
    <row r="239" spans="1:74" s="50" customFormat="1" ht="15" hidden="1" customHeight="1">
      <c r="A239" s="111">
        <v>235</v>
      </c>
      <c r="B239" s="3" t="s">
        <v>480</v>
      </c>
      <c r="C239" s="17" t="s">
        <v>481</v>
      </c>
      <c r="D239" s="3" t="s">
        <v>21</v>
      </c>
      <c r="E239" s="111"/>
      <c r="F239" s="111"/>
      <c r="G239" s="110">
        <v>9</v>
      </c>
      <c r="H239" s="3">
        <f t="shared" si="9"/>
        <v>0</v>
      </c>
      <c r="I239" s="3">
        <f t="shared" si="10"/>
        <v>0</v>
      </c>
      <c r="J239" s="110">
        <f t="shared" si="11"/>
        <v>9</v>
      </c>
      <c r="K239" s="110"/>
      <c r="L239" s="110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  <c r="BJ239" s="111"/>
      <c r="BK239" s="111"/>
      <c r="BL239" s="111"/>
      <c r="BM239" s="111"/>
      <c r="BN239" s="111"/>
      <c r="BO239" s="111"/>
      <c r="BP239" s="111"/>
      <c r="BQ239" s="111"/>
      <c r="BR239" s="111"/>
      <c r="BS239" s="111"/>
      <c r="BT239" s="111"/>
      <c r="BU239" s="111"/>
      <c r="BV239" s="111"/>
    </row>
    <row r="240" spans="1:74" s="50" customFormat="1" ht="15" hidden="1" customHeight="1">
      <c r="A240" s="142">
        <v>236</v>
      </c>
      <c r="B240" s="143" t="s">
        <v>482</v>
      </c>
      <c r="C240" s="144" t="s">
        <v>483</v>
      </c>
      <c r="D240" s="143" t="s">
        <v>21</v>
      </c>
      <c r="E240" s="111"/>
      <c r="F240" s="111"/>
      <c r="G240" s="110">
        <v>88</v>
      </c>
      <c r="H240" s="3">
        <f t="shared" si="9"/>
        <v>0</v>
      </c>
      <c r="I240" s="3">
        <f t="shared" si="10"/>
        <v>42</v>
      </c>
      <c r="J240" s="110">
        <f t="shared" si="11"/>
        <v>46</v>
      </c>
      <c r="K240" s="110"/>
      <c r="L240" s="110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>
        <v>42</v>
      </c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111"/>
      <c r="BG240" s="111"/>
      <c r="BH240" s="111"/>
      <c r="BI240" s="111"/>
      <c r="BJ240" s="111"/>
      <c r="BK240" s="111"/>
      <c r="BL240" s="111"/>
      <c r="BM240" s="111"/>
      <c r="BN240" s="111"/>
      <c r="BO240" s="111"/>
      <c r="BP240" s="111"/>
      <c r="BQ240" s="111"/>
      <c r="BR240" s="111"/>
      <c r="BS240" s="111"/>
      <c r="BT240" s="111"/>
      <c r="BU240" s="111"/>
      <c r="BV240" s="111"/>
    </row>
    <row r="241" spans="1:74" s="50" customFormat="1" ht="15" hidden="1" customHeight="1">
      <c r="A241" s="111">
        <v>237</v>
      </c>
      <c r="B241" s="3" t="s">
        <v>484</v>
      </c>
      <c r="C241" s="17" t="s">
        <v>485</v>
      </c>
      <c r="D241" s="3" t="s">
        <v>21</v>
      </c>
      <c r="E241" s="111"/>
      <c r="F241" s="111"/>
      <c r="G241" s="110">
        <v>18</v>
      </c>
      <c r="H241" s="3">
        <f t="shared" si="9"/>
        <v>0</v>
      </c>
      <c r="I241" s="3">
        <f t="shared" si="10"/>
        <v>0</v>
      </c>
      <c r="J241" s="110">
        <f t="shared" si="11"/>
        <v>18</v>
      </c>
      <c r="K241" s="110"/>
      <c r="L241" s="110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B241" s="111"/>
      <c r="BC241" s="111"/>
      <c r="BD241" s="111"/>
      <c r="BE241" s="111"/>
      <c r="BF241" s="111"/>
      <c r="BG241" s="111"/>
      <c r="BH241" s="111"/>
      <c r="BI241" s="111"/>
      <c r="BJ241" s="111"/>
      <c r="BK241" s="111"/>
      <c r="BL241" s="111"/>
      <c r="BM241" s="111"/>
      <c r="BN241" s="111"/>
      <c r="BO241" s="111"/>
      <c r="BP241" s="111"/>
      <c r="BQ241" s="111"/>
      <c r="BR241" s="111"/>
      <c r="BS241" s="111"/>
      <c r="BT241" s="111"/>
      <c r="BU241" s="111"/>
      <c r="BV241" s="111"/>
    </row>
    <row r="242" spans="1:74" s="50" customFormat="1" ht="15" hidden="1" customHeight="1">
      <c r="A242" s="111">
        <v>238</v>
      </c>
      <c r="B242" s="4" t="s">
        <v>486</v>
      </c>
      <c r="C242" s="19" t="s">
        <v>487</v>
      </c>
      <c r="D242" s="3" t="s">
        <v>21</v>
      </c>
      <c r="E242" s="111"/>
      <c r="F242" s="111"/>
      <c r="G242" s="110">
        <v>17</v>
      </c>
      <c r="H242" s="3">
        <f t="shared" si="9"/>
        <v>0</v>
      </c>
      <c r="I242" s="3">
        <f t="shared" si="10"/>
        <v>0</v>
      </c>
      <c r="J242" s="110">
        <f t="shared" si="11"/>
        <v>17</v>
      </c>
      <c r="K242" s="110"/>
      <c r="L242" s="110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B242" s="111"/>
      <c r="BC242" s="111"/>
      <c r="BD242" s="111"/>
      <c r="BE242" s="111"/>
      <c r="BF242" s="111"/>
      <c r="BG242" s="111"/>
      <c r="BH242" s="111"/>
      <c r="BI242" s="111"/>
      <c r="BJ242" s="111"/>
      <c r="BK242" s="111"/>
      <c r="BL242" s="111"/>
      <c r="BM242" s="111"/>
      <c r="BN242" s="111"/>
      <c r="BO242" s="111"/>
      <c r="BP242" s="111"/>
      <c r="BQ242" s="111"/>
      <c r="BR242" s="111"/>
      <c r="BS242" s="111"/>
      <c r="BT242" s="111"/>
      <c r="BU242" s="111"/>
      <c r="BV242" s="111"/>
    </row>
    <row r="243" spans="1:74" s="50" customFormat="1" ht="15" hidden="1" customHeight="1">
      <c r="A243" s="111">
        <v>239</v>
      </c>
      <c r="B243" s="3" t="s">
        <v>488</v>
      </c>
      <c r="C243" s="17" t="s">
        <v>489</v>
      </c>
      <c r="D243" s="3" t="s">
        <v>21</v>
      </c>
      <c r="E243" s="111"/>
      <c r="F243" s="111"/>
      <c r="G243" s="110">
        <v>0</v>
      </c>
      <c r="H243" s="3">
        <f t="shared" si="9"/>
        <v>0</v>
      </c>
      <c r="I243" s="3">
        <f t="shared" si="10"/>
        <v>0</v>
      </c>
      <c r="J243" s="110">
        <f t="shared" si="11"/>
        <v>0</v>
      </c>
      <c r="K243" s="110"/>
      <c r="L243" s="110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B243" s="111"/>
      <c r="BC243" s="111"/>
      <c r="BD243" s="111"/>
      <c r="BE243" s="111"/>
      <c r="BF243" s="111"/>
      <c r="BG243" s="111"/>
      <c r="BH243" s="111"/>
      <c r="BI243" s="111"/>
      <c r="BJ243" s="111"/>
      <c r="BK243" s="111"/>
      <c r="BL243" s="111"/>
      <c r="BM243" s="111"/>
      <c r="BN243" s="111"/>
      <c r="BO243" s="111"/>
      <c r="BP243" s="111"/>
      <c r="BQ243" s="111"/>
      <c r="BR243" s="111"/>
      <c r="BS243" s="111"/>
      <c r="BT243" s="111"/>
      <c r="BU243" s="111"/>
      <c r="BV243" s="111"/>
    </row>
    <row r="244" spans="1:74" s="50" customFormat="1" ht="15" hidden="1" customHeight="1">
      <c r="A244" s="111">
        <v>240</v>
      </c>
      <c r="B244" s="3" t="s">
        <v>490</v>
      </c>
      <c r="C244" s="17" t="s">
        <v>491</v>
      </c>
      <c r="D244" s="3" t="s">
        <v>21</v>
      </c>
      <c r="E244" s="111"/>
      <c r="F244" s="111"/>
      <c r="G244" s="110">
        <v>6</v>
      </c>
      <c r="H244" s="3">
        <f t="shared" si="9"/>
        <v>0</v>
      </c>
      <c r="I244" s="3">
        <f t="shared" si="10"/>
        <v>0</v>
      </c>
      <c r="J244" s="110">
        <f t="shared" si="11"/>
        <v>6</v>
      </c>
      <c r="K244" s="110"/>
      <c r="L244" s="110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B244" s="111"/>
      <c r="BC244" s="111"/>
      <c r="BD244" s="111"/>
      <c r="BE244" s="111"/>
      <c r="BF244" s="111"/>
      <c r="BG244" s="111"/>
      <c r="BH244" s="111"/>
      <c r="BI244" s="111"/>
      <c r="BJ244" s="111"/>
      <c r="BK244" s="111"/>
      <c r="BL244" s="111"/>
      <c r="BM244" s="111"/>
      <c r="BN244" s="111"/>
      <c r="BO244" s="111"/>
      <c r="BP244" s="111"/>
      <c r="BQ244" s="111"/>
      <c r="BR244" s="111"/>
      <c r="BS244" s="111"/>
      <c r="BT244" s="111"/>
      <c r="BU244" s="111"/>
      <c r="BV244" s="111"/>
    </row>
    <row r="245" spans="1:74" s="50" customFormat="1" ht="15" hidden="1" customHeight="1">
      <c r="A245" s="111">
        <v>241</v>
      </c>
      <c r="B245" s="3" t="s">
        <v>492</v>
      </c>
      <c r="C245" s="17" t="s">
        <v>493</v>
      </c>
      <c r="D245" s="3" t="s">
        <v>21</v>
      </c>
      <c r="E245" s="111"/>
      <c r="F245" s="111"/>
      <c r="G245" s="110">
        <v>0</v>
      </c>
      <c r="H245" s="3">
        <f t="shared" si="9"/>
        <v>0</v>
      </c>
      <c r="I245" s="3">
        <f t="shared" si="10"/>
        <v>0</v>
      </c>
      <c r="J245" s="110">
        <f t="shared" si="11"/>
        <v>0</v>
      </c>
      <c r="K245" s="110"/>
      <c r="L245" s="110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B245" s="111"/>
      <c r="BC245" s="111"/>
      <c r="BD245" s="111"/>
      <c r="BE245" s="111"/>
      <c r="BF245" s="111"/>
      <c r="BG245" s="111"/>
      <c r="BH245" s="111"/>
      <c r="BI245" s="111"/>
      <c r="BJ245" s="111"/>
      <c r="BK245" s="111"/>
      <c r="BL245" s="111"/>
      <c r="BM245" s="111"/>
      <c r="BN245" s="111"/>
      <c r="BO245" s="111"/>
      <c r="BP245" s="111"/>
      <c r="BQ245" s="111"/>
      <c r="BR245" s="111"/>
      <c r="BS245" s="111"/>
      <c r="BT245" s="111"/>
      <c r="BU245" s="111"/>
      <c r="BV245" s="111"/>
    </row>
    <row r="246" spans="1:74" s="50" customFormat="1" ht="15" hidden="1" customHeight="1">
      <c r="A246" s="111">
        <v>242</v>
      </c>
      <c r="B246" s="3" t="s">
        <v>494</v>
      </c>
      <c r="C246" s="17" t="s">
        <v>495</v>
      </c>
      <c r="D246" s="3" t="s">
        <v>21</v>
      </c>
      <c r="E246" s="111"/>
      <c r="F246" s="111"/>
      <c r="G246" s="110">
        <v>0</v>
      </c>
      <c r="H246" s="3">
        <f t="shared" si="9"/>
        <v>0</v>
      </c>
      <c r="I246" s="3">
        <f t="shared" si="10"/>
        <v>0</v>
      </c>
      <c r="J246" s="110">
        <f t="shared" si="11"/>
        <v>0</v>
      </c>
      <c r="K246" s="110"/>
      <c r="L246" s="110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B246" s="111"/>
      <c r="BC246" s="111"/>
      <c r="BD246" s="111"/>
      <c r="BE246" s="111"/>
      <c r="BF246" s="111"/>
      <c r="BG246" s="111"/>
      <c r="BH246" s="111"/>
      <c r="BI246" s="111"/>
      <c r="BJ246" s="111"/>
      <c r="BK246" s="111"/>
      <c r="BL246" s="111"/>
      <c r="BM246" s="111"/>
      <c r="BN246" s="111"/>
      <c r="BO246" s="111"/>
      <c r="BP246" s="111"/>
      <c r="BQ246" s="111"/>
      <c r="BR246" s="111"/>
      <c r="BS246" s="111"/>
      <c r="BT246" s="111"/>
      <c r="BU246" s="111"/>
      <c r="BV246" s="111"/>
    </row>
    <row r="247" spans="1:74" s="50" customFormat="1" ht="15" hidden="1" customHeight="1">
      <c r="A247" s="109">
        <v>243</v>
      </c>
      <c r="B247" s="26" t="s">
        <v>496</v>
      </c>
      <c r="C247" s="27" t="s">
        <v>497</v>
      </c>
      <c r="D247" s="26" t="s">
        <v>21</v>
      </c>
      <c r="E247" s="109"/>
      <c r="F247" s="109"/>
      <c r="G247" s="110">
        <v>18</v>
      </c>
      <c r="H247" s="3">
        <f t="shared" ref="H247:H310" si="12">SUM(M247+O247+Q247+S247+U247+W247+Y247+AA247+AC247+AE247+AG247+AI247+AK247+AM247+AO247+AQ247+AS247+AU247+AW247+AY247+BA247+BC247+BE247+BG247+BI247+BK247+BM247+BO247+BQ247+BS247+BU247)</f>
        <v>0</v>
      </c>
      <c r="I247" s="3">
        <f t="shared" ref="I247:I310" si="13">SUM(N247+P247+R247+T247+V247+X247+Z247+AB247+AD247+AF247+AH247+AJ247+AL247+AN247+AP247+AR247+AT247+AV247+AX247+AZ247+BB247+BD247+BF247+BH247+BJ247+BL247+BN247+BP247+BR247+BT247+BV247)</f>
        <v>0</v>
      </c>
      <c r="J247" s="110">
        <f t="shared" ref="J247:J310" si="14">G247+H247-I247</f>
        <v>18</v>
      </c>
      <c r="K247" s="110"/>
      <c r="L247" s="110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B247" s="111"/>
      <c r="BC247" s="111"/>
      <c r="BD247" s="111"/>
      <c r="BE247" s="111"/>
      <c r="BF247" s="111"/>
      <c r="BG247" s="111"/>
      <c r="BH247" s="111"/>
      <c r="BI247" s="111"/>
      <c r="BJ247" s="111"/>
      <c r="BK247" s="111"/>
      <c r="BL247" s="111"/>
      <c r="BM247" s="111"/>
      <c r="BN247" s="111"/>
      <c r="BO247" s="111"/>
      <c r="BP247" s="111"/>
      <c r="BQ247" s="111"/>
      <c r="BR247" s="111"/>
      <c r="BS247" s="111"/>
      <c r="BT247" s="111"/>
      <c r="BU247" s="111"/>
      <c r="BV247" s="111"/>
    </row>
    <row r="248" spans="1:74" s="50" customFormat="1" ht="15" hidden="1" customHeight="1">
      <c r="A248" s="109">
        <v>244</v>
      </c>
      <c r="B248" s="26" t="s">
        <v>498</v>
      </c>
      <c r="C248" s="27" t="s">
        <v>499</v>
      </c>
      <c r="D248" s="26" t="s">
        <v>21</v>
      </c>
      <c r="E248" s="109"/>
      <c r="F248" s="109"/>
      <c r="G248" s="110">
        <v>12</v>
      </c>
      <c r="H248" s="3">
        <f t="shared" si="12"/>
        <v>0</v>
      </c>
      <c r="I248" s="3">
        <f t="shared" si="13"/>
        <v>0</v>
      </c>
      <c r="J248" s="110">
        <f t="shared" si="14"/>
        <v>12</v>
      </c>
      <c r="K248" s="110"/>
      <c r="L248" s="110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B248" s="111"/>
      <c r="BC248" s="111"/>
      <c r="BD248" s="111"/>
      <c r="BE248" s="111"/>
      <c r="BF248" s="111"/>
      <c r="BG248" s="111"/>
      <c r="BH248" s="111"/>
      <c r="BI248" s="111"/>
      <c r="BJ248" s="111"/>
      <c r="BK248" s="111"/>
      <c r="BL248" s="111"/>
      <c r="BM248" s="111"/>
      <c r="BN248" s="111"/>
      <c r="BO248" s="111"/>
      <c r="BP248" s="111"/>
      <c r="BQ248" s="111"/>
      <c r="BR248" s="111"/>
      <c r="BS248" s="111"/>
      <c r="BT248" s="111"/>
      <c r="BU248" s="111"/>
      <c r="BV248" s="111"/>
    </row>
    <row r="249" spans="1:74" s="50" customFormat="1" ht="15" hidden="1" customHeight="1">
      <c r="A249" s="403">
        <v>245</v>
      </c>
      <c r="B249" s="404" t="s">
        <v>500</v>
      </c>
      <c r="C249" s="405" t="s">
        <v>501</v>
      </c>
      <c r="D249" s="404" t="s">
        <v>21</v>
      </c>
      <c r="E249" s="109"/>
      <c r="F249" s="109"/>
      <c r="G249" s="110">
        <v>104</v>
      </c>
      <c r="H249" s="3">
        <f t="shared" si="12"/>
        <v>0</v>
      </c>
      <c r="I249" s="3">
        <f t="shared" si="13"/>
        <v>0</v>
      </c>
      <c r="J249" s="110">
        <f t="shared" si="14"/>
        <v>104</v>
      </c>
      <c r="K249" s="110"/>
      <c r="L249" s="110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B249" s="111"/>
      <c r="BC249" s="111"/>
      <c r="BD249" s="111"/>
      <c r="BE249" s="111"/>
      <c r="BF249" s="111"/>
      <c r="BG249" s="111"/>
      <c r="BH249" s="111"/>
      <c r="BI249" s="111"/>
      <c r="BJ249" s="111"/>
      <c r="BK249" s="111"/>
      <c r="BL249" s="111"/>
      <c r="BM249" s="111"/>
      <c r="BN249" s="111"/>
      <c r="BO249" s="111"/>
      <c r="BP249" s="111"/>
      <c r="BQ249" s="111"/>
      <c r="BR249" s="111"/>
      <c r="BS249" s="111"/>
      <c r="BT249" s="111"/>
      <c r="BU249" s="111"/>
      <c r="BV249" s="111"/>
    </row>
    <row r="250" spans="1:74" s="50" customFormat="1" ht="15" hidden="1" customHeight="1">
      <c r="A250" s="109">
        <v>246</v>
      </c>
      <c r="B250" s="26" t="s">
        <v>502</v>
      </c>
      <c r="C250" s="27" t="s">
        <v>503</v>
      </c>
      <c r="D250" s="26" t="s">
        <v>21</v>
      </c>
      <c r="E250" s="109"/>
      <c r="F250" s="109"/>
      <c r="G250" s="110">
        <v>67</v>
      </c>
      <c r="H250" s="3">
        <f t="shared" si="12"/>
        <v>0</v>
      </c>
      <c r="I250" s="3">
        <f t="shared" si="13"/>
        <v>0</v>
      </c>
      <c r="J250" s="110">
        <f t="shared" si="14"/>
        <v>67</v>
      </c>
      <c r="K250" s="110"/>
      <c r="L250" s="110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0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B250" s="111"/>
      <c r="BC250" s="111"/>
      <c r="BD250" s="111"/>
      <c r="BE250" s="111"/>
      <c r="BF250" s="111"/>
      <c r="BG250" s="111"/>
      <c r="BH250" s="111"/>
      <c r="BI250" s="111"/>
      <c r="BJ250" s="111"/>
      <c r="BK250" s="111"/>
      <c r="BL250" s="111"/>
      <c r="BM250" s="111"/>
      <c r="BN250" s="111"/>
      <c r="BO250" s="111"/>
      <c r="BP250" s="111"/>
      <c r="BQ250" s="111"/>
      <c r="BR250" s="111"/>
      <c r="BS250" s="111"/>
      <c r="BT250" s="111"/>
      <c r="BU250" s="111"/>
      <c r="BV250" s="111"/>
    </row>
    <row r="251" spans="1:74" s="50" customFormat="1" ht="15" hidden="1" customHeight="1">
      <c r="A251" s="142">
        <v>247</v>
      </c>
      <c r="B251" s="143" t="s">
        <v>504</v>
      </c>
      <c r="C251" s="144" t="s">
        <v>505</v>
      </c>
      <c r="D251" s="143" t="s">
        <v>21</v>
      </c>
      <c r="E251" s="109"/>
      <c r="F251" s="109"/>
      <c r="G251" s="110">
        <v>95</v>
      </c>
      <c r="H251" s="3">
        <f t="shared" si="12"/>
        <v>0</v>
      </c>
      <c r="I251" s="3">
        <f t="shared" si="13"/>
        <v>0</v>
      </c>
      <c r="J251" s="110">
        <f t="shared" si="14"/>
        <v>95</v>
      </c>
      <c r="K251" s="110"/>
      <c r="L251" s="110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0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B251" s="111"/>
      <c r="BC251" s="111"/>
      <c r="BD251" s="111"/>
      <c r="BE251" s="111"/>
      <c r="BF251" s="111"/>
      <c r="BG251" s="111"/>
      <c r="BH251" s="111"/>
      <c r="BI251" s="111"/>
      <c r="BJ251" s="111"/>
      <c r="BK251" s="111"/>
      <c r="BL251" s="111"/>
      <c r="BM251" s="111"/>
      <c r="BN251" s="111"/>
      <c r="BO251" s="111"/>
      <c r="BP251" s="111"/>
      <c r="BQ251" s="111"/>
      <c r="BR251" s="111"/>
      <c r="BS251" s="111"/>
      <c r="BT251" s="111"/>
      <c r="BU251" s="111"/>
      <c r="BV251" s="111"/>
    </row>
    <row r="252" spans="1:74" s="50" customFormat="1" ht="15" hidden="1" customHeight="1">
      <c r="A252" s="142">
        <v>248</v>
      </c>
      <c r="B252" s="143" t="s">
        <v>506</v>
      </c>
      <c r="C252" s="144" t="s">
        <v>507</v>
      </c>
      <c r="D252" s="143" t="s">
        <v>21</v>
      </c>
      <c r="E252" s="109"/>
      <c r="F252" s="109"/>
      <c r="G252" s="110">
        <v>115</v>
      </c>
      <c r="H252" s="3">
        <f t="shared" si="12"/>
        <v>0</v>
      </c>
      <c r="I252" s="3">
        <f t="shared" si="13"/>
        <v>0</v>
      </c>
      <c r="J252" s="110">
        <f t="shared" si="14"/>
        <v>115</v>
      </c>
      <c r="K252" s="110"/>
      <c r="L252" s="110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0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/>
      <c r="BP252" s="111"/>
      <c r="BQ252" s="111"/>
      <c r="BR252" s="111"/>
      <c r="BS252" s="111"/>
      <c r="BT252" s="111"/>
      <c r="BU252" s="111"/>
      <c r="BV252" s="111"/>
    </row>
    <row r="253" spans="1:74" s="50" customFormat="1" ht="15" hidden="1" customHeight="1">
      <c r="A253" s="142">
        <v>249</v>
      </c>
      <c r="B253" s="252" t="s">
        <v>508</v>
      </c>
      <c r="C253" s="338" t="s">
        <v>509</v>
      </c>
      <c r="D253" s="143" t="s">
        <v>21</v>
      </c>
      <c r="E253" s="109"/>
      <c r="F253" s="109"/>
      <c r="G253" s="110">
        <v>750</v>
      </c>
      <c r="H253" s="3">
        <f t="shared" si="12"/>
        <v>0</v>
      </c>
      <c r="I253" s="3">
        <f t="shared" si="13"/>
        <v>0</v>
      </c>
      <c r="J253" s="110">
        <f t="shared" si="14"/>
        <v>750</v>
      </c>
      <c r="K253" s="110"/>
      <c r="L253" s="110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/>
      <c r="BP253" s="111"/>
      <c r="BQ253" s="111"/>
      <c r="BR253" s="111"/>
      <c r="BS253" s="111"/>
      <c r="BT253" s="111"/>
      <c r="BU253" s="111"/>
      <c r="BV253" s="111"/>
    </row>
    <row r="254" spans="1:74" s="50" customFormat="1" ht="15" hidden="1" customHeight="1">
      <c r="A254" s="142">
        <v>250</v>
      </c>
      <c r="B254" s="143" t="s">
        <v>510</v>
      </c>
      <c r="C254" s="144" t="s">
        <v>511</v>
      </c>
      <c r="D254" s="143" t="s">
        <v>21</v>
      </c>
      <c r="E254" s="109"/>
      <c r="F254" s="109"/>
      <c r="G254" s="110">
        <v>649</v>
      </c>
      <c r="H254" s="3">
        <f t="shared" si="12"/>
        <v>24</v>
      </c>
      <c r="I254" s="3">
        <f t="shared" si="13"/>
        <v>260</v>
      </c>
      <c r="J254" s="110">
        <f t="shared" si="14"/>
        <v>413</v>
      </c>
      <c r="K254" s="110"/>
      <c r="L254" s="110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>
        <v>24</v>
      </c>
      <c r="X254" s="111"/>
      <c r="Y254" s="111"/>
      <c r="Z254" s="111">
        <v>50</v>
      </c>
      <c r="AA254" s="111"/>
      <c r="AB254" s="111">
        <v>30</v>
      </c>
      <c r="AC254" s="111"/>
      <c r="AD254" s="111">
        <f>20+18</f>
        <v>38</v>
      </c>
      <c r="AE254" s="111"/>
      <c r="AF254" s="111">
        <f>80+12</f>
        <v>92</v>
      </c>
      <c r="AG254" s="111"/>
      <c r="AH254" s="111"/>
      <c r="AI254" s="111"/>
      <c r="AJ254" s="111"/>
      <c r="AK254" s="111"/>
      <c r="AL254" s="111">
        <v>50</v>
      </c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B254" s="111"/>
      <c r="BC254" s="111"/>
      <c r="BD254" s="111"/>
      <c r="BE254" s="111"/>
      <c r="BF254" s="111"/>
      <c r="BG254" s="111"/>
      <c r="BH254" s="111"/>
      <c r="BI254" s="111"/>
      <c r="BJ254" s="111"/>
      <c r="BK254" s="111"/>
      <c r="BL254" s="111"/>
      <c r="BM254" s="111"/>
      <c r="BN254" s="111"/>
      <c r="BO254" s="111"/>
      <c r="BP254" s="111"/>
      <c r="BQ254" s="111"/>
      <c r="BR254" s="111"/>
      <c r="BS254" s="111"/>
      <c r="BT254" s="111"/>
      <c r="BU254" s="111"/>
      <c r="BV254" s="111"/>
    </row>
    <row r="255" spans="1:74" s="50" customFormat="1" ht="15" hidden="1" customHeight="1">
      <c r="A255" s="111">
        <v>251</v>
      </c>
      <c r="B255" s="3" t="s">
        <v>512</v>
      </c>
      <c r="C255" s="17" t="s">
        <v>513</v>
      </c>
      <c r="D255" s="3" t="s">
        <v>21</v>
      </c>
      <c r="E255" s="109"/>
      <c r="F255" s="111"/>
      <c r="G255" s="110">
        <v>1</v>
      </c>
      <c r="H255" s="3">
        <f t="shared" si="12"/>
        <v>0</v>
      </c>
      <c r="I255" s="3">
        <f t="shared" si="13"/>
        <v>0</v>
      </c>
      <c r="J255" s="110">
        <f t="shared" si="14"/>
        <v>1</v>
      </c>
      <c r="K255" s="110"/>
      <c r="L255" s="110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/>
      <c r="BP255" s="111"/>
      <c r="BQ255" s="111"/>
      <c r="BR255" s="111"/>
      <c r="BS255" s="111"/>
      <c r="BT255" s="111"/>
      <c r="BU255" s="111"/>
      <c r="BV255" s="111"/>
    </row>
    <row r="256" spans="1:74" s="50" customFormat="1" ht="15" hidden="1" customHeight="1">
      <c r="A256" s="111">
        <v>252</v>
      </c>
      <c r="B256" s="3" t="s">
        <v>514</v>
      </c>
      <c r="C256" s="17" t="s">
        <v>515</v>
      </c>
      <c r="D256" s="3" t="s">
        <v>21</v>
      </c>
      <c r="E256" s="111"/>
      <c r="F256" s="111"/>
      <c r="G256" s="110">
        <v>7</v>
      </c>
      <c r="H256" s="3">
        <f t="shared" si="12"/>
        <v>0</v>
      </c>
      <c r="I256" s="3">
        <f t="shared" si="13"/>
        <v>0</v>
      </c>
      <c r="J256" s="110">
        <f t="shared" si="14"/>
        <v>7</v>
      </c>
      <c r="K256" s="110"/>
      <c r="L256" s="110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B256" s="111"/>
      <c r="BC256" s="111"/>
      <c r="BD256" s="111"/>
      <c r="BE256" s="111"/>
      <c r="BF256" s="111"/>
      <c r="BG256" s="111"/>
      <c r="BH256" s="111"/>
      <c r="BI256" s="111"/>
      <c r="BJ256" s="111"/>
      <c r="BK256" s="111"/>
      <c r="BL256" s="111"/>
      <c r="BM256" s="111"/>
      <c r="BN256" s="111"/>
      <c r="BO256" s="111"/>
      <c r="BP256" s="111"/>
      <c r="BQ256" s="111"/>
      <c r="BR256" s="111"/>
      <c r="BS256" s="111"/>
      <c r="BT256" s="111"/>
      <c r="BU256" s="111"/>
      <c r="BV256" s="111"/>
    </row>
    <row r="257" spans="1:74" s="50" customFormat="1" ht="30.75" hidden="1" customHeight="1">
      <c r="A257" s="111">
        <v>253</v>
      </c>
      <c r="B257" s="4" t="s">
        <v>516</v>
      </c>
      <c r="C257" s="277" t="s">
        <v>517</v>
      </c>
      <c r="D257" s="3" t="s">
        <v>21</v>
      </c>
      <c r="E257" s="111"/>
      <c r="F257" s="111"/>
      <c r="G257" s="110">
        <v>1</v>
      </c>
      <c r="H257" s="3">
        <f t="shared" si="12"/>
        <v>0</v>
      </c>
      <c r="I257" s="3">
        <f t="shared" si="13"/>
        <v>0</v>
      </c>
      <c r="J257" s="110">
        <f t="shared" si="14"/>
        <v>1</v>
      </c>
      <c r="K257" s="110"/>
      <c r="L257" s="110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B257" s="111"/>
      <c r="BC257" s="111"/>
      <c r="BD257" s="111"/>
      <c r="BE257" s="111"/>
      <c r="BF257" s="111"/>
      <c r="BG257" s="111"/>
      <c r="BH257" s="111"/>
      <c r="BI257" s="111"/>
      <c r="BJ257" s="111"/>
      <c r="BK257" s="111"/>
      <c r="BL257" s="111"/>
      <c r="BM257" s="111"/>
      <c r="BN257" s="111"/>
      <c r="BO257" s="111"/>
      <c r="BP257" s="111"/>
      <c r="BQ257" s="111"/>
      <c r="BR257" s="111"/>
      <c r="BS257" s="111"/>
      <c r="BT257" s="111"/>
      <c r="BU257" s="111"/>
      <c r="BV257" s="111"/>
    </row>
    <row r="258" spans="1:74" s="50" customFormat="1" ht="30" hidden="1" customHeight="1">
      <c r="A258" s="111">
        <v>254</v>
      </c>
      <c r="B258" s="3" t="s">
        <v>518</v>
      </c>
      <c r="C258" s="17" t="s">
        <v>519</v>
      </c>
      <c r="D258" s="3" t="s">
        <v>21</v>
      </c>
      <c r="E258" s="111"/>
      <c r="F258" s="111"/>
      <c r="G258" s="110">
        <v>12</v>
      </c>
      <c r="H258" s="3">
        <f t="shared" si="12"/>
        <v>0</v>
      </c>
      <c r="I258" s="3">
        <f t="shared" si="13"/>
        <v>0</v>
      </c>
      <c r="J258" s="110">
        <f t="shared" si="14"/>
        <v>12</v>
      </c>
      <c r="K258" s="110"/>
      <c r="L258" s="110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B258" s="111"/>
      <c r="BC258" s="111"/>
      <c r="BD258" s="111"/>
      <c r="BE258" s="111"/>
      <c r="BF258" s="111"/>
      <c r="BG258" s="111"/>
      <c r="BH258" s="111"/>
      <c r="BI258" s="111"/>
      <c r="BJ258" s="111"/>
      <c r="BK258" s="111"/>
      <c r="BL258" s="111"/>
      <c r="BM258" s="111"/>
      <c r="BN258" s="111"/>
      <c r="BO258" s="111"/>
      <c r="BP258" s="111"/>
      <c r="BQ258" s="111"/>
      <c r="BR258" s="111"/>
      <c r="BS258" s="111"/>
      <c r="BT258" s="111"/>
      <c r="BU258" s="111"/>
      <c r="BV258" s="111"/>
    </row>
    <row r="259" spans="1:74" s="50" customFormat="1" ht="29.25" hidden="1" customHeight="1">
      <c r="A259" s="111">
        <v>255</v>
      </c>
      <c r="B259" s="3" t="s">
        <v>520</v>
      </c>
      <c r="C259" s="17" t="s">
        <v>521</v>
      </c>
      <c r="D259" s="3" t="s">
        <v>21</v>
      </c>
      <c r="E259" s="111"/>
      <c r="F259" s="111"/>
      <c r="G259" s="110">
        <v>2</v>
      </c>
      <c r="H259" s="3">
        <f t="shared" si="12"/>
        <v>0</v>
      </c>
      <c r="I259" s="3">
        <f t="shared" si="13"/>
        <v>0</v>
      </c>
      <c r="J259" s="110">
        <f t="shared" si="14"/>
        <v>2</v>
      </c>
      <c r="K259" s="110"/>
      <c r="L259" s="110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B259" s="111"/>
      <c r="BC259" s="111"/>
      <c r="BD259" s="111"/>
      <c r="BE259" s="111"/>
      <c r="BF259" s="111"/>
      <c r="BG259" s="111"/>
      <c r="BH259" s="111"/>
      <c r="BI259" s="111"/>
      <c r="BJ259" s="111"/>
      <c r="BK259" s="111"/>
      <c r="BL259" s="111"/>
      <c r="BM259" s="111"/>
      <c r="BN259" s="111"/>
      <c r="BO259" s="111"/>
      <c r="BP259" s="111"/>
      <c r="BQ259" s="111"/>
      <c r="BR259" s="111"/>
      <c r="BS259" s="111"/>
      <c r="BT259" s="111"/>
      <c r="BU259" s="111"/>
      <c r="BV259" s="111"/>
    </row>
    <row r="260" spans="1:74" s="92" customFormat="1" ht="29.25" hidden="1" customHeight="1">
      <c r="A260" s="111">
        <v>256</v>
      </c>
      <c r="B260" s="3" t="s">
        <v>522</v>
      </c>
      <c r="C260" s="17" t="s">
        <v>523</v>
      </c>
      <c r="D260" s="3" t="s">
        <v>21</v>
      </c>
      <c r="E260" s="111"/>
      <c r="F260" s="111"/>
      <c r="G260" s="108">
        <v>9</v>
      </c>
      <c r="H260" s="26">
        <f t="shared" si="12"/>
        <v>0</v>
      </c>
      <c r="I260" s="26">
        <f t="shared" si="13"/>
        <v>0</v>
      </c>
      <c r="J260" s="108">
        <f t="shared" si="14"/>
        <v>9</v>
      </c>
      <c r="K260" s="108"/>
      <c r="L260" s="108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  <c r="AN260" s="109"/>
      <c r="AO260" s="109"/>
      <c r="AP260" s="109"/>
      <c r="AQ260" s="109"/>
      <c r="AR260" s="109"/>
      <c r="AS260" s="109"/>
      <c r="AT260" s="109"/>
      <c r="AU260" s="109"/>
      <c r="AV260" s="109"/>
      <c r="AW260" s="109"/>
      <c r="AX260" s="109"/>
      <c r="AY260" s="109"/>
      <c r="AZ260" s="109"/>
      <c r="BA260" s="109"/>
      <c r="BB260" s="109"/>
      <c r="BC260" s="109"/>
      <c r="BD260" s="109"/>
      <c r="BE260" s="109"/>
      <c r="BF260" s="109"/>
      <c r="BG260" s="109"/>
      <c r="BH260" s="109"/>
      <c r="BI260" s="109"/>
      <c r="BJ260" s="109"/>
      <c r="BK260" s="109"/>
      <c r="BL260" s="109"/>
      <c r="BM260" s="109"/>
      <c r="BN260" s="109"/>
      <c r="BO260" s="109"/>
      <c r="BP260" s="109"/>
      <c r="BQ260" s="109"/>
      <c r="BR260" s="109"/>
      <c r="BS260" s="109"/>
      <c r="BT260" s="109"/>
      <c r="BU260" s="109"/>
      <c r="BV260" s="109"/>
    </row>
    <row r="261" spans="1:74" s="92" customFormat="1" ht="44.25" hidden="1" customHeight="1">
      <c r="A261" s="111">
        <v>257</v>
      </c>
      <c r="B261" s="3" t="s">
        <v>524</v>
      </c>
      <c r="C261" s="17" t="s">
        <v>525</v>
      </c>
      <c r="D261" s="3" t="s">
        <v>21</v>
      </c>
      <c r="E261" s="111"/>
      <c r="F261" s="111"/>
      <c r="G261" s="108">
        <v>11</v>
      </c>
      <c r="H261" s="26">
        <f t="shared" si="12"/>
        <v>0</v>
      </c>
      <c r="I261" s="26">
        <f t="shared" si="13"/>
        <v>0</v>
      </c>
      <c r="J261" s="108">
        <f t="shared" si="14"/>
        <v>11</v>
      </c>
      <c r="K261" s="108"/>
      <c r="L261" s="108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09"/>
      <c r="AK261" s="109"/>
      <c r="AL261" s="109"/>
      <c r="AM261" s="109"/>
      <c r="AN261" s="109"/>
      <c r="AO261" s="109"/>
      <c r="AP261" s="109"/>
      <c r="AQ261" s="109"/>
      <c r="AR261" s="109"/>
      <c r="AS261" s="109"/>
      <c r="AT261" s="109"/>
      <c r="AU261" s="109"/>
      <c r="AV261" s="109"/>
      <c r="AW261" s="109"/>
      <c r="AX261" s="109"/>
      <c r="AY261" s="109"/>
      <c r="AZ261" s="109"/>
      <c r="BA261" s="109"/>
      <c r="BB261" s="109"/>
      <c r="BC261" s="109"/>
      <c r="BD261" s="109"/>
      <c r="BE261" s="109"/>
      <c r="BF261" s="109"/>
      <c r="BG261" s="109"/>
      <c r="BH261" s="109"/>
      <c r="BI261" s="109"/>
      <c r="BJ261" s="109"/>
      <c r="BK261" s="109"/>
      <c r="BL261" s="109"/>
      <c r="BM261" s="109"/>
      <c r="BN261" s="109"/>
      <c r="BO261" s="109"/>
      <c r="BP261" s="109"/>
      <c r="BQ261" s="109"/>
      <c r="BR261" s="109"/>
      <c r="BS261" s="109"/>
      <c r="BT261" s="109"/>
      <c r="BU261" s="109"/>
      <c r="BV261" s="109"/>
    </row>
    <row r="262" spans="1:74" s="50" customFormat="1" ht="15" hidden="1" customHeight="1">
      <c r="A262" s="109">
        <v>258</v>
      </c>
      <c r="B262" s="26" t="s">
        <v>526</v>
      </c>
      <c r="C262" s="27" t="s">
        <v>527</v>
      </c>
      <c r="D262" s="26" t="s">
        <v>21</v>
      </c>
      <c r="E262" s="109"/>
      <c r="F262" s="109"/>
      <c r="G262" s="110">
        <v>6</v>
      </c>
      <c r="H262" s="3">
        <f t="shared" si="12"/>
        <v>0</v>
      </c>
      <c r="I262" s="3">
        <f t="shared" si="13"/>
        <v>0</v>
      </c>
      <c r="J262" s="110">
        <f t="shared" si="14"/>
        <v>6</v>
      </c>
      <c r="K262" s="110"/>
      <c r="L262" s="110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B262" s="111"/>
      <c r="BC262" s="111"/>
      <c r="BD262" s="111"/>
      <c r="BE262" s="111"/>
      <c r="BF262" s="111"/>
      <c r="BG262" s="111"/>
      <c r="BH262" s="111"/>
      <c r="BI262" s="111"/>
      <c r="BJ262" s="111"/>
      <c r="BK262" s="111"/>
      <c r="BL262" s="111"/>
      <c r="BM262" s="111"/>
      <c r="BN262" s="111"/>
      <c r="BO262" s="111"/>
      <c r="BP262" s="111"/>
      <c r="BQ262" s="111"/>
      <c r="BR262" s="111"/>
      <c r="BS262" s="111"/>
      <c r="BT262" s="111"/>
      <c r="BU262" s="111"/>
      <c r="BV262" s="111"/>
    </row>
    <row r="263" spans="1:74" s="50" customFormat="1" ht="15" hidden="1" customHeight="1">
      <c r="A263" s="109">
        <v>259</v>
      </c>
      <c r="B263" s="26" t="s">
        <v>528</v>
      </c>
      <c r="C263" s="27" t="s">
        <v>529</v>
      </c>
      <c r="D263" s="26" t="s">
        <v>21</v>
      </c>
      <c r="E263" s="109"/>
      <c r="F263" s="109"/>
      <c r="G263" s="110">
        <v>14</v>
      </c>
      <c r="H263" s="3">
        <f t="shared" si="12"/>
        <v>0</v>
      </c>
      <c r="I263" s="3">
        <f t="shared" si="13"/>
        <v>0</v>
      </c>
      <c r="J263" s="110">
        <f t="shared" si="14"/>
        <v>14</v>
      </c>
      <c r="K263" s="110"/>
      <c r="L263" s="110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B263" s="111"/>
      <c r="BC263" s="111"/>
      <c r="BD263" s="111"/>
      <c r="BE263" s="111"/>
      <c r="BF263" s="111"/>
      <c r="BG263" s="111"/>
      <c r="BH263" s="111"/>
      <c r="BI263" s="111"/>
      <c r="BJ263" s="111"/>
      <c r="BK263" s="111"/>
      <c r="BL263" s="111"/>
      <c r="BM263" s="111"/>
      <c r="BN263" s="111"/>
      <c r="BO263" s="111"/>
      <c r="BP263" s="111"/>
      <c r="BQ263" s="111"/>
      <c r="BR263" s="111"/>
      <c r="BS263" s="111"/>
      <c r="BT263" s="111"/>
      <c r="BU263" s="111"/>
      <c r="BV263" s="111"/>
    </row>
    <row r="264" spans="1:74" s="50" customFormat="1" ht="15" hidden="1" customHeight="1">
      <c r="A264" s="403">
        <v>260</v>
      </c>
      <c r="B264" s="404" t="s">
        <v>530</v>
      </c>
      <c r="C264" s="405" t="s">
        <v>531</v>
      </c>
      <c r="D264" s="404" t="s">
        <v>21</v>
      </c>
      <c r="E264" s="109"/>
      <c r="F264" s="109"/>
      <c r="G264" s="110">
        <v>67</v>
      </c>
      <c r="H264" s="3">
        <f t="shared" si="12"/>
        <v>0</v>
      </c>
      <c r="I264" s="3">
        <f t="shared" si="13"/>
        <v>42</v>
      </c>
      <c r="J264" s="110">
        <f t="shared" si="14"/>
        <v>25</v>
      </c>
      <c r="K264" s="110"/>
      <c r="L264" s="110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>
        <v>20</v>
      </c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>
        <v>22</v>
      </c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B264" s="111"/>
      <c r="BC264" s="111"/>
      <c r="BD264" s="111"/>
      <c r="BE264" s="111"/>
      <c r="BF264" s="111"/>
      <c r="BG264" s="111"/>
      <c r="BH264" s="111"/>
      <c r="BI264" s="111"/>
      <c r="BJ264" s="111"/>
      <c r="BK264" s="111"/>
      <c r="BL264" s="111"/>
      <c r="BM264" s="111"/>
      <c r="BN264" s="111"/>
      <c r="BO264" s="111"/>
      <c r="BP264" s="111"/>
      <c r="BQ264" s="111"/>
      <c r="BR264" s="111"/>
      <c r="BS264" s="111"/>
      <c r="BT264" s="111"/>
      <c r="BU264" s="111"/>
      <c r="BV264" s="111"/>
    </row>
    <row r="265" spans="1:74" s="50" customFormat="1" ht="15" hidden="1" customHeight="1">
      <c r="A265" s="109">
        <v>261</v>
      </c>
      <c r="B265" s="26" t="s">
        <v>532</v>
      </c>
      <c r="C265" s="27" t="s">
        <v>533</v>
      </c>
      <c r="D265" s="26" t="s">
        <v>21</v>
      </c>
      <c r="E265" s="109"/>
      <c r="F265" s="109"/>
      <c r="G265" s="110">
        <v>11</v>
      </c>
      <c r="H265" s="3">
        <f t="shared" si="12"/>
        <v>0</v>
      </c>
      <c r="I265" s="3">
        <f t="shared" si="13"/>
        <v>0</v>
      </c>
      <c r="J265" s="110">
        <f t="shared" si="14"/>
        <v>11</v>
      </c>
      <c r="K265" s="110"/>
      <c r="L265" s="110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B265" s="111"/>
      <c r="BC265" s="111"/>
      <c r="BD265" s="111"/>
      <c r="BE265" s="111"/>
      <c r="BF265" s="111"/>
      <c r="BG265" s="111"/>
      <c r="BH265" s="111"/>
      <c r="BI265" s="111"/>
      <c r="BJ265" s="111"/>
      <c r="BK265" s="111"/>
      <c r="BL265" s="111"/>
      <c r="BM265" s="111"/>
      <c r="BN265" s="111"/>
      <c r="BO265" s="111"/>
      <c r="BP265" s="111"/>
      <c r="BQ265" s="111"/>
      <c r="BR265" s="111"/>
      <c r="BS265" s="111"/>
      <c r="BT265" s="111"/>
      <c r="BU265" s="111"/>
      <c r="BV265" s="111"/>
    </row>
    <row r="266" spans="1:74" s="50" customFormat="1" ht="15" hidden="1" customHeight="1">
      <c r="A266" s="109">
        <v>262</v>
      </c>
      <c r="B266" s="26" t="s">
        <v>534</v>
      </c>
      <c r="C266" s="27" t="s">
        <v>535</v>
      </c>
      <c r="D266" s="26" t="s">
        <v>21</v>
      </c>
      <c r="E266" s="109"/>
      <c r="F266" s="109"/>
      <c r="G266" s="110">
        <v>14</v>
      </c>
      <c r="H266" s="3">
        <f t="shared" si="12"/>
        <v>0</v>
      </c>
      <c r="I266" s="3">
        <f t="shared" si="13"/>
        <v>0</v>
      </c>
      <c r="J266" s="110">
        <f t="shared" si="14"/>
        <v>14</v>
      </c>
      <c r="K266" s="110"/>
      <c r="L266" s="110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B266" s="111"/>
      <c r="BC266" s="111"/>
      <c r="BD266" s="111"/>
      <c r="BE266" s="111"/>
      <c r="BF266" s="111"/>
      <c r="BG266" s="111"/>
      <c r="BH266" s="111"/>
      <c r="BI266" s="111"/>
      <c r="BJ266" s="111"/>
      <c r="BK266" s="111"/>
      <c r="BL266" s="111"/>
      <c r="BM266" s="111"/>
      <c r="BN266" s="111"/>
      <c r="BO266" s="111"/>
      <c r="BP266" s="111"/>
      <c r="BQ266" s="111"/>
      <c r="BR266" s="111"/>
      <c r="BS266" s="111"/>
      <c r="BT266" s="111"/>
      <c r="BU266" s="111"/>
      <c r="BV266" s="111"/>
    </row>
    <row r="267" spans="1:74" s="50" customFormat="1" ht="15" hidden="1" customHeight="1">
      <c r="A267" s="109">
        <v>263</v>
      </c>
      <c r="B267" s="112" t="s">
        <v>536</v>
      </c>
      <c r="C267" s="129" t="s">
        <v>537</v>
      </c>
      <c r="D267" s="26" t="s">
        <v>21</v>
      </c>
      <c r="E267" s="109"/>
      <c r="F267" s="109"/>
      <c r="G267" s="110">
        <v>20</v>
      </c>
      <c r="H267" s="3">
        <f t="shared" si="12"/>
        <v>0</v>
      </c>
      <c r="I267" s="3">
        <f t="shared" si="13"/>
        <v>0</v>
      </c>
      <c r="J267" s="110">
        <f t="shared" si="14"/>
        <v>20</v>
      </c>
      <c r="K267" s="110"/>
      <c r="L267" s="110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B267" s="111"/>
      <c r="BC267" s="111"/>
      <c r="BD267" s="111"/>
      <c r="BE267" s="111"/>
      <c r="BF267" s="111"/>
      <c r="BG267" s="111"/>
      <c r="BH267" s="111"/>
      <c r="BI267" s="111"/>
      <c r="BJ267" s="111"/>
      <c r="BK267" s="111"/>
      <c r="BL267" s="111"/>
      <c r="BM267" s="111"/>
      <c r="BN267" s="111"/>
      <c r="BO267" s="111"/>
      <c r="BP267" s="111"/>
      <c r="BQ267" s="111"/>
      <c r="BR267" s="111"/>
      <c r="BS267" s="111"/>
      <c r="BT267" s="111"/>
      <c r="BU267" s="111"/>
      <c r="BV267" s="111"/>
    </row>
    <row r="268" spans="1:74" s="50" customFormat="1" ht="15" hidden="1" customHeight="1">
      <c r="A268" s="403">
        <v>264</v>
      </c>
      <c r="B268" s="409" t="s">
        <v>538</v>
      </c>
      <c r="C268" s="410" t="s">
        <v>539</v>
      </c>
      <c r="D268" s="404" t="s">
        <v>21</v>
      </c>
      <c r="E268" s="109"/>
      <c r="F268" s="109"/>
      <c r="G268" s="110">
        <v>67</v>
      </c>
      <c r="H268" s="3">
        <f t="shared" si="12"/>
        <v>0</v>
      </c>
      <c r="I268" s="3">
        <f t="shared" si="13"/>
        <v>42</v>
      </c>
      <c r="J268" s="110">
        <f t="shared" si="14"/>
        <v>25</v>
      </c>
      <c r="K268" s="110"/>
      <c r="L268" s="110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>
        <v>20</v>
      </c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>
        <v>22</v>
      </c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B268" s="111"/>
      <c r="BC268" s="111"/>
      <c r="BD268" s="111"/>
      <c r="BE268" s="111"/>
      <c r="BF268" s="111"/>
      <c r="BG268" s="111"/>
      <c r="BH268" s="111"/>
      <c r="BI268" s="111"/>
      <c r="BJ268" s="111"/>
      <c r="BK268" s="111"/>
      <c r="BL268" s="111"/>
      <c r="BM268" s="111"/>
      <c r="BN268" s="111"/>
      <c r="BO268" s="111"/>
      <c r="BP268" s="111"/>
      <c r="BQ268" s="111"/>
      <c r="BR268" s="111"/>
      <c r="BS268" s="111"/>
      <c r="BT268" s="111"/>
      <c r="BU268" s="111"/>
      <c r="BV268" s="111"/>
    </row>
    <row r="269" spans="1:74" s="50" customFormat="1" ht="15" hidden="1" customHeight="1">
      <c r="A269" s="109">
        <v>265</v>
      </c>
      <c r="B269" s="26" t="s">
        <v>540</v>
      </c>
      <c r="C269" s="27" t="s">
        <v>541</v>
      </c>
      <c r="D269" s="26" t="s">
        <v>21</v>
      </c>
      <c r="E269" s="109"/>
      <c r="F269" s="109"/>
      <c r="G269" s="110">
        <v>13</v>
      </c>
      <c r="H269" s="3">
        <f t="shared" si="12"/>
        <v>0</v>
      </c>
      <c r="I269" s="3">
        <f t="shared" si="13"/>
        <v>0</v>
      </c>
      <c r="J269" s="110">
        <f t="shared" si="14"/>
        <v>13</v>
      </c>
      <c r="K269" s="110"/>
      <c r="L269" s="110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B269" s="111"/>
      <c r="BC269" s="111"/>
      <c r="BD269" s="111"/>
      <c r="BE269" s="111"/>
      <c r="BF269" s="111"/>
      <c r="BG269" s="111"/>
      <c r="BH269" s="111"/>
      <c r="BI269" s="111"/>
      <c r="BJ269" s="111"/>
      <c r="BK269" s="111"/>
      <c r="BL269" s="111"/>
      <c r="BM269" s="111"/>
      <c r="BN269" s="111"/>
      <c r="BO269" s="111"/>
      <c r="BP269" s="111"/>
      <c r="BQ269" s="111"/>
      <c r="BR269" s="111"/>
      <c r="BS269" s="111"/>
      <c r="BT269" s="111"/>
      <c r="BU269" s="111"/>
      <c r="BV269" s="111"/>
    </row>
    <row r="270" spans="1:74" s="50" customFormat="1" ht="15" hidden="1" customHeight="1">
      <c r="A270" s="109">
        <v>266</v>
      </c>
      <c r="B270" s="26" t="s">
        <v>542</v>
      </c>
      <c r="C270" s="27" t="s">
        <v>543</v>
      </c>
      <c r="D270" s="26" t="s">
        <v>21</v>
      </c>
      <c r="E270" s="109"/>
      <c r="F270" s="109"/>
      <c r="G270" s="110">
        <v>12</v>
      </c>
      <c r="H270" s="3">
        <f t="shared" si="12"/>
        <v>0</v>
      </c>
      <c r="I270" s="3">
        <f t="shared" si="13"/>
        <v>0</v>
      </c>
      <c r="J270" s="110">
        <f t="shared" si="14"/>
        <v>12</v>
      </c>
      <c r="K270" s="110"/>
      <c r="L270" s="110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B270" s="111"/>
      <c r="BC270" s="111"/>
      <c r="BD270" s="111"/>
      <c r="BE270" s="111"/>
      <c r="BF270" s="111"/>
      <c r="BG270" s="111"/>
      <c r="BH270" s="111"/>
      <c r="BI270" s="111"/>
      <c r="BJ270" s="111"/>
      <c r="BK270" s="111"/>
      <c r="BL270" s="111"/>
      <c r="BM270" s="111"/>
      <c r="BN270" s="111"/>
      <c r="BO270" s="111"/>
      <c r="BP270" s="111"/>
      <c r="BQ270" s="111"/>
      <c r="BR270" s="111"/>
      <c r="BS270" s="111"/>
      <c r="BT270" s="111"/>
      <c r="BU270" s="111"/>
      <c r="BV270" s="111"/>
    </row>
    <row r="271" spans="1:74" s="50" customFormat="1" ht="15" hidden="1" customHeight="1">
      <c r="A271" s="403">
        <v>267</v>
      </c>
      <c r="B271" s="404" t="s">
        <v>544</v>
      </c>
      <c r="C271" s="405" t="s">
        <v>545</v>
      </c>
      <c r="D271" s="404" t="s">
        <v>21</v>
      </c>
      <c r="E271" s="109"/>
      <c r="F271" s="109"/>
      <c r="G271" s="110">
        <v>45</v>
      </c>
      <c r="H271" s="3">
        <f t="shared" si="12"/>
        <v>110</v>
      </c>
      <c r="I271" s="3">
        <f t="shared" si="13"/>
        <v>68</v>
      </c>
      <c r="J271" s="110">
        <f t="shared" si="14"/>
        <v>87</v>
      </c>
      <c r="K271" s="110"/>
      <c r="L271" s="110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>
        <v>18</v>
      </c>
      <c r="AC271" s="111">
        <v>110</v>
      </c>
      <c r="AD271" s="111">
        <f>12+18</f>
        <v>30</v>
      </c>
      <c r="AE271" s="111"/>
      <c r="AF271" s="111">
        <v>20</v>
      </c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B271" s="111"/>
      <c r="BC271" s="111"/>
      <c r="BD271" s="111"/>
      <c r="BE271" s="111"/>
      <c r="BF271" s="111"/>
      <c r="BG271" s="111"/>
      <c r="BH271" s="111"/>
      <c r="BI271" s="111"/>
      <c r="BJ271" s="111"/>
      <c r="BK271" s="111"/>
      <c r="BL271" s="111"/>
      <c r="BM271" s="111"/>
      <c r="BN271" s="111"/>
      <c r="BO271" s="111"/>
      <c r="BP271" s="111"/>
      <c r="BQ271" s="111"/>
      <c r="BR271" s="111"/>
      <c r="BS271" s="111"/>
      <c r="BT271" s="111"/>
      <c r="BU271" s="111"/>
      <c r="BV271" s="111"/>
    </row>
    <row r="272" spans="1:74" s="50" customFormat="1" ht="15.75" hidden="1" customHeight="1">
      <c r="A272" s="109">
        <v>268</v>
      </c>
      <c r="B272" s="26" t="s">
        <v>546</v>
      </c>
      <c r="C272" s="27" t="s">
        <v>547</v>
      </c>
      <c r="D272" s="26" t="s">
        <v>21</v>
      </c>
      <c r="E272" s="109"/>
      <c r="F272" s="109"/>
      <c r="G272" s="110">
        <v>39</v>
      </c>
      <c r="H272" s="3">
        <f t="shared" si="12"/>
        <v>0</v>
      </c>
      <c r="I272" s="3">
        <f t="shared" si="13"/>
        <v>0</v>
      </c>
      <c r="J272" s="110">
        <f t="shared" si="14"/>
        <v>39</v>
      </c>
      <c r="K272" s="110"/>
      <c r="L272" s="110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B272" s="111"/>
      <c r="BC272" s="111"/>
      <c r="BD272" s="111"/>
      <c r="BE272" s="111"/>
      <c r="BF272" s="111"/>
      <c r="BG272" s="111"/>
      <c r="BH272" s="111"/>
      <c r="BI272" s="111"/>
      <c r="BJ272" s="111"/>
      <c r="BK272" s="111"/>
      <c r="BL272" s="111"/>
      <c r="BM272" s="111"/>
      <c r="BN272" s="111"/>
      <c r="BO272" s="111"/>
      <c r="BP272" s="111"/>
      <c r="BQ272" s="111"/>
      <c r="BR272" s="111"/>
      <c r="BS272" s="111"/>
      <c r="BT272" s="111"/>
      <c r="BU272" s="111"/>
      <c r="BV272" s="111"/>
    </row>
    <row r="273" spans="1:74" s="50" customFormat="1" ht="15" hidden="1" customHeight="1">
      <c r="A273" s="109">
        <v>269</v>
      </c>
      <c r="B273" s="26" t="s">
        <v>548</v>
      </c>
      <c r="C273" s="27" t="s">
        <v>549</v>
      </c>
      <c r="D273" s="26" t="s">
        <v>21</v>
      </c>
      <c r="E273" s="109"/>
      <c r="F273" s="109"/>
      <c r="G273" s="110">
        <v>13</v>
      </c>
      <c r="H273" s="3">
        <f t="shared" si="12"/>
        <v>0</v>
      </c>
      <c r="I273" s="3">
        <f t="shared" si="13"/>
        <v>0</v>
      </c>
      <c r="J273" s="110">
        <f t="shared" si="14"/>
        <v>13</v>
      </c>
      <c r="K273" s="110"/>
      <c r="L273" s="110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B273" s="111"/>
      <c r="BC273" s="111"/>
      <c r="BD273" s="111"/>
      <c r="BE273" s="111"/>
      <c r="BF273" s="111"/>
      <c r="BG273" s="111"/>
      <c r="BH273" s="111"/>
      <c r="BI273" s="111"/>
      <c r="BJ273" s="111"/>
      <c r="BK273" s="111"/>
      <c r="BL273" s="111"/>
      <c r="BM273" s="111"/>
      <c r="BN273" s="111"/>
      <c r="BO273" s="111"/>
      <c r="BP273" s="111"/>
      <c r="BQ273" s="111"/>
      <c r="BR273" s="111"/>
      <c r="BS273" s="111"/>
      <c r="BT273" s="111"/>
      <c r="BU273" s="111"/>
      <c r="BV273" s="111"/>
    </row>
    <row r="274" spans="1:74" s="50" customFormat="1" ht="15" hidden="1" customHeight="1">
      <c r="A274" s="109">
        <v>270</v>
      </c>
      <c r="B274" s="26" t="s">
        <v>550</v>
      </c>
      <c r="C274" s="27" t="s">
        <v>551</v>
      </c>
      <c r="D274" s="26" t="s">
        <v>21</v>
      </c>
      <c r="E274" s="109"/>
      <c r="F274" s="109"/>
      <c r="G274" s="110">
        <v>7</v>
      </c>
      <c r="H274" s="3">
        <f t="shared" si="12"/>
        <v>0</v>
      </c>
      <c r="I274" s="3">
        <f t="shared" si="13"/>
        <v>0</v>
      </c>
      <c r="J274" s="110">
        <f t="shared" si="14"/>
        <v>7</v>
      </c>
      <c r="K274" s="110"/>
      <c r="L274" s="110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B274" s="111"/>
      <c r="BC274" s="111"/>
      <c r="BD274" s="111"/>
      <c r="BE274" s="111"/>
      <c r="BF274" s="111"/>
      <c r="BG274" s="111"/>
      <c r="BH274" s="111"/>
      <c r="BI274" s="111"/>
      <c r="BJ274" s="111"/>
      <c r="BK274" s="111"/>
      <c r="BL274" s="111"/>
      <c r="BM274" s="111"/>
      <c r="BN274" s="111"/>
      <c r="BO274" s="111"/>
      <c r="BP274" s="111"/>
      <c r="BQ274" s="111"/>
      <c r="BR274" s="111"/>
      <c r="BS274" s="111"/>
      <c r="BT274" s="111"/>
      <c r="BU274" s="111"/>
      <c r="BV274" s="111"/>
    </row>
    <row r="275" spans="1:74" s="92" customFormat="1" ht="15" hidden="1" customHeight="1">
      <c r="A275" s="109">
        <v>271</v>
      </c>
      <c r="B275" s="26" t="s">
        <v>552</v>
      </c>
      <c r="C275" s="27" t="s">
        <v>553</v>
      </c>
      <c r="D275" s="26" t="s">
        <v>21</v>
      </c>
      <c r="E275" s="109"/>
      <c r="F275" s="109"/>
      <c r="G275" s="108">
        <v>16</v>
      </c>
      <c r="H275" s="26">
        <f t="shared" si="12"/>
        <v>0</v>
      </c>
      <c r="I275" s="26">
        <f t="shared" si="13"/>
        <v>0</v>
      </c>
      <c r="J275" s="108">
        <f t="shared" si="14"/>
        <v>16</v>
      </c>
      <c r="K275" s="108"/>
      <c r="L275" s="108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09"/>
      <c r="AK275" s="109"/>
      <c r="AL275" s="109"/>
      <c r="AM275" s="109"/>
      <c r="AN275" s="109"/>
      <c r="AO275" s="109"/>
      <c r="AP275" s="109"/>
      <c r="AQ275" s="109"/>
      <c r="AR275" s="109"/>
      <c r="AS275" s="109"/>
      <c r="AT275" s="109"/>
      <c r="AU275" s="109"/>
      <c r="AV275" s="109"/>
      <c r="AW275" s="109"/>
      <c r="AX275" s="109"/>
      <c r="AY275" s="109"/>
      <c r="AZ275" s="109"/>
      <c r="BA275" s="109"/>
      <c r="BB275" s="109"/>
      <c r="BC275" s="109"/>
      <c r="BD275" s="109"/>
      <c r="BE275" s="109"/>
      <c r="BF275" s="109"/>
      <c r="BG275" s="109"/>
      <c r="BH275" s="109"/>
      <c r="BI275" s="109"/>
      <c r="BJ275" s="109"/>
      <c r="BK275" s="109"/>
      <c r="BL275" s="109"/>
      <c r="BM275" s="109"/>
      <c r="BN275" s="109"/>
      <c r="BO275" s="109"/>
      <c r="BP275" s="109"/>
      <c r="BQ275" s="109"/>
      <c r="BR275" s="109"/>
      <c r="BS275" s="109"/>
      <c r="BT275" s="109"/>
      <c r="BU275" s="109"/>
      <c r="BV275" s="109"/>
    </row>
    <row r="276" spans="1:74" s="50" customFormat="1" ht="15" hidden="1" customHeight="1">
      <c r="A276" s="403">
        <v>272</v>
      </c>
      <c r="B276" s="404" t="s">
        <v>554</v>
      </c>
      <c r="C276" s="405" t="s">
        <v>555</v>
      </c>
      <c r="D276" s="404" t="s">
        <v>21</v>
      </c>
      <c r="E276" s="109"/>
      <c r="F276" s="109"/>
      <c r="G276" s="110">
        <v>31</v>
      </c>
      <c r="H276" s="3">
        <f t="shared" si="12"/>
        <v>0</v>
      </c>
      <c r="I276" s="3">
        <f t="shared" si="13"/>
        <v>18</v>
      </c>
      <c r="J276" s="110">
        <f t="shared" si="14"/>
        <v>13</v>
      </c>
      <c r="K276" s="110"/>
      <c r="L276" s="110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>
        <v>18</v>
      </c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B276" s="111"/>
      <c r="BC276" s="111"/>
      <c r="BD276" s="111"/>
      <c r="BE276" s="111"/>
      <c r="BF276" s="111"/>
      <c r="BG276" s="111"/>
      <c r="BH276" s="111"/>
      <c r="BI276" s="111"/>
      <c r="BJ276" s="111"/>
      <c r="BK276" s="111"/>
      <c r="BL276" s="111"/>
      <c r="BM276" s="111"/>
      <c r="BN276" s="111"/>
      <c r="BO276" s="111"/>
      <c r="BP276" s="111"/>
      <c r="BQ276" s="111"/>
      <c r="BR276" s="111"/>
      <c r="BS276" s="111"/>
      <c r="BT276" s="111"/>
      <c r="BU276" s="111"/>
      <c r="BV276" s="111"/>
    </row>
    <row r="277" spans="1:74" s="50" customFormat="1" ht="15" hidden="1" customHeight="1">
      <c r="A277" s="109">
        <v>273</v>
      </c>
      <c r="B277" s="26" t="s">
        <v>556</v>
      </c>
      <c r="C277" s="27" t="s">
        <v>557</v>
      </c>
      <c r="D277" s="26" t="s">
        <v>21</v>
      </c>
      <c r="E277" s="109"/>
      <c r="F277" s="109"/>
      <c r="G277" s="110">
        <v>5</v>
      </c>
      <c r="H277" s="3">
        <f t="shared" si="12"/>
        <v>0</v>
      </c>
      <c r="I277" s="3">
        <f t="shared" si="13"/>
        <v>0</v>
      </c>
      <c r="J277" s="110">
        <f t="shared" si="14"/>
        <v>5</v>
      </c>
      <c r="K277" s="110"/>
      <c r="L277" s="110"/>
      <c r="M277" s="111"/>
      <c r="N277" s="111"/>
      <c r="O277" s="111"/>
      <c r="P277" s="3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B277" s="111"/>
      <c r="BC277" s="111"/>
      <c r="BD277" s="111"/>
      <c r="BE277" s="111"/>
      <c r="BF277" s="111"/>
      <c r="BG277" s="111"/>
      <c r="BH277" s="111"/>
      <c r="BI277" s="111"/>
      <c r="BJ277" s="111"/>
      <c r="BK277" s="111"/>
      <c r="BL277" s="111"/>
      <c r="BM277" s="111"/>
      <c r="BN277" s="111"/>
      <c r="BO277" s="111"/>
      <c r="BP277" s="111"/>
      <c r="BQ277" s="111"/>
      <c r="BR277" s="111"/>
      <c r="BS277" s="111"/>
      <c r="BT277" s="111"/>
      <c r="BU277" s="111"/>
      <c r="BV277" s="111"/>
    </row>
    <row r="278" spans="1:74" s="50" customFormat="1" ht="15" hidden="1" customHeight="1">
      <c r="A278" s="403">
        <v>274</v>
      </c>
      <c r="B278" s="404" t="s">
        <v>558</v>
      </c>
      <c r="C278" s="405" t="s">
        <v>559</v>
      </c>
      <c r="D278" s="404" t="s">
        <v>21</v>
      </c>
      <c r="E278" s="109"/>
      <c r="F278" s="109"/>
      <c r="G278" s="110">
        <v>83</v>
      </c>
      <c r="H278" s="3">
        <f t="shared" si="12"/>
        <v>0</v>
      </c>
      <c r="I278" s="3">
        <f t="shared" si="13"/>
        <v>0</v>
      </c>
      <c r="J278" s="110">
        <f t="shared" si="14"/>
        <v>83</v>
      </c>
      <c r="K278" s="110"/>
      <c r="L278" s="110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B278" s="111"/>
      <c r="BC278" s="111"/>
      <c r="BD278" s="111"/>
      <c r="BE278" s="111"/>
      <c r="BF278" s="111"/>
      <c r="BG278" s="111"/>
      <c r="BH278" s="111"/>
      <c r="BI278" s="111"/>
      <c r="BJ278" s="111"/>
      <c r="BK278" s="111"/>
      <c r="BL278" s="111"/>
      <c r="BM278" s="111"/>
      <c r="BN278" s="111"/>
      <c r="BO278" s="111"/>
      <c r="BP278" s="111"/>
      <c r="BQ278" s="111"/>
      <c r="BR278" s="111"/>
      <c r="BS278" s="111"/>
      <c r="BT278" s="111"/>
      <c r="BU278" s="111"/>
      <c r="BV278" s="111"/>
    </row>
    <row r="279" spans="1:74" s="50" customFormat="1" ht="15" hidden="1" customHeight="1">
      <c r="A279" s="109">
        <v>275</v>
      </c>
      <c r="B279" s="26" t="s">
        <v>560</v>
      </c>
      <c r="C279" s="27" t="s">
        <v>561</v>
      </c>
      <c r="D279" s="26" t="s">
        <v>21</v>
      </c>
      <c r="E279" s="109"/>
      <c r="F279" s="109"/>
      <c r="G279" s="108">
        <v>27</v>
      </c>
      <c r="H279" s="26">
        <f t="shared" si="12"/>
        <v>0</v>
      </c>
      <c r="I279" s="26">
        <f t="shared" si="13"/>
        <v>0</v>
      </c>
      <c r="J279" s="108">
        <f t="shared" si="14"/>
        <v>27</v>
      </c>
      <c r="K279" s="108"/>
      <c r="L279" s="108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B279" s="111"/>
      <c r="BC279" s="111"/>
      <c r="BD279" s="111"/>
      <c r="BE279" s="111"/>
      <c r="BF279" s="111"/>
      <c r="BG279" s="111"/>
      <c r="BH279" s="111"/>
      <c r="BI279" s="111"/>
      <c r="BJ279" s="111"/>
      <c r="BK279" s="111"/>
      <c r="BL279" s="111"/>
      <c r="BM279" s="111"/>
      <c r="BN279" s="111"/>
      <c r="BO279" s="111"/>
      <c r="BP279" s="111"/>
      <c r="BQ279" s="111"/>
      <c r="BR279" s="111"/>
      <c r="BS279" s="111"/>
      <c r="BT279" s="111"/>
      <c r="BU279" s="111"/>
      <c r="BV279" s="111"/>
    </row>
    <row r="280" spans="1:74" s="50" customFormat="1" ht="15" hidden="1" customHeight="1">
      <c r="A280" s="142">
        <v>276</v>
      </c>
      <c r="B280" s="143" t="s">
        <v>562</v>
      </c>
      <c r="C280" s="251" t="s">
        <v>563</v>
      </c>
      <c r="D280" s="143" t="s">
        <v>21</v>
      </c>
      <c r="E280" s="109"/>
      <c r="F280" s="109"/>
      <c r="G280" s="108">
        <v>928</v>
      </c>
      <c r="H280" s="26">
        <f t="shared" si="12"/>
        <v>0</v>
      </c>
      <c r="I280" s="26">
        <f t="shared" si="13"/>
        <v>568</v>
      </c>
      <c r="J280" s="108">
        <f t="shared" si="14"/>
        <v>360</v>
      </c>
      <c r="K280" s="108"/>
      <c r="L280" s="108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>
        <v>100</v>
      </c>
      <c r="Y280" s="111"/>
      <c r="Z280" s="111"/>
      <c r="AA280" s="111"/>
      <c r="AB280" s="111">
        <v>300</v>
      </c>
      <c r="AC280" s="111"/>
      <c r="AD280" s="111"/>
      <c r="AE280" s="111"/>
      <c r="AF280" s="111">
        <v>168</v>
      </c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B280" s="111"/>
      <c r="BC280" s="111"/>
      <c r="BD280" s="111"/>
      <c r="BE280" s="111"/>
      <c r="BF280" s="111"/>
      <c r="BG280" s="111"/>
      <c r="BH280" s="111"/>
      <c r="BI280" s="111"/>
      <c r="BJ280" s="111"/>
      <c r="BK280" s="111"/>
      <c r="BL280" s="111"/>
      <c r="BM280" s="111"/>
      <c r="BN280" s="111"/>
      <c r="BO280" s="111"/>
      <c r="BP280" s="111"/>
      <c r="BQ280" s="111"/>
      <c r="BR280" s="111"/>
      <c r="BS280" s="111"/>
      <c r="BT280" s="111"/>
      <c r="BU280" s="111"/>
      <c r="BV280" s="111"/>
    </row>
    <row r="281" spans="1:74" s="50" customFormat="1" ht="15" hidden="1" customHeight="1">
      <c r="A281" s="109">
        <v>277</v>
      </c>
      <c r="B281" s="134" t="s">
        <v>564</v>
      </c>
      <c r="C281" s="27" t="s">
        <v>565</v>
      </c>
      <c r="D281" s="26" t="s">
        <v>21</v>
      </c>
      <c r="E281" s="109"/>
      <c r="F281" s="109"/>
      <c r="G281" s="108">
        <v>768</v>
      </c>
      <c r="H281" s="26">
        <f t="shared" si="12"/>
        <v>0</v>
      </c>
      <c r="I281" s="26">
        <f t="shared" si="13"/>
        <v>0</v>
      </c>
      <c r="J281" s="108">
        <f t="shared" si="14"/>
        <v>768</v>
      </c>
      <c r="K281" s="108"/>
      <c r="L281" s="108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  <c r="BG281" s="111"/>
      <c r="BH281" s="111"/>
      <c r="BI281" s="111"/>
      <c r="BJ281" s="111"/>
      <c r="BK281" s="111"/>
      <c r="BL281" s="111"/>
      <c r="BM281" s="111"/>
      <c r="BN281" s="111"/>
      <c r="BO281" s="111"/>
      <c r="BP281" s="111"/>
      <c r="BQ281" s="111"/>
      <c r="BR281" s="111"/>
      <c r="BS281" s="111"/>
      <c r="BT281" s="111"/>
      <c r="BU281" s="111"/>
      <c r="BV281" s="111"/>
    </row>
    <row r="282" spans="1:74" s="50" customFormat="1" ht="15" hidden="1" customHeight="1">
      <c r="A282" s="109">
        <v>278</v>
      </c>
      <c r="B282" s="26" t="s">
        <v>566</v>
      </c>
      <c r="C282" s="27" t="s">
        <v>567</v>
      </c>
      <c r="D282" s="26" t="s">
        <v>21</v>
      </c>
      <c r="E282" s="109"/>
      <c r="F282" s="109"/>
      <c r="G282" s="108">
        <v>808</v>
      </c>
      <c r="H282" s="26">
        <f t="shared" si="12"/>
        <v>0</v>
      </c>
      <c r="I282" s="26">
        <f t="shared" si="13"/>
        <v>0</v>
      </c>
      <c r="J282" s="108">
        <f t="shared" si="14"/>
        <v>808</v>
      </c>
      <c r="K282" s="108"/>
      <c r="L282" s="108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B282" s="111"/>
      <c r="BC282" s="111"/>
      <c r="BD282" s="111"/>
      <c r="BE282" s="111"/>
      <c r="BF282" s="111"/>
      <c r="BG282" s="111"/>
      <c r="BH282" s="111"/>
      <c r="BI282" s="111"/>
      <c r="BJ282" s="111"/>
      <c r="BK282" s="111"/>
      <c r="BL282" s="111"/>
      <c r="BM282" s="111"/>
      <c r="BN282" s="111"/>
      <c r="BO282" s="111"/>
      <c r="BP282" s="111"/>
      <c r="BQ282" s="111"/>
      <c r="BR282" s="111"/>
      <c r="BS282" s="111"/>
      <c r="BT282" s="111"/>
      <c r="BU282" s="111"/>
      <c r="BV282" s="111"/>
    </row>
    <row r="283" spans="1:74" s="50" customFormat="1" ht="15" hidden="1" customHeight="1">
      <c r="A283" s="109">
        <v>279</v>
      </c>
      <c r="B283" s="26" t="s">
        <v>568</v>
      </c>
      <c r="C283" s="114" t="s">
        <v>569</v>
      </c>
      <c r="D283" s="26" t="s">
        <v>21</v>
      </c>
      <c r="E283" s="109"/>
      <c r="F283" s="109"/>
      <c r="G283" s="108">
        <v>594</v>
      </c>
      <c r="H283" s="26">
        <f t="shared" si="12"/>
        <v>0</v>
      </c>
      <c r="I283" s="26">
        <f t="shared" si="13"/>
        <v>0</v>
      </c>
      <c r="J283" s="108">
        <f t="shared" si="14"/>
        <v>594</v>
      </c>
      <c r="K283" s="108"/>
      <c r="L283" s="108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B283" s="111"/>
      <c r="BC283" s="111"/>
      <c r="BD283" s="111"/>
      <c r="BE283" s="111"/>
      <c r="BF283" s="111"/>
      <c r="BG283" s="111"/>
      <c r="BH283" s="111"/>
      <c r="BI283" s="111"/>
      <c r="BJ283" s="111"/>
      <c r="BK283" s="111"/>
      <c r="BL283" s="111"/>
      <c r="BM283" s="111"/>
      <c r="BN283" s="111"/>
      <c r="BO283" s="111"/>
      <c r="BP283" s="111"/>
      <c r="BQ283" s="111"/>
      <c r="BR283" s="111"/>
      <c r="BS283" s="111"/>
      <c r="BT283" s="111"/>
      <c r="BU283" s="111"/>
      <c r="BV283" s="111"/>
    </row>
    <row r="284" spans="1:74" s="50" customFormat="1" ht="15" hidden="1" customHeight="1">
      <c r="A284" s="109">
        <v>280</v>
      </c>
      <c r="B284" s="26" t="s">
        <v>570</v>
      </c>
      <c r="C284" s="27" t="s">
        <v>571</v>
      </c>
      <c r="D284" s="26" t="s">
        <v>21</v>
      </c>
      <c r="E284" s="109"/>
      <c r="F284" s="109"/>
      <c r="G284" s="108">
        <v>92</v>
      </c>
      <c r="H284" s="26">
        <f t="shared" si="12"/>
        <v>0</v>
      </c>
      <c r="I284" s="26">
        <f t="shared" si="13"/>
        <v>0</v>
      </c>
      <c r="J284" s="108">
        <f t="shared" si="14"/>
        <v>92</v>
      </c>
      <c r="K284" s="108"/>
      <c r="L284" s="108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B284" s="111"/>
      <c r="BC284" s="111"/>
      <c r="BD284" s="111"/>
      <c r="BE284" s="111"/>
      <c r="BF284" s="111"/>
      <c r="BG284" s="111"/>
      <c r="BH284" s="111"/>
      <c r="BI284" s="111"/>
      <c r="BJ284" s="111"/>
      <c r="BK284" s="111"/>
      <c r="BL284" s="111"/>
      <c r="BM284" s="111"/>
      <c r="BN284" s="111"/>
      <c r="BO284" s="111"/>
      <c r="BP284" s="111"/>
      <c r="BQ284" s="111"/>
      <c r="BR284" s="111"/>
      <c r="BS284" s="111"/>
      <c r="BT284" s="111"/>
      <c r="BU284" s="111"/>
      <c r="BV284" s="111"/>
    </row>
    <row r="285" spans="1:74" s="50" customFormat="1" ht="15" hidden="1" customHeight="1">
      <c r="A285" s="109">
        <v>281</v>
      </c>
      <c r="B285" s="26" t="s">
        <v>572</v>
      </c>
      <c r="C285" s="27" t="s">
        <v>573</v>
      </c>
      <c r="D285" s="26" t="s">
        <v>21</v>
      </c>
      <c r="E285" s="109"/>
      <c r="F285" s="109"/>
      <c r="G285" s="108">
        <v>2</v>
      </c>
      <c r="H285" s="26">
        <f t="shared" si="12"/>
        <v>0</v>
      </c>
      <c r="I285" s="26">
        <f t="shared" si="13"/>
        <v>0</v>
      </c>
      <c r="J285" s="108">
        <f t="shared" si="14"/>
        <v>2</v>
      </c>
      <c r="K285" s="108"/>
      <c r="L285" s="108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  <c r="BJ285" s="111"/>
      <c r="BK285" s="111"/>
      <c r="BL285" s="111"/>
      <c r="BM285" s="111"/>
      <c r="BN285" s="111"/>
      <c r="BO285" s="111"/>
      <c r="BP285" s="111"/>
      <c r="BQ285" s="111"/>
      <c r="BR285" s="111"/>
      <c r="BS285" s="111"/>
      <c r="BT285" s="111"/>
      <c r="BU285" s="111"/>
      <c r="BV285" s="111"/>
    </row>
    <row r="286" spans="1:74" s="50" customFormat="1" ht="15" hidden="1" customHeight="1">
      <c r="A286" s="109">
        <v>282</v>
      </c>
      <c r="B286" s="31" t="s">
        <v>574</v>
      </c>
      <c r="C286" s="27" t="s">
        <v>575</v>
      </c>
      <c r="D286" s="26" t="s">
        <v>21</v>
      </c>
      <c r="E286" s="109"/>
      <c r="F286" s="109"/>
      <c r="G286" s="108">
        <v>175</v>
      </c>
      <c r="H286" s="26">
        <f t="shared" si="12"/>
        <v>0</v>
      </c>
      <c r="I286" s="26">
        <f t="shared" si="13"/>
        <v>0</v>
      </c>
      <c r="J286" s="108">
        <f t="shared" si="14"/>
        <v>175</v>
      </c>
      <c r="K286" s="108"/>
      <c r="L286" s="108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  <c r="BG286" s="111"/>
      <c r="BH286" s="111"/>
      <c r="BI286" s="111"/>
      <c r="BJ286" s="111"/>
      <c r="BK286" s="111"/>
      <c r="BL286" s="111"/>
      <c r="BM286" s="111"/>
      <c r="BN286" s="111"/>
      <c r="BO286" s="111"/>
      <c r="BP286" s="111"/>
      <c r="BQ286" s="111"/>
      <c r="BR286" s="111"/>
      <c r="BS286" s="111"/>
      <c r="BT286" s="111"/>
      <c r="BU286" s="111"/>
      <c r="BV286" s="111"/>
    </row>
    <row r="287" spans="1:74" s="50" customFormat="1" ht="15" hidden="1" customHeight="1">
      <c r="A287" s="109">
        <v>283</v>
      </c>
      <c r="B287" s="26" t="s">
        <v>576</v>
      </c>
      <c r="C287" s="27" t="s">
        <v>577</v>
      </c>
      <c r="D287" s="26" t="s">
        <v>21</v>
      </c>
      <c r="E287" s="109"/>
      <c r="F287" s="109"/>
      <c r="G287" s="108">
        <v>82</v>
      </c>
      <c r="H287" s="26">
        <f t="shared" si="12"/>
        <v>0</v>
      </c>
      <c r="I287" s="26">
        <f t="shared" si="13"/>
        <v>0</v>
      </c>
      <c r="J287" s="108">
        <f t="shared" si="14"/>
        <v>82</v>
      </c>
      <c r="K287" s="108"/>
      <c r="L287" s="108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111"/>
      <c r="BG287" s="111"/>
      <c r="BH287" s="111"/>
      <c r="BI287" s="111"/>
      <c r="BJ287" s="111"/>
      <c r="BK287" s="111"/>
      <c r="BL287" s="111"/>
      <c r="BM287" s="111"/>
      <c r="BN287" s="111"/>
      <c r="BO287" s="111"/>
      <c r="BP287" s="111"/>
      <c r="BQ287" s="111"/>
      <c r="BR287" s="111"/>
      <c r="BS287" s="111"/>
      <c r="BT287" s="111"/>
      <c r="BU287" s="111"/>
      <c r="BV287" s="111"/>
    </row>
    <row r="288" spans="1:74" s="50" customFormat="1" ht="15" hidden="1" customHeight="1">
      <c r="A288" s="109">
        <v>284</v>
      </c>
      <c r="B288" s="26" t="s">
        <v>578</v>
      </c>
      <c r="C288" s="27" t="s">
        <v>579</v>
      </c>
      <c r="D288" s="26" t="s">
        <v>21</v>
      </c>
      <c r="E288" s="109"/>
      <c r="F288" s="109"/>
      <c r="G288" s="108">
        <v>3</v>
      </c>
      <c r="H288" s="26">
        <f t="shared" si="12"/>
        <v>0</v>
      </c>
      <c r="I288" s="26">
        <f t="shared" si="13"/>
        <v>0</v>
      </c>
      <c r="J288" s="108">
        <f t="shared" si="14"/>
        <v>3</v>
      </c>
      <c r="K288" s="108"/>
      <c r="L288" s="108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B288" s="111"/>
      <c r="BC288" s="111"/>
      <c r="BD288" s="111"/>
      <c r="BE288" s="111"/>
      <c r="BF288" s="111"/>
      <c r="BG288" s="111"/>
      <c r="BH288" s="111"/>
      <c r="BI288" s="111"/>
      <c r="BJ288" s="111"/>
      <c r="BK288" s="111"/>
      <c r="BL288" s="111"/>
      <c r="BM288" s="111"/>
      <c r="BN288" s="111"/>
      <c r="BO288" s="111"/>
      <c r="BP288" s="111"/>
      <c r="BQ288" s="111"/>
      <c r="BR288" s="111"/>
      <c r="BS288" s="111"/>
      <c r="BT288" s="111"/>
      <c r="BU288" s="111"/>
      <c r="BV288" s="111"/>
    </row>
    <row r="289" spans="1:74" s="50" customFormat="1" ht="15" hidden="1" customHeight="1">
      <c r="A289" s="109">
        <v>285</v>
      </c>
      <c r="B289" s="26" t="s">
        <v>580</v>
      </c>
      <c r="C289" s="27" t="s">
        <v>581</v>
      </c>
      <c r="D289" s="26" t="s">
        <v>21</v>
      </c>
      <c r="E289" s="109"/>
      <c r="F289" s="109"/>
      <c r="G289" s="108">
        <v>267</v>
      </c>
      <c r="H289" s="26">
        <f t="shared" si="12"/>
        <v>0</v>
      </c>
      <c r="I289" s="26">
        <f t="shared" si="13"/>
        <v>0</v>
      </c>
      <c r="J289" s="108">
        <f t="shared" si="14"/>
        <v>267</v>
      </c>
      <c r="K289" s="108"/>
      <c r="L289" s="108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B289" s="111"/>
      <c r="BC289" s="111"/>
      <c r="BD289" s="111"/>
      <c r="BE289" s="111"/>
      <c r="BF289" s="111"/>
      <c r="BG289" s="111"/>
      <c r="BH289" s="111"/>
      <c r="BI289" s="111"/>
      <c r="BJ289" s="111"/>
      <c r="BK289" s="111"/>
      <c r="BL289" s="111"/>
      <c r="BM289" s="111"/>
      <c r="BN289" s="111"/>
      <c r="BO289" s="111"/>
      <c r="BP289" s="111"/>
      <c r="BQ289" s="111"/>
      <c r="BR289" s="111"/>
      <c r="BS289" s="111"/>
      <c r="BT289" s="111"/>
      <c r="BU289" s="111"/>
      <c r="BV289" s="111"/>
    </row>
    <row r="290" spans="1:74" s="50" customFormat="1" ht="15" hidden="1" customHeight="1">
      <c r="A290" s="109">
        <v>286</v>
      </c>
      <c r="B290" s="26" t="s">
        <v>582</v>
      </c>
      <c r="C290" s="27" t="s">
        <v>583</v>
      </c>
      <c r="D290" s="26" t="s">
        <v>21</v>
      </c>
      <c r="E290" s="109"/>
      <c r="F290" s="109"/>
      <c r="G290" s="110">
        <v>52</v>
      </c>
      <c r="H290" s="3">
        <f t="shared" si="12"/>
        <v>0</v>
      </c>
      <c r="I290" s="3">
        <f t="shared" si="13"/>
        <v>0</v>
      </c>
      <c r="J290" s="110">
        <f t="shared" si="14"/>
        <v>52</v>
      </c>
      <c r="K290" s="110"/>
      <c r="L290" s="110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3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/>
      <c r="BP290" s="111"/>
      <c r="BQ290" s="111"/>
      <c r="BR290" s="111"/>
      <c r="BS290" s="111"/>
      <c r="BT290" s="111"/>
      <c r="BU290" s="111"/>
      <c r="BV290" s="111"/>
    </row>
    <row r="291" spans="1:74" s="50" customFormat="1" ht="15" hidden="1" customHeight="1">
      <c r="A291" s="109">
        <v>287</v>
      </c>
      <c r="B291" s="26" t="s">
        <v>584</v>
      </c>
      <c r="C291" s="27" t="s">
        <v>585</v>
      </c>
      <c r="D291" s="26" t="s">
        <v>21</v>
      </c>
      <c r="E291" s="109"/>
      <c r="F291" s="109"/>
      <c r="G291" s="110">
        <v>212</v>
      </c>
      <c r="H291" s="3">
        <f t="shared" si="12"/>
        <v>0</v>
      </c>
      <c r="I291" s="3">
        <f t="shared" si="13"/>
        <v>0</v>
      </c>
      <c r="J291" s="110">
        <f t="shared" si="14"/>
        <v>212</v>
      </c>
      <c r="K291" s="110"/>
      <c r="L291" s="110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3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/>
      <c r="BP291" s="111"/>
      <c r="BQ291" s="111"/>
      <c r="BR291" s="111"/>
      <c r="BS291" s="111"/>
      <c r="BT291" s="111"/>
      <c r="BU291" s="111"/>
      <c r="BV291" s="111"/>
    </row>
    <row r="292" spans="1:74" s="50" customFormat="1" ht="15" hidden="1" customHeight="1">
      <c r="A292" s="109">
        <v>288</v>
      </c>
      <c r="B292" s="26" t="s">
        <v>586</v>
      </c>
      <c r="C292" s="27" t="s">
        <v>587</v>
      </c>
      <c r="D292" s="26" t="s">
        <v>21</v>
      </c>
      <c r="E292" s="109"/>
      <c r="F292" s="109"/>
      <c r="G292" s="110">
        <v>676</v>
      </c>
      <c r="H292" s="3">
        <f t="shared" si="12"/>
        <v>0</v>
      </c>
      <c r="I292" s="3">
        <f t="shared" si="13"/>
        <v>0</v>
      </c>
      <c r="J292" s="110">
        <f t="shared" si="14"/>
        <v>676</v>
      </c>
      <c r="K292" s="110"/>
      <c r="L292" s="110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B292" s="111"/>
      <c r="BC292" s="111"/>
      <c r="BD292" s="111"/>
      <c r="BE292" s="111"/>
      <c r="BF292" s="111"/>
      <c r="BG292" s="111"/>
      <c r="BH292" s="111"/>
      <c r="BI292" s="111"/>
      <c r="BJ292" s="111"/>
      <c r="BK292" s="111"/>
      <c r="BL292" s="111"/>
      <c r="BM292" s="111"/>
      <c r="BN292" s="111"/>
      <c r="BO292" s="111"/>
      <c r="BP292" s="111"/>
      <c r="BQ292" s="111"/>
      <c r="BR292" s="111"/>
      <c r="BS292" s="111"/>
      <c r="BT292" s="111"/>
      <c r="BU292" s="111"/>
      <c r="BV292" s="111"/>
    </row>
    <row r="293" spans="1:74" s="50" customFormat="1" ht="15" hidden="1" customHeight="1">
      <c r="A293" s="142">
        <v>289</v>
      </c>
      <c r="B293" s="143" t="s">
        <v>588</v>
      </c>
      <c r="C293" s="144" t="s">
        <v>589</v>
      </c>
      <c r="D293" s="143" t="s">
        <v>21</v>
      </c>
      <c r="E293" s="109"/>
      <c r="F293" s="109"/>
      <c r="G293" s="110">
        <v>160</v>
      </c>
      <c r="H293" s="3">
        <f t="shared" si="12"/>
        <v>0</v>
      </c>
      <c r="I293" s="3">
        <f t="shared" si="13"/>
        <v>0</v>
      </c>
      <c r="J293" s="110">
        <f t="shared" si="14"/>
        <v>160</v>
      </c>
      <c r="K293" s="110"/>
      <c r="L293" s="110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3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/>
      <c r="BP293" s="111"/>
      <c r="BQ293" s="111"/>
      <c r="BR293" s="111"/>
      <c r="BS293" s="111"/>
      <c r="BT293" s="111"/>
      <c r="BU293" s="111"/>
      <c r="BV293" s="111"/>
    </row>
    <row r="294" spans="1:74" s="50" customFormat="1" ht="15" hidden="1" customHeight="1">
      <c r="A294" s="109">
        <v>290</v>
      </c>
      <c r="B294" s="26" t="s">
        <v>590</v>
      </c>
      <c r="C294" s="27" t="s">
        <v>591</v>
      </c>
      <c r="D294" s="26" t="s">
        <v>21</v>
      </c>
      <c r="E294" s="109"/>
      <c r="F294" s="109"/>
      <c r="G294" s="110">
        <v>20</v>
      </c>
      <c r="H294" s="3">
        <f t="shared" si="12"/>
        <v>0</v>
      </c>
      <c r="I294" s="3">
        <f t="shared" si="13"/>
        <v>0</v>
      </c>
      <c r="J294" s="110">
        <f t="shared" si="14"/>
        <v>20</v>
      </c>
      <c r="K294" s="110"/>
      <c r="L294" s="110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B294" s="111"/>
      <c r="BC294" s="111"/>
      <c r="BD294" s="111"/>
      <c r="BE294" s="111"/>
      <c r="BF294" s="111"/>
      <c r="BG294" s="111"/>
      <c r="BH294" s="111"/>
      <c r="BI294" s="111"/>
      <c r="BJ294" s="111"/>
      <c r="BK294" s="111"/>
      <c r="BL294" s="111"/>
      <c r="BM294" s="111"/>
      <c r="BN294" s="111"/>
      <c r="BO294" s="111"/>
      <c r="BP294" s="111"/>
      <c r="BQ294" s="111"/>
      <c r="BR294" s="111"/>
      <c r="BS294" s="111"/>
      <c r="BT294" s="111"/>
      <c r="BU294" s="111"/>
      <c r="BV294" s="111"/>
    </row>
    <row r="295" spans="1:74" s="50" customFormat="1" ht="15" hidden="1" customHeight="1">
      <c r="A295" s="109">
        <v>291</v>
      </c>
      <c r="B295" s="26" t="s">
        <v>592</v>
      </c>
      <c r="C295" s="27" t="s">
        <v>593</v>
      </c>
      <c r="D295" s="26" t="s">
        <v>21</v>
      </c>
      <c r="E295" s="109"/>
      <c r="F295" s="109"/>
      <c r="G295" s="110">
        <v>21</v>
      </c>
      <c r="H295" s="3">
        <f t="shared" si="12"/>
        <v>0</v>
      </c>
      <c r="I295" s="3">
        <f t="shared" si="13"/>
        <v>0</v>
      </c>
      <c r="J295" s="110">
        <f t="shared" si="14"/>
        <v>21</v>
      </c>
      <c r="K295" s="110"/>
      <c r="L295" s="110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B295" s="111"/>
      <c r="BC295" s="111"/>
      <c r="BD295" s="111"/>
      <c r="BE295" s="111"/>
      <c r="BF295" s="111"/>
      <c r="BG295" s="111"/>
      <c r="BH295" s="111"/>
      <c r="BI295" s="111"/>
      <c r="BJ295" s="111"/>
      <c r="BK295" s="111"/>
      <c r="BL295" s="111"/>
      <c r="BM295" s="111"/>
      <c r="BN295" s="111"/>
      <c r="BO295" s="111"/>
      <c r="BP295" s="111"/>
      <c r="BQ295" s="111"/>
      <c r="BR295" s="111"/>
      <c r="BS295" s="111"/>
      <c r="BT295" s="111"/>
      <c r="BU295" s="111"/>
      <c r="BV295" s="111"/>
    </row>
    <row r="296" spans="1:74" s="50" customFormat="1" ht="15" hidden="1" customHeight="1">
      <c r="A296" s="109">
        <v>292</v>
      </c>
      <c r="B296" s="26" t="s">
        <v>594</v>
      </c>
      <c r="C296" s="27" t="s">
        <v>595</v>
      </c>
      <c r="D296" s="26" t="s">
        <v>21</v>
      </c>
      <c r="E296" s="109"/>
      <c r="F296" s="109"/>
      <c r="G296" s="110">
        <v>10</v>
      </c>
      <c r="H296" s="3">
        <f t="shared" si="12"/>
        <v>0</v>
      </c>
      <c r="I296" s="3">
        <f t="shared" si="13"/>
        <v>0</v>
      </c>
      <c r="J296" s="110">
        <f t="shared" si="14"/>
        <v>10</v>
      </c>
      <c r="K296" s="110"/>
      <c r="L296" s="110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B296" s="111"/>
      <c r="BC296" s="111"/>
      <c r="BD296" s="111"/>
      <c r="BE296" s="111"/>
      <c r="BF296" s="111"/>
      <c r="BG296" s="111"/>
      <c r="BH296" s="111"/>
      <c r="BI296" s="111"/>
      <c r="BJ296" s="111"/>
      <c r="BK296" s="111"/>
      <c r="BL296" s="111"/>
      <c r="BM296" s="111"/>
      <c r="BN296" s="111"/>
      <c r="BO296" s="111"/>
      <c r="BP296" s="111"/>
      <c r="BQ296" s="111"/>
      <c r="BR296" s="111"/>
      <c r="BS296" s="111"/>
      <c r="BT296" s="111"/>
      <c r="BU296" s="111"/>
      <c r="BV296" s="111"/>
    </row>
    <row r="297" spans="1:74" s="50" customFormat="1" ht="15" hidden="1" customHeight="1">
      <c r="A297" s="109">
        <v>293</v>
      </c>
      <c r="B297" s="26" t="s">
        <v>596</v>
      </c>
      <c r="C297" s="27" t="s">
        <v>597</v>
      </c>
      <c r="D297" s="26" t="s">
        <v>21</v>
      </c>
      <c r="E297" s="109"/>
      <c r="F297" s="109"/>
      <c r="G297" s="110">
        <v>8</v>
      </c>
      <c r="H297" s="3">
        <f t="shared" si="12"/>
        <v>0</v>
      </c>
      <c r="I297" s="3">
        <f t="shared" si="13"/>
        <v>0</v>
      </c>
      <c r="J297" s="110">
        <f t="shared" si="14"/>
        <v>8</v>
      </c>
      <c r="K297" s="110"/>
      <c r="L297" s="110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B297" s="111"/>
      <c r="BC297" s="111"/>
      <c r="BD297" s="111"/>
      <c r="BE297" s="111"/>
      <c r="BF297" s="111"/>
      <c r="BG297" s="111"/>
      <c r="BH297" s="111"/>
      <c r="BI297" s="111"/>
      <c r="BJ297" s="111"/>
      <c r="BK297" s="111"/>
      <c r="BL297" s="111"/>
      <c r="BM297" s="111"/>
      <c r="BN297" s="111"/>
      <c r="BO297" s="111"/>
      <c r="BP297" s="111"/>
      <c r="BQ297" s="111"/>
      <c r="BR297" s="111"/>
      <c r="BS297" s="111"/>
      <c r="BT297" s="111"/>
      <c r="BU297" s="111"/>
      <c r="BV297" s="111"/>
    </row>
    <row r="298" spans="1:74" s="50" customFormat="1" ht="15" hidden="1" customHeight="1">
      <c r="A298" s="109">
        <v>294</v>
      </c>
      <c r="B298" s="26" t="s">
        <v>598</v>
      </c>
      <c r="C298" s="27" t="s">
        <v>599</v>
      </c>
      <c r="D298" s="26" t="s">
        <v>21</v>
      </c>
      <c r="E298" s="109"/>
      <c r="F298" s="109"/>
      <c r="G298" s="110">
        <v>18</v>
      </c>
      <c r="H298" s="3">
        <f t="shared" si="12"/>
        <v>0</v>
      </c>
      <c r="I298" s="3">
        <f t="shared" si="13"/>
        <v>0</v>
      </c>
      <c r="J298" s="110">
        <f t="shared" si="14"/>
        <v>18</v>
      </c>
      <c r="K298" s="110"/>
      <c r="L298" s="110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B298" s="111"/>
      <c r="BC298" s="111"/>
      <c r="BD298" s="111"/>
      <c r="BE298" s="111"/>
      <c r="BF298" s="111"/>
      <c r="BG298" s="111"/>
      <c r="BH298" s="111"/>
      <c r="BI298" s="111"/>
      <c r="BJ298" s="111"/>
      <c r="BK298" s="111"/>
      <c r="BL298" s="111"/>
      <c r="BM298" s="111"/>
      <c r="BN298" s="111"/>
      <c r="BO298" s="111"/>
      <c r="BP298" s="111"/>
      <c r="BQ298" s="111"/>
      <c r="BR298" s="111"/>
      <c r="BS298" s="111"/>
      <c r="BT298" s="111"/>
      <c r="BU298" s="111"/>
      <c r="BV298" s="111"/>
    </row>
    <row r="299" spans="1:74" s="50" customFormat="1" ht="15" hidden="1" customHeight="1">
      <c r="A299" s="109">
        <v>295</v>
      </c>
      <c r="B299" s="26" t="s">
        <v>600</v>
      </c>
      <c r="C299" s="27" t="s">
        <v>601</v>
      </c>
      <c r="D299" s="26" t="s">
        <v>21</v>
      </c>
      <c r="E299" s="109"/>
      <c r="F299" s="109"/>
      <c r="G299" s="110">
        <v>25</v>
      </c>
      <c r="H299" s="3">
        <f t="shared" si="12"/>
        <v>0</v>
      </c>
      <c r="I299" s="3">
        <f t="shared" si="13"/>
        <v>0</v>
      </c>
      <c r="J299" s="110">
        <f t="shared" si="14"/>
        <v>25</v>
      </c>
      <c r="K299" s="110"/>
      <c r="L299" s="110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B299" s="111"/>
      <c r="BC299" s="111"/>
      <c r="BD299" s="111"/>
      <c r="BE299" s="111"/>
      <c r="BF299" s="111"/>
      <c r="BG299" s="111"/>
      <c r="BH299" s="111"/>
      <c r="BI299" s="111"/>
      <c r="BJ299" s="111"/>
      <c r="BK299" s="111"/>
      <c r="BL299" s="111"/>
      <c r="BM299" s="111"/>
      <c r="BN299" s="111"/>
      <c r="BO299" s="111"/>
      <c r="BP299" s="111"/>
      <c r="BQ299" s="111"/>
      <c r="BR299" s="111"/>
      <c r="BS299" s="111"/>
      <c r="BT299" s="111"/>
      <c r="BU299" s="111"/>
      <c r="BV299" s="111"/>
    </row>
    <row r="300" spans="1:74" s="50" customFormat="1" ht="15" hidden="1" customHeight="1">
      <c r="A300" s="142">
        <v>296</v>
      </c>
      <c r="B300" s="143" t="s">
        <v>602</v>
      </c>
      <c r="C300" s="144" t="s">
        <v>603</v>
      </c>
      <c r="D300" s="143" t="s">
        <v>21</v>
      </c>
      <c r="E300" s="109"/>
      <c r="F300" s="109"/>
      <c r="G300" s="110">
        <v>911</v>
      </c>
      <c r="H300" s="3">
        <f t="shared" si="12"/>
        <v>0</v>
      </c>
      <c r="I300" s="3">
        <f t="shared" si="13"/>
        <v>210</v>
      </c>
      <c r="J300" s="110">
        <f t="shared" si="14"/>
        <v>701</v>
      </c>
      <c r="K300" s="110"/>
      <c r="L300" s="110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>
        <v>50</v>
      </c>
      <c r="AA300" s="111"/>
      <c r="AB300" s="111">
        <v>30</v>
      </c>
      <c r="AC300" s="111"/>
      <c r="AD300" s="111"/>
      <c r="AE300" s="111"/>
      <c r="AF300" s="111">
        <f>60+20</f>
        <v>80</v>
      </c>
      <c r="AG300" s="111"/>
      <c r="AH300" s="111"/>
      <c r="AI300" s="111"/>
      <c r="AJ300" s="111"/>
      <c r="AK300" s="111"/>
      <c r="AL300" s="111">
        <v>50</v>
      </c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B300" s="111"/>
      <c r="BC300" s="111"/>
      <c r="BD300" s="111"/>
      <c r="BE300" s="111"/>
      <c r="BF300" s="111"/>
      <c r="BG300" s="111"/>
      <c r="BH300" s="111"/>
      <c r="BI300" s="111"/>
      <c r="BJ300" s="111"/>
      <c r="BK300" s="111"/>
      <c r="BL300" s="111"/>
      <c r="BM300" s="111"/>
      <c r="BN300" s="111"/>
      <c r="BO300" s="111"/>
      <c r="BP300" s="111"/>
      <c r="BQ300" s="111"/>
      <c r="BR300" s="111"/>
      <c r="BS300" s="111"/>
      <c r="BT300" s="111"/>
      <c r="BU300" s="111"/>
      <c r="BV300" s="111"/>
    </row>
    <row r="301" spans="1:74" s="50" customFormat="1" ht="30" hidden="1" customHeight="1">
      <c r="A301" s="109">
        <v>297</v>
      </c>
      <c r="B301" s="26" t="s">
        <v>604</v>
      </c>
      <c r="C301" s="27" t="s">
        <v>605</v>
      </c>
      <c r="D301" s="26" t="s">
        <v>21</v>
      </c>
      <c r="E301" s="109"/>
      <c r="F301" s="109"/>
      <c r="G301" s="110">
        <v>5</v>
      </c>
      <c r="H301" s="3">
        <f t="shared" si="12"/>
        <v>0</v>
      </c>
      <c r="I301" s="3">
        <f t="shared" si="13"/>
        <v>0</v>
      </c>
      <c r="J301" s="110">
        <f t="shared" si="14"/>
        <v>5</v>
      </c>
      <c r="K301" s="110"/>
      <c r="L301" s="110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B301" s="111"/>
      <c r="BC301" s="111"/>
      <c r="BD301" s="111"/>
      <c r="BE301" s="111"/>
      <c r="BF301" s="111"/>
      <c r="BG301" s="111"/>
      <c r="BH301" s="111"/>
      <c r="BI301" s="111"/>
      <c r="BJ301" s="111"/>
      <c r="BK301" s="111"/>
      <c r="BL301" s="111"/>
      <c r="BM301" s="111"/>
      <c r="BN301" s="111"/>
      <c r="BO301" s="111"/>
      <c r="BP301" s="111"/>
      <c r="BQ301" s="111"/>
      <c r="BR301" s="111"/>
      <c r="BS301" s="111"/>
      <c r="BT301" s="111"/>
      <c r="BU301" s="111"/>
      <c r="BV301" s="111"/>
    </row>
    <row r="302" spans="1:74" s="50" customFormat="1" ht="30" hidden="1" customHeight="1">
      <c r="A302" s="109">
        <v>298</v>
      </c>
      <c r="B302" s="121" t="s">
        <v>606</v>
      </c>
      <c r="C302" s="135" t="s">
        <v>607</v>
      </c>
      <c r="D302" s="121" t="s">
        <v>21</v>
      </c>
      <c r="E302" s="166"/>
      <c r="F302" s="166"/>
      <c r="G302" s="136">
        <v>601</v>
      </c>
      <c r="H302" s="3">
        <f t="shared" si="12"/>
        <v>0</v>
      </c>
      <c r="I302" s="3">
        <f t="shared" si="13"/>
        <v>0</v>
      </c>
      <c r="J302" s="110">
        <f t="shared" si="14"/>
        <v>601</v>
      </c>
      <c r="K302" s="110"/>
      <c r="L302" s="110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  <c r="BI302" s="137"/>
      <c r="BJ302" s="137"/>
      <c r="BK302" s="137"/>
      <c r="BL302" s="137"/>
      <c r="BM302" s="137"/>
      <c r="BN302" s="137"/>
      <c r="BO302" s="137"/>
      <c r="BP302" s="137"/>
      <c r="BQ302" s="137"/>
      <c r="BR302" s="137"/>
      <c r="BS302" s="137"/>
      <c r="BT302" s="137"/>
      <c r="BU302" s="137"/>
      <c r="BV302" s="137"/>
    </row>
    <row r="303" spans="1:74" s="50" customFormat="1" ht="30" hidden="1" customHeight="1">
      <c r="A303" s="109">
        <v>299</v>
      </c>
      <c r="B303" s="121" t="s">
        <v>608</v>
      </c>
      <c r="C303" s="135" t="s">
        <v>609</v>
      </c>
      <c r="D303" s="121" t="s">
        <v>21</v>
      </c>
      <c r="E303" s="166"/>
      <c r="F303" s="166"/>
      <c r="G303" s="124">
        <v>0</v>
      </c>
      <c r="H303" s="10">
        <f t="shared" si="12"/>
        <v>0</v>
      </c>
      <c r="I303" s="3">
        <f t="shared" si="13"/>
        <v>0</v>
      </c>
      <c r="J303" s="110">
        <f t="shared" si="14"/>
        <v>0</v>
      </c>
      <c r="K303" s="110"/>
      <c r="L303" s="110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  <c r="BA303" s="88"/>
      <c r="BB303" s="88"/>
      <c r="BC303" s="88"/>
      <c r="BD303" s="88"/>
      <c r="BE303" s="88"/>
      <c r="BF303" s="88"/>
      <c r="BG303" s="88"/>
      <c r="BH303" s="88"/>
      <c r="BI303" s="88"/>
      <c r="BJ303" s="88"/>
      <c r="BK303" s="88"/>
      <c r="BL303" s="88"/>
      <c r="BM303" s="88"/>
      <c r="BN303" s="88"/>
      <c r="BO303" s="88"/>
      <c r="BP303" s="88"/>
      <c r="BQ303" s="88"/>
      <c r="BR303" s="88"/>
      <c r="BS303" s="88"/>
      <c r="BT303" s="88"/>
      <c r="BU303" s="88"/>
      <c r="BV303" s="88"/>
    </row>
    <row r="304" spans="1:74" s="50" customFormat="1" ht="30" hidden="1" customHeight="1">
      <c r="A304" s="109">
        <v>300</v>
      </c>
      <c r="B304" s="26" t="s">
        <v>610</v>
      </c>
      <c r="C304" s="27" t="s">
        <v>611</v>
      </c>
      <c r="D304" s="26" t="s">
        <v>21</v>
      </c>
      <c r="E304" s="109"/>
      <c r="F304" s="109"/>
      <c r="G304" s="110">
        <v>1120</v>
      </c>
      <c r="H304" s="3">
        <f t="shared" si="12"/>
        <v>0</v>
      </c>
      <c r="I304" s="3">
        <f t="shared" si="13"/>
        <v>0</v>
      </c>
      <c r="J304" s="110">
        <f t="shared" si="14"/>
        <v>1120</v>
      </c>
      <c r="K304" s="110"/>
      <c r="L304" s="110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B304" s="111"/>
      <c r="BC304" s="111"/>
      <c r="BD304" s="111"/>
      <c r="BE304" s="111"/>
      <c r="BF304" s="111"/>
      <c r="BG304" s="111"/>
      <c r="BH304" s="111"/>
      <c r="BI304" s="111"/>
      <c r="BJ304" s="111"/>
      <c r="BK304" s="111"/>
      <c r="BL304" s="111"/>
      <c r="BM304" s="111"/>
      <c r="BN304" s="111"/>
      <c r="BO304" s="111"/>
      <c r="BP304" s="111"/>
      <c r="BQ304" s="111"/>
      <c r="BR304" s="111"/>
      <c r="BS304" s="111"/>
      <c r="BT304" s="111"/>
      <c r="BU304" s="111"/>
      <c r="BV304" s="111"/>
    </row>
    <row r="305" spans="1:74" s="50" customFormat="1" ht="30" hidden="1" customHeight="1">
      <c r="A305" s="109">
        <v>301</v>
      </c>
      <c r="B305" s="26" t="s">
        <v>612</v>
      </c>
      <c r="C305" s="27" t="s">
        <v>613</v>
      </c>
      <c r="D305" s="26" t="s">
        <v>21</v>
      </c>
      <c r="E305" s="109"/>
      <c r="F305" s="109"/>
      <c r="G305" s="110">
        <v>3905</v>
      </c>
      <c r="H305" s="3">
        <f t="shared" si="12"/>
        <v>0</v>
      </c>
      <c r="I305" s="3">
        <f t="shared" si="13"/>
        <v>0</v>
      </c>
      <c r="J305" s="110">
        <f t="shared" si="14"/>
        <v>3905</v>
      </c>
      <c r="K305" s="110"/>
      <c r="L305" s="110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B305" s="111"/>
      <c r="BC305" s="111"/>
      <c r="BD305" s="111"/>
      <c r="BE305" s="111"/>
      <c r="BF305" s="111"/>
      <c r="BG305" s="111"/>
      <c r="BH305" s="111"/>
      <c r="BI305" s="111"/>
      <c r="BJ305" s="111"/>
      <c r="BK305" s="111"/>
      <c r="BL305" s="111"/>
      <c r="BM305" s="111"/>
      <c r="BN305" s="111"/>
      <c r="BO305" s="111"/>
      <c r="BP305" s="111"/>
      <c r="BQ305" s="111"/>
      <c r="BR305" s="111"/>
      <c r="BS305" s="111"/>
      <c r="BT305" s="111"/>
      <c r="BU305" s="111"/>
      <c r="BV305" s="111"/>
    </row>
    <row r="306" spans="1:74" s="50" customFormat="1" ht="15" hidden="1" customHeight="1">
      <c r="A306" s="109">
        <v>302</v>
      </c>
      <c r="B306" s="121" t="s">
        <v>614</v>
      </c>
      <c r="C306" s="135" t="s">
        <v>615</v>
      </c>
      <c r="D306" s="121" t="s">
        <v>21</v>
      </c>
      <c r="E306" s="166"/>
      <c r="F306" s="166"/>
      <c r="G306" s="124">
        <v>1760</v>
      </c>
      <c r="H306" s="10">
        <f t="shared" si="12"/>
        <v>0</v>
      </c>
      <c r="I306" s="3">
        <f t="shared" si="13"/>
        <v>0</v>
      </c>
      <c r="J306" s="110">
        <f t="shared" si="14"/>
        <v>1760</v>
      </c>
      <c r="K306" s="110"/>
      <c r="L306" s="110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  <c r="AQ306" s="88"/>
      <c r="AR306" s="88"/>
      <c r="AS306" s="88"/>
      <c r="AT306" s="88"/>
      <c r="AU306" s="88"/>
      <c r="AV306" s="88"/>
      <c r="AW306" s="88"/>
      <c r="AX306" s="88"/>
      <c r="AY306" s="88"/>
      <c r="AZ306" s="88"/>
      <c r="BA306" s="88"/>
      <c r="BB306" s="88"/>
      <c r="BC306" s="88"/>
      <c r="BD306" s="88"/>
      <c r="BE306" s="88"/>
      <c r="BF306" s="88"/>
      <c r="BG306" s="88"/>
      <c r="BH306" s="88"/>
      <c r="BI306" s="88"/>
      <c r="BJ306" s="88"/>
      <c r="BK306" s="88"/>
      <c r="BL306" s="88"/>
      <c r="BM306" s="88"/>
      <c r="BN306" s="88"/>
      <c r="BO306" s="88"/>
      <c r="BP306" s="88"/>
      <c r="BQ306" s="88"/>
      <c r="BR306" s="88"/>
      <c r="BS306" s="88"/>
      <c r="BT306" s="88"/>
      <c r="BU306" s="88"/>
      <c r="BV306" s="88"/>
    </row>
    <row r="307" spans="1:74" s="50" customFormat="1" ht="30" hidden="1" customHeight="1">
      <c r="A307" s="109">
        <v>303</v>
      </c>
      <c r="B307" s="26" t="s">
        <v>616</v>
      </c>
      <c r="C307" s="27" t="s">
        <v>617</v>
      </c>
      <c r="D307" s="26" t="s">
        <v>21</v>
      </c>
      <c r="E307" s="109"/>
      <c r="F307" s="109"/>
      <c r="G307" s="110">
        <v>116</v>
      </c>
      <c r="H307" s="3">
        <f t="shared" si="12"/>
        <v>0</v>
      </c>
      <c r="I307" s="3">
        <f t="shared" si="13"/>
        <v>0</v>
      </c>
      <c r="J307" s="110">
        <f t="shared" si="14"/>
        <v>116</v>
      </c>
      <c r="K307" s="110"/>
      <c r="L307" s="110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B307" s="111"/>
      <c r="BC307" s="111"/>
      <c r="BD307" s="111"/>
      <c r="BE307" s="111"/>
      <c r="BF307" s="111"/>
      <c r="BG307" s="111"/>
      <c r="BH307" s="111"/>
      <c r="BI307" s="111"/>
      <c r="BJ307" s="111"/>
      <c r="BK307" s="111"/>
      <c r="BL307" s="111"/>
      <c r="BM307" s="111"/>
      <c r="BN307" s="111"/>
      <c r="BO307" s="111"/>
      <c r="BP307" s="111"/>
      <c r="BQ307" s="111"/>
      <c r="BR307" s="111"/>
      <c r="BS307" s="111"/>
      <c r="BT307" s="111"/>
      <c r="BU307" s="111"/>
      <c r="BV307" s="111"/>
    </row>
    <row r="308" spans="1:74" s="50" customFormat="1" ht="15" hidden="1" customHeight="1">
      <c r="A308" s="109">
        <v>304</v>
      </c>
      <c r="B308" s="26" t="s">
        <v>618</v>
      </c>
      <c r="C308" s="27" t="s">
        <v>619</v>
      </c>
      <c r="D308" s="26" t="s">
        <v>21</v>
      </c>
      <c r="E308" s="109"/>
      <c r="F308" s="109"/>
      <c r="G308" s="110">
        <v>0</v>
      </c>
      <c r="H308" s="3">
        <f t="shared" si="12"/>
        <v>0</v>
      </c>
      <c r="I308" s="3">
        <f t="shared" si="13"/>
        <v>0</v>
      </c>
      <c r="J308" s="110">
        <f t="shared" si="14"/>
        <v>0</v>
      </c>
      <c r="K308" s="110"/>
      <c r="L308" s="110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B308" s="111"/>
      <c r="BC308" s="111"/>
      <c r="BD308" s="111"/>
      <c r="BE308" s="111"/>
      <c r="BF308" s="111"/>
      <c r="BG308" s="111"/>
      <c r="BH308" s="111"/>
      <c r="BI308" s="111"/>
      <c r="BJ308" s="111"/>
      <c r="BK308" s="111"/>
      <c r="BL308" s="111"/>
      <c r="BM308" s="111"/>
      <c r="BN308" s="111"/>
      <c r="BO308" s="111"/>
      <c r="BP308" s="111"/>
      <c r="BQ308" s="111"/>
      <c r="BR308" s="111"/>
      <c r="BS308" s="111"/>
      <c r="BT308" s="111"/>
      <c r="BU308" s="111"/>
      <c r="BV308" s="111"/>
    </row>
    <row r="309" spans="1:74" s="50" customFormat="1" ht="15" hidden="1" customHeight="1">
      <c r="A309" s="109">
        <v>305</v>
      </c>
      <c r="B309" s="26" t="s">
        <v>620</v>
      </c>
      <c r="C309" s="27" t="s">
        <v>621</v>
      </c>
      <c r="D309" s="26" t="s">
        <v>21</v>
      </c>
      <c r="E309" s="109"/>
      <c r="F309" s="109"/>
      <c r="G309" s="110">
        <v>5000</v>
      </c>
      <c r="H309" s="3">
        <f t="shared" si="12"/>
        <v>0</v>
      </c>
      <c r="I309" s="3">
        <f t="shared" si="13"/>
        <v>0</v>
      </c>
      <c r="J309" s="110">
        <f t="shared" si="14"/>
        <v>5000</v>
      </c>
      <c r="K309" s="110"/>
      <c r="L309" s="110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B309" s="111"/>
      <c r="BC309" s="111"/>
      <c r="BD309" s="111"/>
      <c r="BE309" s="111"/>
      <c r="BF309" s="111"/>
      <c r="BG309" s="111"/>
      <c r="BH309" s="111"/>
      <c r="BI309" s="111"/>
      <c r="BJ309" s="111"/>
      <c r="BK309" s="111"/>
      <c r="BL309" s="111"/>
      <c r="BM309" s="111"/>
      <c r="BN309" s="111"/>
      <c r="BO309" s="111"/>
      <c r="BP309" s="111"/>
      <c r="BQ309" s="111"/>
      <c r="BR309" s="111"/>
      <c r="BS309" s="111"/>
      <c r="BT309" s="111"/>
      <c r="BU309" s="111"/>
      <c r="BV309" s="111"/>
    </row>
    <row r="310" spans="1:74" s="50" customFormat="1" ht="15" hidden="1" customHeight="1">
      <c r="A310" s="142">
        <v>306</v>
      </c>
      <c r="B310" s="143" t="s">
        <v>622</v>
      </c>
      <c r="C310" s="144" t="s">
        <v>623</v>
      </c>
      <c r="D310" s="143" t="s">
        <v>21</v>
      </c>
      <c r="E310" s="109"/>
      <c r="F310" s="109"/>
      <c r="G310" s="110">
        <v>245</v>
      </c>
      <c r="H310" s="3">
        <f t="shared" si="12"/>
        <v>0</v>
      </c>
      <c r="I310" s="3">
        <f t="shared" si="13"/>
        <v>84</v>
      </c>
      <c r="J310" s="110">
        <f t="shared" si="14"/>
        <v>161</v>
      </c>
      <c r="K310" s="110"/>
      <c r="L310" s="110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>
        <v>42</v>
      </c>
      <c r="AC310" s="111"/>
      <c r="AD310" s="111"/>
      <c r="AE310" s="111"/>
      <c r="AF310" s="111">
        <v>20</v>
      </c>
      <c r="AG310" s="111"/>
      <c r="AH310" s="13"/>
      <c r="AI310" s="111"/>
      <c r="AJ310" s="111"/>
      <c r="AK310" s="111"/>
      <c r="AL310" s="111"/>
      <c r="AM310" s="111"/>
      <c r="AN310" s="111"/>
      <c r="AO310" s="111"/>
      <c r="AP310" s="111">
        <v>22</v>
      </c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B310" s="111"/>
      <c r="BC310" s="111"/>
      <c r="BD310" s="111"/>
      <c r="BE310" s="111"/>
      <c r="BF310" s="111"/>
      <c r="BG310" s="111"/>
      <c r="BH310" s="111"/>
      <c r="BI310" s="111"/>
      <c r="BJ310" s="111"/>
      <c r="BK310" s="111"/>
      <c r="BL310" s="111"/>
      <c r="BM310" s="111"/>
      <c r="BN310" s="111"/>
      <c r="BO310" s="111"/>
      <c r="BP310" s="111"/>
      <c r="BQ310" s="111"/>
      <c r="BR310" s="111"/>
      <c r="BS310" s="111"/>
      <c r="BT310" s="111"/>
      <c r="BU310" s="111"/>
      <c r="BV310" s="111"/>
    </row>
    <row r="311" spans="1:74" s="50" customFormat="1" ht="15" hidden="1" customHeight="1">
      <c r="A311" s="142">
        <v>307</v>
      </c>
      <c r="B311" s="143" t="s">
        <v>624</v>
      </c>
      <c r="C311" s="144" t="s">
        <v>625</v>
      </c>
      <c r="D311" s="143" t="s">
        <v>21</v>
      </c>
      <c r="E311" s="109"/>
      <c r="F311" s="109"/>
      <c r="G311" s="110">
        <v>19</v>
      </c>
      <c r="H311" s="3">
        <f t="shared" ref="H311:H374" si="15">SUM(M311+O311+Q311+S311+U311+W311+Y311+AA311+AC311+AE311+AG311+AI311+AK311+AM311+AO311+AQ311+AS311+AU311+AW311+AY311+BA311+BC311+BE311+BG311+BI311+BK311+BM311+BO311+BQ311+BS311+BU311)</f>
        <v>0</v>
      </c>
      <c r="I311" s="3">
        <f t="shared" ref="I311:I374" si="16">SUM(N311+P311+R311+T311+V311+X311+Z311+AB311+AD311+AF311+AH311+AJ311+AL311+AN311+AP311+AR311+AT311+AV311+AX311+AZ311+BB311+BD311+BF311+BH311+BJ311+BL311+BN311+BP311+BR311+BT311+BV311)</f>
        <v>6</v>
      </c>
      <c r="J311" s="110">
        <f t="shared" ref="J311:J374" si="17">G311+H311-I311</f>
        <v>13</v>
      </c>
      <c r="K311" s="110"/>
      <c r="L311" s="110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>
        <v>6</v>
      </c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B311" s="111"/>
      <c r="BC311" s="111"/>
      <c r="BD311" s="111"/>
      <c r="BE311" s="111"/>
      <c r="BF311" s="111"/>
      <c r="BG311" s="111"/>
      <c r="BH311" s="111"/>
      <c r="BI311" s="111"/>
      <c r="BJ311" s="111"/>
      <c r="BK311" s="111"/>
      <c r="BL311" s="111"/>
      <c r="BM311" s="111"/>
      <c r="BN311" s="111"/>
      <c r="BO311" s="111"/>
      <c r="BP311" s="111"/>
      <c r="BQ311" s="111"/>
      <c r="BR311" s="111"/>
      <c r="BS311" s="111"/>
      <c r="BT311" s="111"/>
      <c r="BU311" s="111"/>
      <c r="BV311" s="111"/>
    </row>
    <row r="312" spans="1:74" s="50" customFormat="1" ht="15" hidden="1" customHeight="1">
      <c r="A312" s="142">
        <v>308</v>
      </c>
      <c r="B312" s="143" t="s">
        <v>626</v>
      </c>
      <c r="C312" s="144" t="s">
        <v>627</v>
      </c>
      <c r="D312" s="143" t="s">
        <v>21</v>
      </c>
      <c r="E312" s="109"/>
      <c r="F312" s="109"/>
      <c r="G312" s="110">
        <v>493</v>
      </c>
      <c r="H312" s="3">
        <f t="shared" si="15"/>
        <v>0</v>
      </c>
      <c r="I312" s="3">
        <f t="shared" si="16"/>
        <v>0</v>
      </c>
      <c r="J312" s="110">
        <f t="shared" si="17"/>
        <v>493</v>
      </c>
      <c r="K312" s="110"/>
      <c r="L312" s="110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B312" s="111"/>
      <c r="BC312" s="111"/>
      <c r="BD312" s="111"/>
      <c r="BE312" s="111"/>
      <c r="BF312" s="111"/>
      <c r="BG312" s="111"/>
      <c r="BH312" s="111"/>
      <c r="BI312" s="111"/>
      <c r="BJ312" s="111"/>
      <c r="BK312" s="111"/>
      <c r="BL312" s="111"/>
      <c r="BM312" s="111"/>
      <c r="BN312" s="111"/>
      <c r="BO312" s="111"/>
      <c r="BP312" s="111"/>
      <c r="BQ312" s="111"/>
      <c r="BR312" s="111"/>
      <c r="BS312" s="111"/>
      <c r="BT312" s="111"/>
      <c r="BU312" s="111"/>
      <c r="BV312" s="111"/>
    </row>
    <row r="313" spans="1:74" s="50" customFormat="1" ht="15" hidden="1" customHeight="1">
      <c r="A313" s="142">
        <v>309</v>
      </c>
      <c r="B313" s="143" t="s">
        <v>628</v>
      </c>
      <c r="C313" s="144" t="s">
        <v>629</v>
      </c>
      <c r="D313" s="143" t="s">
        <v>21</v>
      </c>
      <c r="E313" s="109"/>
      <c r="F313" s="109"/>
      <c r="G313" s="108">
        <v>7</v>
      </c>
      <c r="H313" s="26">
        <f t="shared" si="15"/>
        <v>0</v>
      </c>
      <c r="I313" s="26">
        <f t="shared" si="16"/>
        <v>0</v>
      </c>
      <c r="J313" s="108">
        <f t="shared" si="17"/>
        <v>7</v>
      </c>
      <c r="K313" s="108"/>
      <c r="L313" s="108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B313" s="111"/>
      <c r="BC313" s="111"/>
      <c r="BD313" s="111"/>
      <c r="BE313" s="111"/>
      <c r="BF313" s="111"/>
      <c r="BG313" s="111"/>
      <c r="BH313" s="111"/>
      <c r="BI313" s="111"/>
      <c r="BJ313" s="111"/>
      <c r="BK313" s="111"/>
      <c r="BL313" s="111"/>
      <c r="BM313" s="111"/>
      <c r="BN313" s="111"/>
      <c r="BO313" s="111"/>
      <c r="BP313" s="111"/>
      <c r="BQ313" s="111"/>
      <c r="BR313" s="111"/>
      <c r="BS313" s="111"/>
      <c r="BT313" s="111"/>
      <c r="BU313" s="111"/>
      <c r="BV313" s="111"/>
    </row>
    <row r="314" spans="1:74" s="50" customFormat="1" ht="15" hidden="1" customHeight="1">
      <c r="A314" s="109">
        <v>310</v>
      </c>
      <c r="B314" s="26" t="s">
        <v>630</v>
      </c>
      <c r="C314" s="27" t="s">
        <v>631</v>
      </c>
      <c r="D314" s="26" t="s">
        <v>21</v>
      </c>
      <c r="E314" s="109"/>
      <c r="F314" s="109"/>
      <c r="G314" s="108">
        <v>263</v>
      </c>
      <c r="H314" s="26">
        <f t="shared" si="15"/>
        <v>0</v>
      </c>
      <c r="I314" s="26">
        <f t="shared" si="16"/>
        <v>0</v>
      </c>
      <c r="J314" s="108">
        <f t="shared" si="17"/>
        <v>263</v>
      </c>
      <c r="K314" s="108"/>
      <c r="L314" s="108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B314" s="111"/>
      <c r="BC314" s="111"/>
      <c r="BD314" s="111"/>
      <c r="BE314" s="111"/>
      <c r="BF314" s="111"/>
      <c r="BG314" s="111"/>
      <c r="BH314" s="111"/>
      <c r="BI314" s="111"/>
      <c r="BJ314" s="111"/>
      <c r="BK314" s="111"/>
      <c r="BL314" s="111"/>
      <c r="BM314" s="111"/>
      <c r="BN314" s="111"/>
      <c r="BO314" s="111"/>
      <c r="BP314" s="111"/>
      <c r="BQ314" s="111"/>
      <c r="BR314" s="111"/>
      <c r="BS314" s="111"/>
      <c r="BT314" s="111"/>
      <c r="BU314" s="111"/>
      <c r="BV314" s="111"/>
    </row>
    <row r="315" spans="1:74" s="50" customFormat="1" ht="15" hidden="1" customHeight="1">
      <c r="A315" s="109">
        <v>311</v>
      </c>
      <c r="B315" s="26" t="s">
        <v>632</v>
      </c>
      <c r="C315" s="27" t="s">
        <v>633</v>
      </c>
      <c r="D315" s="26" t="s">
        <v>21</v>
      </c>
      <c r="E315" s="109"/>
      <c r="F315" s="109"/>
      <c r="G315" s="108">
        <v>626</v>
      </c>
      <c r="H315" s="26">
        <f t="shared" si="15"/>
        <v>0</v>
      </c>
      <c r="I315" s="26">
        <f t="shared" si="16"/>
        <v>0</v>
      </c>
      <c r="J315" s="108">
        <f t="shared" si="17"/>
        <v>626</v>
      </c>
      <c r="K315" s="108"/>
      <c r="L315" s="108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B315" s="111"/>
      <c r="BC315" s="111"/>
      <c r="BD315" s="111"/>
      <c r="BE315" s="111"/>
      <c r="BF315" s="111"/>
      <c r="BG315" s="111"/>
      <c r="BH315" s="111"/>
      <c r="BI315" s="111"/>
      <c r="BJ315" s="111"/>
      <c r="BK315" s="111"/>
      <c r="BL315" s="111"/>
      <c r="BM315" s="111"/>
      <c r="BN315" s="111"/>
      <c r="BO315" s="111"/>
      <c r="BP315" s="111"/>
      <c r="BQ315" s="111"/>
      <c r="BR315" s="111"/>
      <c r="BS315" s="111"/>
      <c r="BT315" s="111"/>
      <c r="BU315" s="111"/>
      <c r="BV315" s="111"/>
    </row>
    <row r="316" spans="1:74" s="50" customFormat="1" ht="15" hidden="1" customHeight="1">
      <c r="A316" s="109">
        <v>312</v>
      </c>
      <c r="B316" s="26" t="s">
        <v>634</v>
      </c>
      <c r="C316" s="27" t="s">
        <v>635</v>
      </c>
      <c r="D316" s="26" t="s">
        <v>21</v>
      </c>
      <c r="E316" s="109"/>
      <c r="F316" s="109"/>
      <c r="G316" s="110">
        <v>450</v>
      </c>
      <c r="H316" s="3">
        <f t="shared" si="15"/>
        <v>0</v>
      </c>
      <c r="I316" s="3">
        <f t="shared" si="16"/>
        <v>0</v>
      </c>
      <c r="J316" s="110">
        <f t="shared" si="17"/>
        <v>450</v>
      </c>
      <c r="K316" s="110"/>
      <c r="L316" s="110"/>
      <c r="M316" s="111"/>
      <c r="N316" s="111"/>
      <c r="O316" s="111"/>
      <c r="P316" s="3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B316" s="111"/>
      <c r="BC316" s="111"/>
      <c r="BD316" s="111"/>
      <c r="BE316" s="111"/>
      <c r="BF316" s="111"/>
      <c r="BG316" s="111"/>
      <c r="BH316" s="111"/>
      <c r="BI316" s="111"/>
      <c r="BJ316" s="111"/>
      <c r="BK316" s="111"/>
      <c r="BL316" s="111"/>
      <c r="BM316" s="111"/>
      <c r="BN316" s="111"/>
      <c r="BO316" s="111"/>
      <c r="BP316" s="111"/>
      <c r="BQ316" s="111"/>
      <c r="BR316" s="111"/>
      <c r="BS316" s="111"/>
      <c r="BT316" s="111"/>
      <c r="BU316" s="111"/>
      <c r="BV316" s="111"/>
    </row>
    <row r="317" spans="1:74" s="50" customFormat="1" ht="15" hidden="1" customHeight="1">
      <c r="A317" s="142">
        <v>313</v>
      </c>
      <c r="B317" s="143" t="s">
        <v>636</v>
      </c>
      <c r="C317" s="144" t="s">
        <v>637</v>
      </c>
      <c r="D317" s="143" t="s">
        <v>21</v>
      </c>
      <c r="E317" s="109"/>
      <c r="F317" s="109"/>
      <c r="G317" s="110">
        <v>60</v>
      </c>
      <c r="H317" s="3">
        <f t="shared" si="15"/>
        <v>122</v>
      </c>
      <c r="I317" s="3">
        <f t="shared" si="16"/>
        <v>50</v>
      </c>
      <c r="J317" s="110">
        <f>G317+H317-I317</f>
        <v>132</v>
      </c>
      <c r="K317" s="110"/>
      <c r="L317" s="110"/>
      <c r="M317" s="111"/>
      <c r="N317" s="111"/>
      <c r="O317" s="111"/>
      <c r="P317" s="3"/>
      <c r="Q317" s="111"/>
      <c r="R317" s="111"/>
      <c r="S317" s="111"/>
      <c r="T317" s="111"/>
      <c r="U317" s="111"/>
      <c r="V317" s="111"/>
      <c r="W317" s="111"/>
      <c r="X317" s="111"/>
      <c r="Y317" s="111">
        <v>122</v>
      </c>
      <c r="Z317" s="111"/>
      <c r="AA317" s="111"/>
      <c r="AB317" s="111"/>
      <c r="AC317" s="111"/>
      <c r="AD317" s="111">
        <f>20+18</f>
        <v>38</v>
      </c>
      <c r="AE317" s="111"/>
      <c r="AF317" s="111">
        <v>12</v>
      </c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B317" s="111"/>
      <c r="BC317" s="111"/>
      <c r="BD317" s="111"/>
      <c r="BE317" s="111"/>
      <c r="BF317" s="111"/>
      <c r="BG317" s="111"/>
      <c r="BH317" s="111"/>
      <c r="BI317" s="111"/>
      <c r="BJ317" s="111"/>
      <c r="BK317" s="111"/>
      <c r="BL317" s="111"/>
      <c r="BM317" s="111"/>
      <c r="BN317" s="111"/>
      <c r="BO317" s="111"/>
      <c r="BP317" s="111"/>
      <c r="BQ317" s="111"/>
      <c r="BR317" s="111"/>
      <c r="BS317" s="111"/>
      <c r="BT317" s="111"/>
      <c r="BU317" s="111"/>
      <c r="BV317" s="111"/>
    </row>
    <row r="318" spans="1:74" s="50" customFormat="1" ht="15" hidden="1" customHeight="1">
      <c r="A318" s="142">
        <v>314</v>
      </c>
      <c r="B318" s="143" t="s">
        <v>638</v>
      </c>
      <c r="C318" s="144" t="s">
        <v>639</v>
      </c>
      <c r="D318" s="143" t="s">
        <v>21</v>
      </c>
      <c r="E318" s="109"/>
      <c r="F318" s="109"/>
      <c r="G318" s="110">
        <v>62</v>
      </c>
      <c r="H318" s="3">
        <f t="shared" si="15"/>
        <v>122</v>
      </c>
      <c r="I318" s="3">
        <f t="shared" si="16"/>
        <v>50</v>
      </c>
      <c r="J318" s="110">
        <f t="shared" si="17"/>
        <v>134</v>
      </c>
      <c r="K318" s="110"/>
      <c r="L318" s="110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>
        <v>122</v>
      </c>
      <c r="Z318" s="111"/>
      <c r="AA318" s="111"/>
      <c r="AB318" s="111"/>
      <c r="AC318" s="111"/>
      <c r="AD318" s="111">
        <f>20+18</f>
        <v>38</v>
      </c>
      <c r="AE318" s="111"/>
      <c r="AF318" s="111">
        <v>12</v>
      </c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B318" s="111"/>
      <c r="BC318" s="111"/>
      <c r="BD318" s="111"/>
      <c r="BE318" s="111"/>
      <c r="BF318" s="111"/>
      <c r="BG318" s="111"/>
      <c r="BH318" s="111"/>
      <c r="BI318" s="111"/>
      <c r="BJ318" s="111"/>
      <c r="BK318" s="111"/>
      <c r="BL318" s="111"/>
      <c r="BM318" s="111"/>
      <c r="BN318" s="111"/>
      <c r="BO318" s="111"/>
      <c r="BP318" s="111"/>
      <c r="BQ318" s="111"/>
      <c r="BR318" s="111"/>
      <c r="BS318" s="111"/>
      <c r="BT318" s="111"/>
      <c r="BU318" s="111"/>
      <c r="BV318" s="111"/>
    </row>
    <row r="319" spans="1:74" s="92" customFormat="1" ht="15" hidden="1" customHeight="1">
      <c r="A319" s="111">
        <v>315</v>
      </c>
      <c r="B319" s="3" t="s">
        <v>640</v>
      </c>
      <c r="C319" s="17" t="s">
        <v>641</v>
      </c>
      <c r="D319" s="3" t="s">
        <v>21</v>
      </c>
      <c r="E319" s="109"/>
      <c r="F319" s="111"/>
      <c r="G319" s="108">
        <v>17</v>
      </c>
      <c r="H319" s="26">
        <f t="shared" si="15"/>
        <v>0</v>
      </c>
      <c r="I319" s="26">
        <f t="shared" si="16"/>
        <v>0</v>
      </c>
      <c r="J319" s="108">
        <f t="shared" si="17"/>
        <v>17</v>
      </c>
      <c r="K319" s="108"/>
      <c r="L319" s="108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09"/>
      <c r="AK319" s="109"/>
      <c r="AL319" s="109"/>
      <c r="AM319" s="109"/>
      <c r="AN319" s="109"/>
      <c r="AO319" s="109"/>
      <c r="AP319" s="109"/>
      <c r="AQ319" s="109"/>
      <c r="AR319" s="109"/>
      <c r="AS319" s="109"/>
      <c r="AT319" s="109"/>
      <c r="AU319" s="109"/>
      <c r="AV319" s="109"/>
      <c r="AW319" s="109"/>
      <c r="AX319" s="109"/>
      <c r="AY319" s="109"/>
      <c r="AZ319" s="109"/>
      <c r="BA319" s="109"/>
      <c r="BB319" s="109"/>
      <c r="BC319" s="109"/>
      <c r="BD319" s="109"/>
      <c r="BE319" s="109"/>
      <c r="BF319" s="109"/>
      <c r="BG319" s="109"/>
      <c r="BH319" s="109"/>
      <c r="BI319" s="109"/>
      <c r="BJ319" s="109"/>
      <c r="BK319" s="109"/>
      <c r="BL319" s="109"/>
      <c r="BM319" s="109"/>
      <c r="BN319" s="109"/>
      <c r="BO319" s="109"/>
      <c r="BP319" s="109"/>
      <c r="BQ319" s="109"/>
      <c r="BR319" s="109"/>
      <c r="BS319" s="109"/>
      <c r="BT319" s="109"/>
      <c r="BU319" s="109"/>
      <c r="BV319" s="109"/>
    </row>
    <row r="320" spans="1:74" s="50" customFormat="1" ht="15" hidden="1" customHeight="1">
      <c r="A320" s="142">
        <v>316</v>
      </c>
      <c r="B320" s="143" t="s">
        <v>642</v>
      </c>
      <c r="C320" s="144" t="s">
        <v>643</v>
      </c>
      <c r="D320" s="143" t="s">
        <v>21</v>
      </c>
      <c r="E320" s="109"/>
      <c r="F320" s="111"/>
      <c r="G320" s="110">
        <v>13</v>
      </c>
      <c r="H320" s="3">
        <f t="shared" si="15"/>
        <v>25</v>
      </c>
      <c r="I320" s="3">
        <f t="shared" si="16"/>
        <v>0</v>
      </c>
      <c r="J320" s="110">
        <f t="shared" si="17"/>
        <v>38</v>
      </c>
      <c r="K320" s="110"/>
      <c r="L320" s="110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>
        <v>25</v>
      </c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B320" s="111"/>
      <c r="BC320" s="111"/>
      <c r="BD320" s="111"/>
      <c r="BE320" s="111"/>
      <c r="BF320" s="111"/>
      <c r="BG320" s="111"/>
      <c r="BH320" s="111"/>
      <c r="BI320" s="111"/>
      <c r="BJ320" s="111"/>
      <c r="BK320" s="111"/>
      <c r="BL320" s="111"/>
      <c r="BM320" s="111"/>
      <c r="BN320" s="111"/>
      <c r="BO320" s="111"/>
      <c r="BP320" s="111"/>
      <c r="BQ320" s="111"/>
      <c r="BR320" s="111"/>
      <c r="BS320" s="111"/>
      <c r="BT320" s="111"/>
      <c r="BU320" s="111"/>
      <c r="BV320" s="111"/>
    </row>
    <row r="321" spans="1:74" s="50" customFormat="1" ht="30" hidden="1" customHeight="1">
      <c r="A321" s="142">
        <v>317</v>
      </c>
      <c r="B321" s="143" t="s">
        <v>644</v>
      </c>
      <c r="C321" s="144" t="s">
        <v>645</v>
      </c>
      <c r="D321" s="143" t="s">
        <v>21</v>
      </c>
      <c r="E321" s="109"/>
      <c r="F321" s="111"/>
      <c r="G321" s="110">
        <v>47</v>
      </c>
      <c r="H321" s="3">
        <f t="shared" si="15"/>
        <v>0</v>
      </c>
      <c r="I321" s="3">
        <f t="shared" si="16"/>
        <v>0</v>
      </c>
      <c r="J321" s="110">
        <f t="shared" si="17"/>
        <v>47</v>
      </c>
      <c r="K321" s="110"/>
      <c r="L321" s="110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B321" s="111"/>
      <c r="BC321" s="111"/>
      <c r="BD321" s="111"/>
      <c r="BE321" s="111"/>
      <c r="BF321" s="111"/>
      <c r="BG321" s="111"/>
      <c r="BH321" s="111"/>
      <c r="BI321" s="111"/>
      <c r="BJ321" s="111"/>
      <c r="BK321" s="111"/>
      <c r="BL321" s="111"/>
      <c r="BM321" s="111"/>
      <c r="BN321" s="111"/>
      <c r="BO321" s="111"/>
      <c r="BP321" s="111"/>
      <c r="BQ321" s="111"/>
      <c r="BR321" s="111"/>
      <c r="BS321" s="111"/>
      <c r="BT321" s="111"/>
      <c r="BU321" s="111"/>
      <c r="BV321" s="111"/>
    </row>
    <row r="322" spans="1:74" s="50" customFormat="1" ht="30" hidden="1" customHeight="1">
      <c r="A322" s="111">
        <v>318</v>
      </c>
      <c r="B322" s="3" t="s">
        <v>646</v>
      </c>
      <c r="C322" s="17" t="s">
        <v>647</v>
      </c>
      <c r="D322" s="3" t="s">
        <v>21</v>
      </c>
      <c r="E322" s="111"/>
      <c r="F322" s="111"/>
      <c r="G322" s="110">
        <v>3</v>
      </c>
      <c r="H322" s="3">
        <f t="shared" si="15"/>
        <v>0</v>
      </c>
      <c r="I322" s="3">
        <f t="shared" si="16"/>
        <v>0</v>
      </c>
      <c r="J322" s="110">
        <f t="shared" si="17"/>
        <v>3</v>
      </c>
      <c r="K322" s="110"/>
      <c r="L322" s="110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B322" s="111"/>
      <c r="BC322" s="111"/>
      <c r="BD322" s="111"/>
      <c r="BE322" s="111"/>
      <c r="BF322" s="111"/>
      <c r="BG322" s="111"/>
      <c r="BH322" s="111"/>
      <c r="BI322" s="111"/>
      <c r="BJ322" s="111"/>
      <c r="BK322" s="111"/>
      <c r="BL322" s="111"/>
      <c r="BM322" s="111"/>
      <c r="BN322" s="111"/>
      <c r="BO322" s="111"/>
      <c r="BP322" s="111"/>
      <c r="BQ322" s="111"/>
      <c r="BR322" s="111"/>
      <c r="BS322" s="111"/>
      <c r="BT322" s="111"/>
      <c r="BU322" s="111"/>
      <c r="BV322" s="111"/>
    </row>
    <row r="323" spans="1:74" s="92" customFormat="1" ht="15" hidden="1" customHeight="1">
      <c r="A323" s="111">
        <v>319</v>
      </c>
      <c r="B323" s="3" t="s">
        <v>648</v>
      </c>
      <c r="C323" s="17" t="s">
        <v>649</v>
      </c>
      <c r="D323" s="3" t="s">
        <v>21</v>
      </c>
      <c r="E323" s="111"/>
      <c r="F323" s="111"/>
      <c r="G323" s="108">
        <v>2</v>
      </c>
      <c r="H323" s="26">
        <f t="shared" si="15"/>
        <v>0</v>
      </c>
      <c r="I323" s="26">
        <f t="shared" si="16"/>
        <v>0</v>
      </c>
      <c r="J323" s="108">
        <f t="shared" si="17"/>
        <v>2</v>
      </c>
      <c r="K323" s="108"/>
      <c r="L323" s="108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09"/>
      <c r="AK323" s="109"/>
      <c r="AL323" s="109"/>
      <c r="AM323" s="109"/>
      <c r="AN323" s="109"/>
      <c r="AO323" s="109"/>
      <c r="AP323" s="109"/>
      <c r="AQ323" s="109"/>
      <c r="AR323" s="109"/>
      <c r="AS323" s="109"/>
      <c r="AT323" s="109"/>
      <c r="AU323" s="109"/>
      <c r="AV323" s="109"/>
      <c r="AW323" s="109"/>
      <c r="AX323" s="109"/>
      <c r="AY323" s="109"/>
      <c r="AZ323" s="109"/>
      <c r="BA323" s="109"/>
      <c r="BB323" s="109"/>
      <c r="BC323" s="109"/>
      <c r="BD323" s="109"/>
      <c r="BE323" s="109"/>
      <c r="BF323" s="109"/>
      <c r="BG323" s="109"/>
      <c r="BH323" s="109"/>
      <c r="BI323" s="109"/>
      <c r="BJ323" s="109"/>
      <c r="BK323" s="109"/>
      <c r="BL323" s="109"/>
      <c r="BM323" s="109"/>
      <c r="BN323" s="109"/>
      <c r="BO323" s="109"/>
      <c r="BP323" s="109"/>
      <c r="BQ323" s="109"/>
      <c r="BR323" s="109"/>
      <c r="BS323" s="109"/>
      <c r="BT323" s="109"/>
      <c r="BU323" s="109"/>
      <c r="BV323" s="109"/>
    </row>
    <row r="324" spans="1:74" s="50" customFormat="1" ht="30" hidden="1" customHeight="1">
      <c r="A324" s="109">
        <v>320</v>
      </c>
      <c r="B324" s="26" t="s">
        <v>650</v>
      </c>
      <c r="C324" s="27" t="s">
        <v>651</v>
      </c>
      <c r="D324" s="26" t="s">
        <v>21</v>
      </c>
      <c r="E324" s="109"/>
      <c r="F324" s="109"/>
      <c r="G324" s="110">
        <v>100</v>
      </c>
      <c r="H324" s="3">
        <f t="shared" si="15"/>
        <v>0</v>
      </c>
      <c r="I324" s="3">
        <f t="shared" si="16"/>
        <v>0</v>
      </c>
      <c r="J324" s="110">
        <f t="shared" si="17"/>
        <v>100</v>
      </c>
      <c r="K324" s="110"/>
      <c r="L324" s="110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  <c r="BB324" s="111"/>
      <c r="BC324" s="111"/>
      <c r="BD324" s="111"/>
      <c r="BE324" s="111"/>
      <c r="BF324" s="111"/>
      <c r="BG324" s="111"/>
      <c r="BH324" s="111"/>
      <c r="BI324" s="111"/>
      <c r="BJ324" s="111"/>
      <c r="BK324" s="111"/>
      <c r="BL324" s="111"/>
      <c r="BM324" s="111"/>
      <c r="BN324" s="111"/>
      <c r="BO324" s="111"/>
      <c r="BP324" s="111"/>
      <c r="BQ324" s="111"/>
      <c r="BR324" s="111"/>
      <c r="BS324" s="111"/>
      <c r="BT324" s="111"/>
      <c r="BU324" s="111"/>
      <c r="BV324" s="111"/>
    </row>
    <row r="325" spans="1:74" s="50" customFormat="1" ht="15" hidden="1" customHeight="1">
      <c r="A325" s="109">
        <v>321</v>
      </c>
      <c r="B325" s="26" t="s">
        <v>652</v>
      </c>
      <c r="C325" s="27" t="s">
        <v>653</v>
      </c>
      <c r="D325" s="26" t="s">
        <v>21</v>
      </c>
      <c r="E325" s="109"/>
      <c r="F325" s="109"/>
      <c r="G325" s="110">
        <v>50</v>
      </c>
      <c r="H325" s="3">
        <f t="shared" si="15"/>
        <v>0</v>
      </c>
      <c r="I325" s="3">
        <f t="shared" si="16"/>
        <v>0</v>
      </c>
      <c r="J325" s="110">
        <f t="shared" si="17"/>
        <v>50</v>
      </c>
      <c r="K325" s="110"/>
      <c r="L325" s="110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  <c r="BB325" s="111"/>
      <c r="BC325" s="111"/>
      <c r="BD325" s="111"/>
      <c r="BE325" s="111"/>
      <c r="BF325" s="111"/>
      <c r="BG325" s="111"/>
      <c r="BH325" s="111"/>
      <c r="BI325" s="111"/>
      <c r="BJ325" s="111"/>
      <c r="BK325" s="111"/>
      <c r="BL325" s="111"/>
      <c r="BM325" s="111"/>
      <c r="BN325" s="111"/>
      <c r="BO325" s="111"/>
      <c r="BP325" s="111"/>
      <c r="BQ325" s="111"/>
      <c r="BR325" s="111"/>
      <c r="BS325" s="111"/>
      <c r="BT325" s="111"/>
      <c r="BU325" s="111"/>
      <c r="BV325" s="111"/>
    </row>
    <row r="326" spans="1:74" s="50" customFormat="1" ht="15" hidden="1" customHeight="1">
      <c r="A326" s="109">
        <v>322</v>
      </c>
      <c r="B326" s="26" t="s">
        <v>654</v>
      </c>
      <c r="C326" s="27" t="s">
        <v>655</v>
      </c>
      <c r="D326" s="26" t="s">
        <v>21</v>
      </c>
      <c r="E326" s="109"/>
      <c r="F326" s="109"/>
      <c r="G326" s="110">
        <v>10</v>
      </c>
      <c r="H326" s="3">
        <f t="shared" si="15"/>
        <v>0</v>
      </c>
      <c r="I326" s="3">
        <f t="shared" si="16"/>
        <v>0</v>
      </c>
      <c r="J326" s="110">
        <f t="shared" si="17"/>
        <v>10</v>
      </c>
      <c r="K326" s="110"/>
      <c r="L326" s="110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  <c r="BB326" s="111"/>
      <c r="BC326" s="111"/>
      <c r="BD326" s="111"/>
      <c r="BE326" s="111"/>
      <c r="BF326" s="111"/>
      <c r="BG326" s="111"/>
      <c r="BH326" s="111"/>
      <c r="BI326" s="111"/>
      <c r="BJ326" s="111"/>
      <c r="BK326" s="111"/>
      <c r="BL326" s="111"/>
      <c r="BM326" s="111"/>
      <c r="BN326" s="111"/>
      <c r="BO326" s="111"/>
      <c r="BP326" s="111"/>
      <c r="BQ326" s="111"/>
      <c r="BR326" s="111"/>
      <c r="BS326" s="111"/>
      <c r="BT326" s="111"/>
      <c r="BU326" s="111"/>
      <c r="BV326" s="111"/>
    </row>
    <row r="327" spans="1:74" s="50" customFormat="1" ht="15.75" hidden="1" customHeight="1">
      <c r="A327" s="109">
        <v>323</v>
      </c>
      <c r="B327" s="26" t="s">
        <v>656</v>
      </c>
      <c r="C327" s="27" t="s">
        <v>657</v>
      </c>
      <c r="D327" s="26" t="s">
        <v>21</v>
      </c>
      <c r="E327" s="109"/>
      <c r="F327" s="109"/>
      <c r="G327" s="110">
        <v>18</v>
      </c>
      <c r="H327" s="3">
        <f t="shared" si="15"/>
        <v>0</v>
      </c>
      <c r="I327" s="3">
        <f t="shared" si="16"/>
        <v>0</v>
      </c>
      <c r="J327" s="110">
        <f t="shared" si="17"/>
        <v>18</v>
      </c>
      <c r="K327" s="110"/>
      <c r="L327" s="110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  <c r="BB327" s="111"/>
      <c r="BC327" s="111"/>
      <c r="BD327" s="111"/>
      <c r="BE327" s="111"/>
      <c r="BF327" s="111"/>
      <c r="BG327" s="111"/>
      <c r="BH327" s="111"/>
      <c r="BI327" s="111"/>
      <c r="BJ327" s="111"/>
      <c r="BK327" s="111"/>
      <c r="BL327" s="111"/>
      <c r="BM327" s="111"/>
      <c r="BN327" s="111"/>
      <c r="BO327" s="111"/>
      <c r="BP327" s="111"/>
      <c r="BQ327" s="111"/>
      <c r="BR327" s="111"/>
      <c r="BS327" s="111"/>
      <c r="BT327" s="111"/>
      <c r="BU327" s="111"/>
      <c r="BV327" s="111"/>
    </row>
    <row r="328" spans="1:74" s="50" customFormat="1" ht="15" hidden="1" customHeight="1">
      <c r="A328" s="142">
        <v>324</v>
      </c>
      <c r="B328" s="143" t="s">
        <v>3539</v>
      </c>
      <c r="C328" s="144" t="s">
        <v>3540</v>
      </c>
      <c r="D328" s="143" t="s">
        <v>21</v>
      </c>
      <c r="E328" s="109"/>
      <c r="F328" s="109"/>
      <c r="G328" s="110">
        <v>600</v>
      </c>
      <c r="H328" s="3">
        <f t="shared" si="15"/>
        <v>0</v>
      </c>
      <c r="I328" s="3">
        <f t="shared" si="16"/>
        <v>0</v>
      </c>
      <c r="J328" s="110">
        <f t="shared" si="17"/>
        <v>600</v>
      </c>
      <c r="K328" s="110"/>
      <c r="L328" s="110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/>
      <c r="BP328" s="111"/>
      <c r="BQ328" s="111"/>
      <c r="BR328" s="111"/>
      <c r="BS328" s="111"/>
      <c r="BT328" s="111"/>
      <c r="BU328" s="111"/>
      <c r="BV328" s="111"/>
    </row>
    <row r="329" spans="1:74" s="50" customFormat="1" ht="15" hidden="1" customHeight="1">
      <c r="A329" s="109">
        <v>325</v>
      </c>
      <c r="B329" s="26" t="s">
        <v>658</v>
      </c>
      <c r="C329" s="27" t="s">
        <v>659</v>
      </c>
      <c r="D329" s="26" t="s">
        <v>21</v>
      </c>
      <c r="E329" s="109"/>
      <c r="F329" s="109"/>
      <c r="G329" s="110">
        <v>1</v>
      </c>
      <c r="H329" s="3">
        <f t="shared" si="15"/>
        <v>0</v>
      </c>
      <c r="I329" s="3">
        <f t="shared" si="16"/>
        <v>0</v>
      </c>
      <c r="J329" s="110">
        <f t="shared" si="17"/>
        <v>1</v>
      </c>
      <c r="K329" s="110"/>
      <c r="L329" s="110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/>
      <c r="BP329" s="111"/>
      <c r="BQ329" s="111"/>
      <c r="BR329" s="111"/>
      <c r="BS329" s="111"/>
      <c r="BT329" s="111"/>
      <c r="BU329" s="111"/>
      <c r="BV329" s="111"/>
    </row>
    <row r="330" spans="1:74" s="50" customFormat="1" ht="15" hidden="1" customHeight="1">
      <c r="A330" s="109">
        <v>326</v>
      </c>
      <c r="B330" s="26" t="s">
        <v>660</v>
      </c>
      <c r="C330" s="27" t="s">
        <v>661</v>
      </c>
      <c r="D330" s="26" t="s">
        <v>21</v>
      </c>
      <c r="E330" s="109"/>
      <c r="F330" s="109"/>
      <c r="G330" s="110">
        <v>7</v>
      </c>
      <c r="H330" s="3">
        <f t="shared" si="15"/>
        <v>0</v>
      </c>
      <c r="I330" s="3">
        <f t="shared" si="16"/>
        <v>0</v>
      </c>
      <c r="J330" s="110">
        <f t="shared" si="17"/>
        <v>7</v>
      </c>
      <c r="K330" s="110"/>
      <c r="L330" s="110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  <c r="BB330" s="111"/>
      <c r="BC330" s="111"/>
      <c r="BD330" s="111"/>
      <c r="BE330" s="111"/>
      <c r="BF330" s="111"/>
      <c r="BG330" s="111"/>
      <c r="BH330" s="111"/>
      <c r="BI330" s="111"/>
      <c r="BJ330" s="111"/>
      <c r="BK330" s="111"/>
      <c r="BL330" s="111"/>
      <c r="BM330" s="111"/>
      <c r="BN330" s="111"/>
      <c r="BO330" s="111"/>
      <c r="BP330" s="111"/>
      <c r="BQ330" s="111"/>
      <c r="BR330" s="111"/>
      <c r="BS330" s="111"/>
      <c r="BT330" s="111"/>
      <c r="BU330" s="111"/>
      <c r="BV330" s="111"/>
    </row>
    <row r="331" spans="1:74" s="50" customFormat="1" ht="15" hidden="1" customHeight="1">
      <c r="A331" s="142">
        <v>327</v>
      </c>
      <c r="B331" s="143" t="s">
        <v>662</v>
      </c>
      <c r="C331" s="144" t="s">
        <v>663</v>
      </c>
      <c r="D331" s="143" t="s">
        <v>21</v>
      </c>
      <c r="E331" s="109"/>
      <c r="F331" s="109"/>
      <c r="G331" s="110">
        <v>69</v>
      </c>
      <c r="H331" s="3">
        <f t="shared" si="15"/>
        <v>0</v>
      </c>
      <c r="I331" s="3">
        <f t="shared" si="16"/>
        <v>0</v>
      </c>
      <c r="J331" s="110">
        <f t="shared" si="17"/>
        <v>69</v>
      </c>
      <c r="K331" s="110"/>
      <c r="L331" s="110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/>
      <c r="BP331" s="111"/>
      <c r="BQ331" s="111"/>
      <c r="BR331" s="111"/>
      <c r="BS331" s="111"/>
      <c r="BT331" s="111"/>
      <c r="BU331" s="111"/>
      <c r="BV331" s="111"/>
    </row>
    <row r="332" spans="1:74" s="50" customFormat="1" ht="15" customHeight="1">
      <c r="A332" s="142">
        <v>328</v>
      </c>
      <c r="B332" s="143" t="s">
        <v>664</v>
      </c>
      <c r="C332" s="144" t="s">
        <v>665</v>
      </c>
      <c r="D332" s="143" t="s">
        <v>21</v>
      </c>
      <c r="E332" s="109"/>
      <c r="F332" s="109"/>
      <c r="G332" s="110">
        <v>32</v>
      </c>
      <c r="H332" s="3">
        <f t="shared" si="15"/>
        <v>0</v>
      </c>
      <c r="I332" s="3">
        <f t="shared" si="16"/>
        <v>0</v>
      </c>
      <c r="J332" s="110">
        <f t="shared" si="17"/>
        <v>32</v>
      </c>
      <c r="K332" s="110"/>
      <c r="L332" s="110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  <c r="BB332" s="111"/>
      <c r="BC332" s="111"/>
      <c r="BD332" s="111"/>
      <c r="BE332" s="111"/>
      <c r="BF332" s="111"/>
      <c r="BG332" s="111"/>
      <c r="BH332" s="111"/>
      <c r="BI332" s="111"/>
      <c r="BJ332" s="111"/>
      <c r="BK332" s="111"/>
      <c r="BL332" s="111"/>
      <c r="BM332" s="111"/>
      <c r="BN332" s="111"/>
      <c r="BO332" s="111"/>
      <c r="BP332" s="111"/>
      <c r="BQ332" s="111"/>
      <c r="BR332" s="111"/>
      <c r="BS332" s="111"/>
      <c r="BT332" s="111"/>
      <c r="BU332" s="111"/>
      <c r="BV332" s="111"/>
    </row>
    <row r="333" spans="1:74" s="50" customFormat="1" ht="15" hidden="1" customHeight="1">
      <c r="A333" s="142">
        <v>329</v>
      </c>
      <c r="B333" s="143" t="s">
        <v>666</v>
      </c>
      <c r="C333" s="144" t="s">
        <v>667</v>
      </c>
      <c r="D333" s="143" t="s">
        <v>21</v>
      </c>
      <c r="E333" s="109"/>
      <c r="F333" s="109"/>
      <c r="G333" s="110">
        <v>115</v>
      </c>
      <c r="H333" s="3">
        <f t="shared" si="15"/>
        <v>0</v>
      </c>
      <c r="I333" s="3">
        <f t="shared" si="16"/>
        <v>0</v>
      </c>
      <c r="J333" s="110">
        <f t="shared" si="17"/>
        <v>115</v>
      </c>
      <c r="K333" s="110"/>
      <c r="L333" s="110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  <c r="BB333" s="111"/>
      <c r="BC333" s="111"/>
      <c r="BD333" s="111"/>
      <c r="BE333" s="111"/>
      <c r="BF333" s="111"/>
      <c r="BG333" s="111"/>
      <c r="BH333" s="111"/>
      <c r="BI333" s="111"/>
      <c r="BJ333" s="111"/>
      <c r="BK333" s="111"/>
      <c r="BL333" s="111"/>
      <c r="BM333" s="111"/>
      <c r="BN333" s="111"/>
      <c r="BO333" s="111"/>
      <c r="BP333" s="111"/>
      <c r="BQ333" s="111"/>
      <c r="BR333" s="111"/>
      <c r="BS333" s="111"/>
      <c r="BT333" s="111"/>
      <c r="BU333" s="111"/>
      <c r="BV333" s="111"/>
    </row>
    <row r="334" spans="1:74" s="50" customFormat="1" ht="15" hidden="1" customHeight="1">
      <c r="A334" s="111">
        <v>330</v>
      </c>
      <c r="B334" s="3" t="s">
        <v>668</v>
      </c>
      <c r="C334" s="17" t="s">
        <v>669</v>
      </c>
      <c r="D334" s="3" t="s">
        <v>21</v>
      </c>
      <c r="E334" s="111"/>
      <c r="F334" s="111"/>
      <c r="G334" s="110">
        <v>2</v>
      </c>
      <c r="H334" s="3">
        <f t="shared" si="15"/>
        <v>0</v>
      </c>
      <c r="I334" s="3">
        <f t="shared" si="16"/>
        <v>0</v>
      </c>
      <c r="J334" s="110">
        <f t="shared" si="17"/>
        <v>2</v>
      </c>
      <c r="K334" s="110"/>
      <c r="L334" s="110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  <c r="BB334" s="111"/>
      <c r="BC334" s="111"/>
      <c r="BD334" s="111"/>
      <c r="BE334" s="111"/>
      <c r="BF334" s="111"/>
      <c r="BG334" s="111"/>
      <c r="BH334" s="111"/>
      <c r="BI334" s="111"/>
      <c r="BJ334" s="111"/>
      <c r="BK334" s="111"/>
      <c r="BL334" s="111"/>
      <c r="BM334" s="111"/>
      <c r="BN334" s="111"/>
      <c r="BO334" s="111"/>
      <c r="BP334" s="111"/>
      <c r="BQ334" s="111"/>
      <c r="BR334" s="111"/>
      <c r="BS334" s="111"/>
      <c r="BT334" s="111"/>
      <c r="BU334" s="111"/>
      <c r="BV334" s="111"/>
    </row>
    <row r="335" spans="1:74" s="50" customFormat="1" ht="30" hidden="1" customHeight="1">
      <c r="A335" s="142">
        <v>331</v>
      </c>
      <c r="B335" s="143" t="s">
        <v>670</v>
      </c>
      <c r="C335" s="434" t="s">
        <v>671</v>
      </c>
      <c r="D335" s="143" t="s">
        <v>21</v>
      </c>
      <c r="E335" s="111"/>
      <c r="F335" s="111"/>
      <c r="G335" s="110">
        <v>708</v>
      </c>
      <c r="H335" s="3">
        <f t="shared" si="15"/>
        <v>0</v>
      </c>
      <c r="I335" s="3">
        <f t="shared" si="16"/>
        <v>60</v>
      </c>
      <c r="J335" s="110">
        <f t="shared" si="17"/>
        <v>648</v>
      </c>
      <c r="K335" s="110"/>
      <c r="L335" s="110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>
        <v>60</v>
      </c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  <c r="BB335" s="111"/>
      <c r="BC335" s="111"/>
      <c r="BD335" s="111"/>
      <c r="BE335" s="111"/>
      <c r="BF335" s="111"/>
      <c r="BG335" s="111"/>
      <c r="BH335" s="111"/>
      <c r="BI335" s="111"/>
      <c r="BJ335" s="111"/>
      <c r="BK335" s="111"/>
      <c r="BL335" s="111"/>
      <c r="BM335" s="111"/>
      <c r="BN335" s="111"/>
      <c r="BO335" s="111"/>
      <c r="BP335" s="111"/>
      <c r="BQ335" s="111"/>
      <c r="BR335" s="111"/>
      <c r="BS335" s="111"/>
      <c r="BT335" s="111"/>
      <c r="BU335" s="111"/>
      <c r="BV335" s="111"/>
    </row>
    <row r="336" spans="1:74" s="50" customFormat="1" ht="15" hidden="1" customHeight="1">
      <c r="A336" s="109">
        <v>332</v>
      </c>
      <c r="B336" s="26" t="s">
        <v>672</v>
      </c>
      <c r="C336" s="27" t="s">
        <v>673</v>
      </c>
      <c r="D336" s="26" t="s">
        <v>21</v>
      </c>
      <c r="E336" s="109"/>
      <c r="F336" s="109"/>
      <c r="G336" s="110">
        <v>435</v>
      </c>
      <c r="H336" s="3">
        <f t="shared" si="15"/>
        <v>0</v>
      </c>
      <c r="I336" s="3">
        <f t="shared" si="16"/>
        <v>0</v>
      </c>
      <c r="J336" s="110">
        <f t="shared" si="17"/>
        <v>435</v>
      </c>
      <c r="K336" s="110"/>
      <c r="L336" s="110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  <c r="BB336" s="111"/>
      <c r="BC336" s="111"/>
      <c r="BD336" s="111"/>
      <c r="BE336" s="111"/>
      <c r="BF336" s="111"/>
      <c r="BG336" s="111"/>
      <c r="BH336" s="111"/>
      <c r="BI336" s="111"/>
      <c r="BJ336" s="111"/>
      <c r="BK336" s="111"/>
      <c r="BL336" s="111"/>
      <c r="BM336" s="111"/>
      <c r="BN336" s="111"/>
      <c r="BO336" s="111"/>
      <c r="BP336" s="111"/>
      <c r="BQ336" s="111"/>
      <c r="BR336" s="111"/>
      <c r="BS336" s="111"/>
      <c r="BT336" s="111"/>
      <c r="BU336" s="111"/>
      <c r="BV336" s="111"/>
    </row>
    <row r="337" spans="1:74" s="50" customFormat="1" ht="15" hidden="1" customHeight="1">
      <c r="A337" s="142">
        <v>333</v>
      </c>
      <c r="B337" s="143" t="s">
        <v>674</v>
      </c>
      <c r="C337" s="144" t="s">
        <v>675</v>
      </c>
      <c r="D337" s="143" t="s">
        <v>21</v>
      </c>
      <c r="E337" s="109"/>
      <c r="F337" s="109"/>
      <c r="G337" s="110">
        <v>397</v>
      </c>
      <c r="H337" s="3">
        <f t="shared" si="15"/>
        <v>0</v>
      </c>
      <c r="I337" s="3">
        <f t="shared" si="16"/>
        <v>60</v>
      </c>
      <c r="J337" s="110">
        <f t="shared" si="17"/>
        <v>337</v>
      </c>
      <c r="K337" s="110"/>
      <c r="L337" s="110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>
        <v>60</v>
      </c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  <c r="BB337" s="111"/>
      <c r="BC337" s="111"/>
      <c r="BD337" s="111"/>
      <c r="BE337" s="111"/>
      <c r="BF337" s="111"/>
      <c r="BG337" s="111"/>
      <c r="BH337" s="111"/>
      <c r="BI337" s="111"/>
      <c r="BJ337" s="111"/>
      <c r="BK337" s="111"/>
      <c r="BL337" s="111"/>
      <c r="BM337" s="111"/>
      <c r="BN337" s="111"/>
      <c r="BO337" s="111"/>
      <c r="BP337" s="111"/>
      <c r="BQ337" s="111"/>
      <c r="BR337" s="111"/>
      <c r="BS337" s="111"/>
      <c r="BT337" s="111"/>
      <c r="BU337" s="111"/>
      <c r="BV337" s="111"/>
    </row>
    <row r="338" spans="1:74" s="50" customFormat="1" ht="15" hidden="1" customHeight="1">
      <c r="A338" s="142">
        <v>334</v>
      </c>
      <c r="B338" s="143" t="s">
        <v>676</v>
      </c>
      <c r="C338" s="144" t="s">
        <v>677</v>
      </c>
      <c r="D338" s="143" t="s">
        <v>21</v>
      </c>
      <c r="E338" s="109"/>
      <c r="F338" s="109"/>
      <c r="G338" s="110">
        <v>398</v>
      </c>
      <c r="H338" s="3">
        <f t="shared" si="15"/>
        <v>0</v>
      </c>
      <c r="I338" s="3">
        <f t="shared" si="16"/>
        <v>60</v>
      </c>
      <c r="J338" s="110">
        <f t="shared" si="17"/>
        <v>338</v>
      </c>
      <c r="K338" s="110"/>
      <c r="L338" s="110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>
        <v>60</v>
      </c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  <c r="BB338" s="111"/>
      <c r="BC338" s="111"/>
      <c r="BD338" s="111"/>
      <c r="BE338" s="111"/>
      <c r="BF338" s="111"/>
      <c r="BG338" s="111"/>
      <c r="BH338" s="111"/>
      <c r="BI338" s="111"/>
      <c r="BJ338" s="111"/>
      <c r="BK338" s="111"/>
      <c r="BL338" s="111"/>
      <c r="BM338" s="111"/>
      <c r="BN338" s="111"/>
      <c r="BO338" s="111"/>
      <c r="BP338" s="111"/>
      <c r="BQ338" s="111"/>
      <c r="BR338" s="111"/>
      <c r="BS338" s="111"/>
      <c r="BT338" s="111"/>
      <c r="BU338" s="111"/>
      <c r="BV338" s="111"/>
    </row>
    <row r="339" spans="1:74" s="50" customFormat="1" ht="15" hidden="1" customHeight="1">
      <c r="A339" s="142">
        <v>335</v>
      </c>
      <c r="B339" s="143" t="s">
        <v>678</v>
      </c>
      <c r="C339" s="144" t="s">
        <v>679</v>
      </c>
      <c r="D339" s="143" t="s">
        <v>21</v>
      </c>
      <c r="E339" s="109"/>
      <c r="F339" s="109"/>
      <c r="G339" s="110">
        <v>317</v>
      </c>
      <c r="H339" s="3">
        <f t="shared" si="15"/>
        <v>0</v>
      </c>
      <c r="I339" s="3">
        <f t="shared" si="16"/>
        <v>100</v>
      </c>
      <c r="J339" s="110">
        <f t="shared" si="17"/>
        <v>217</v>
      </c>
      <c r="K339" s="110"/>
      <c r="L339" s="110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>
        <v>50</v>
      </c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>
        <v>50</v>
      </c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  <c r="BB339" s="111"/>
      <c r="BC339" s="111"/>
      <c r="BD339" s="111"/>
      <c r="BE339" s="111"/>
      <c r="BF339" s="111"/>
      <c r="BG339" s="111"/>
      <c r="BH339" s="111"/>
      <c r="BI339" s="111"/>
      <c r="BJ339" s="111"/>
      <c r="BK339" s="111"/>
      <c r="BL339" s="111"/>
      <c r="BM339" s="111"/>
      <c r="BN339" s="111"/>
      <c r="BO339" s="111"/>
      <c r="BP339" s="111"/>
      <c r="BQ339" s="111"/>
      <c r="BR339" s="111"/>
      <c r="BS339" s="111"/>
      <c r="BT339" s="111"/>
      <c r="BU339" s="111"/>
      <c r="BV339" s="111"/>
    </row>
    <row r="340" spans="1:74" s="50" customFormat="1" ht="15" hidden="1" customHeight="1">
      <c r="A340" s="142">
        <v>336</v>
      </c>
      <c r="B340" s="143" t="s">
        <v>680</v>
      </c>
      <c r="C340" s="144" t="s">
        <v>681</v>
      </c>
      <c r="D340" s="143" t="s">
        <v>21</v>
      </c>
      <c r="E340" s="109"/>
      <c r="F340" s="109"/>
      <c r="G340" s="110">
        <v>317</v>
      </c>
      <c r="H340" s="3">
        <f t="shared" si="15"/>
        <v>0</v>
      </c>
      <c r="I340" s="3">
        <f t="shared" si="16"/>
        <v>100</v>
      </c>
      <c r="J340" s="110">
        <f t="shared" si="17"/>
        <v>217</v>
      </c>
      <c r="K340" s="110"/>
      <c r="L340" s="110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>
        <v>50</v>
      </c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>
        <v>50</v>
      </c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  <c r="BB340" s="111"/>
      <c r="BC340" s="111"/>
      <c r="BD340" s="111"/>
      <c r="BE340" s="111"/>
      <c r="BF340" s="111"/>
      <c r="BG340" s="111"/>
      <c r="BH340" s="111"/>
      <c r="BI340" s="111"/>
      <c r="BJ340" s="111"/>
      <c r="BK340" s="111"/>
      <c r="BL340" s="111"/>
      <c r="BM340" s="111"/>
      <c r="BN340" s="111"/>
      <c r="BO340" s="111"/>
      <c r="BP340" s="111"/>
      <c r="BQ340" s="111"/>
      <c r="BR340" s="111"/>
      <c r="BS340" s="111"/>
      <c r="BT340" s="111"/>
      <c r="BU340" s="111"/>
      <c r="BV340" s="111"/>
    </row>
    <row r="341" spans="1:74" s="92" customFormat="1" ht="30" hidden="1" customHeight="1">
      <c r="A341" s="142">
        <v>337</v>
      </c>
      <c r="B341" s="143" t="s">
        <v>682</v>
      </c>
      <c r="C341" s="144" t="s">
        <v>683</v>
      </c>
      <c r="D341" s="143" t="s">
        <v>21</v>
      </c>
      <c r="E341" s="109"/>
      <c r="F341" s="109"/>
      <c r="G341" s="108">
        <v>128</v>
      </c>
      <c r="H341" s="26">
        <f t="shared" si="15"/>
        <v>0</v>
      </c>
      <c r="I341" s="26">
        <f t="shared" si="16"/>
        <v>0</v>
      </c>
      <c r="J341" s="108">
        <f t="shared" si="17"/>
        <v>128</v>
      </c>
      <c r="K341" s="108"/>
      <c r="L341" s="108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09"/>
      <c r="AK341" s="109"/>
      <c r="AL341" s="109"/>
      <c r="AM341" s="109"/>
      <c r="AN341" s="109"/>
      <c r="AO341" s="109"/>
      <c r="AP341" s="109"/>
      <c r="AQ341" s="109"/>
      <c r="AR341" s="109"/>
      <c r="AS341" s="109"/>
      <c r="AT341" s="109"/>
      <c r="AU341" s="109"/>
      <c r="AV341" s="109"/>
      <c r="AW341" s="109"/>
      <c r="AX341" s="109"/>
      <c r="AY341" s="109"/>
      <c r="AZ341" s="109"/>
      <c r="BA341" s="109"/>
      <c r="BB341" s="109"/>
      <c r="BC341" s="109"/>
      <c r="BD341" s="109"/>
      <c r="BE341" s="109"/>
      <c r="BF341" s="109"/>
      <c r="BG341" s="109"/>
      <c r="BH341" s="109"/>
      <c r="BI341" s="109"/>
      <c r="BJ341" s="109"/>
      <c r="BK341" s="109"/>
      <c r="BL341" s="109"/>
      <c r="BM341" s="109"/>
      <c r="BN341" s="109"/>
      <c r="BO341" s="109"/>
      <c r="BP341" s="109"/>
      <c r="BQ341" s="109"/>
      <c r="BR341" s="109"/>
      <c r="BS341" s="109"/>
      <c r="BT341" s="109"/>
      <c r="BU341" s="109"/>
      <c r="BV341" s="109"/>
    </row>
    <row r="342" spans="1:74" s="50" customFormat="1" ht="30" hidden="1" customHeight="1">
      <c r="A342" s="109">
        <v>338</v>
      </c>
      <c r="B342" s="26" t="s">
        <v>684</v>
      </c>
      <c r="C342" s="27" t="s">
        <v>685</v>
      </c>
      <c r="D342" s="26" t="s">
        <v>21</v>
      </c>
      <c r="E342" s="109"/>
      <c r="F342" s="109"/>
      <c r="G342" s="110">
        <v>26</v>
      </c>
      <c r="H342" s="3">
        <f t="shared" si="15"/>
        <v>0</v>
      </c>
      <c r="I342" s="3">
        <f t="shared" si="16"/>
        <v>0</v>
      </c>
      <c r="J342" s="110">
        <f t="shared" si="17"/>
        <v>26</v>
      </c>
      <c r="K342" s="110"/>
      <c r="L342" s="110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  <c r="BB342" s="111"/>
      <c r="BC342" s="111"/>
      <c r="BD342" s="111"/>
      <c r="BE342" s="111"/>
      <c r="BF342" s="111"/>
      <c r="BG342" s="111"/>
      <c r="BH342" s="111"/>
      <c r="BI342" s="111"/>
      <c r="BJ342" s="111"/>
      <c r="BK342" s="111"/>
      <c r="BL342" s="111"/>
      <c r="BM342" s="111"/>
      <c r="BN342" s="111"/>
      <c r="BO342" s="111"/>
      <c r="BP342" s="111"/>
      <c r="BQ342" s="111"/>
      <c r="BR342" s="111"/>
      <c r="BS342" s="111"/>
      <c r="BT342" s="111"/>
      <c r="BU342" s="111"/>
      <c r="BV342" s="111"/>
    </row>
    <row r="343" spans="1:74" s="50" customFormat="1" ht="30" hidden="1" customHeight="1">
      <c r="A343" s="109">
        <v>339</v>
      </c>
      <c r="B343" s="112" t="s">
        <v>686</v>
      </c>
      <c r="C343" s="138" t="s">
        <v>687</v>
      </c>
      <c r="D343" s="26" t="s">
        <v>21</v>
      </c>
      <c r="E343" s="109"/>
      <c r="F343" s="109"/>
      <c r="G343" s="110">
        <v>0</v>
      </c>
      <c r="H343" s="3">
        <f t="shared" si="15"/>
        <v>0</v>
      </c>
      <c r="I343" s="3">
        <f t="shared" si="16"/>
        <v>0</v>
      </c>
      <c r="J343" s="110">
        <f t="shared" si="17"/>
        <v>0</v>
      </c>
      <c r="K343" s="110"/>
      <c r="L343" s="110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  <c r="BB343" s="111"/>
      <c r="BC343" s="111"/>
      <c r="BD343" s="111"/>
      <c r="BE343" s="111"/>
      <c r="BF343" s="111"/>
      <c r="BG343" s="111"/>
      <c r="BH343" s="111"/>
      <c r="BI343" s="111"/>
      <c r="BJ343" s="111"/>
      <c r="BK343" s="111"/>
      <c r="BL343" s="111"/>
      <c r="BM343" s="111"/>
      <c r="BN343" s="111"/>
      <c r="BO343" s="111"/>
      <c r="BP343" s="111"/>
      <c r="BQ343" s="111"/>
      <c r="BR343" s="111"/>
      <c r="BS343" s="111"/>
      <c r="BT343" s="111"/>
      <c r="BU343" s="111"/>
      <c r="BV343" s="111"/>
    </row>
    <row r="344" spans="1:74" s="50" customFormat="1" ht="15" hidden="1" customHeight="1">
      <c r="A344" s="109">
        <v>340</v>
      </c>
      <c r="B344" s="26" t="s">
        <v>688</v>
      </c>
      <c r="C344" s="27" t="s">
        <v>689</v>
      </c>
      <c r="D344" s="26" t="s">
        <v>21</v>
      </c>
      <c r="E344" s="109"/>
      <c r="F344" s="109"/>
      <c r="G344" s="110">
        <v>0</v>
      </c>
      <c r="H344" s="3">
        <f t="shared" si="15"/>
        <v>0</v>
      </c>
      <c r="I344" s="3">
        <f t="shared" si="16"/>
        <v>0</v>
      </c>
      <c r="J344" s="110">
        <f t="shared" si="17"/>
        <v>0</v>
      </c>
      <c r="K344" s="110"/>
      <c r="L344" s="110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  <c r="BB344" s="111"/>
      <c r="BC344" s="111"/>
      <c r="BD344" s="111"/>
      <c r="BE344" s="111"/>
      <c r="BF344" s="111"/>
      <c r="BG344" s="111"/>
      <c r="BH344" s="111"/>
      <c r="BI344" s="111"/>
      <c r="BJ344" s="111"/>
      <c r="BK344" s="111"/>
      <c r="BL344" s="111"/>
      <c r="BM344" s="111"/>
      <c r="BN344" s="111"/>
      <c r="BO344" s="111"/>
      <c r="BP344" s="111"/>
      <c r="BQ344" s="111"/>
      <c r="BR344" s="111"/>
      <c r="BS344" s="111"/>
      <c r="BT344" s="111"/>
      <c r="BU344" s="111"/>
      <c r="BV344" s="111"/>
    </row>
    <row r="345" spans="1:74" s="50" customFormat="1" ht="15" hidden="1" customHeight="1">
      <c r="A345" s="109">
        <v>341</v>
      </c>
      <c r="B345" s="26" t="s">
        <v>690</v>
      </c>
      <c r="C345" s="27" t="s">
        <v>691</v>
      </c>
      <c r="D345" s="26" t="s">
        <v>21</v>
      </c>
      <c r="E345" s="109"/>
      <c r="F345" s="109"/>
      <c r="G345" s="110">
        <v>270</v>
      </c>
      <c r="H345" s="3">
        <f t="shared" si="15"/>
        <v>0</v>
      </c>
      <c r="I345" s="3">
        <f t="shared" si="16"/>
        <v>0</v>
      </c>
      <c r="J345" s="110">
        <f t="shared" si="17"/>
        <v>270</v>
      </c>
      <c r="K345" s="110"/>
      <c r="L345" s="110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  <c r="BB345" s="111"/>
      <c r="BC345" s="111"/>
      <c r="BD345" s="111"/>
      <c r="BE345" s="111"/>
      <c r="BF345" s="111"/>
      <c r="BG345" s="111"/>
      <c r="BH345" s="111"/>
      <c r="BI345" s="111"/>
      <c r="BJ345" s="111"/>
      <c r="BK345" s="111"/>
      <c r="BL345" s="111"/>
      <c r="BM345" s="111"/>
      <c r="BN345" s="111"/>
      <c r="BO345" s="111"/>
      <c r="BP345" s="111"/>
      <c r="BQ345" s="111"/>
      <c r="BR345" s="111"/>
      <c r="BS345" s="111"/>
      <c r="BT345" s="111"/>
      <c r="BU345" s="111"/>
      <c r="BV345" s="111"/>
    </row>
    <row r="346" spans="1:74" s="50" customFormat="1" ht="15" hidden="1" customHeight="1">
      <c r="A346" s="109">
        <v>342</v>
      </c>
      <c r="B346" s="26" t="s">
        <v>692</v>
      </c>
      <c r="C346" s="27" t="s">
        <v>693</v>
      </c>
      <c r="D346" s="26" t="s">
        <v>21</v>
      </c>
      <c r="E346" s="109"/>
      <c r="F346" s="109"/>
      <c r="G346" s="110">
        <v>272</v>
      </c>
      <c r="H346" s="3">
        <f t="shared" si="15"/>
        <v>0</v>
      </c>
      <c r="I346" s="3">
        <f t="shared" si="16"/>
        <v>0</v>
      </c>
      <c r="J346" s="110">
        <f t="shared" si="17"/>
        <v>272</v>
      </c>
      <c r="K346" s="110"/>
      <c r="L346" s="110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  <c r="BB346" s="111"/>
      <c r="BC346" s="111"/>
      <c r="BD346" s="111"/>
      <c r="BE346" s="111"/>
      <c r="BF346" s="111"/>
      <c r="BG346" s="111"/>
      <c r="BH346" s="111"/>
      <c r="BI346" s="111"/>
      <c r="BJ346" s="111"/>
      <c r="BK346" s="111"/>
      <c r="BL346" s="111"/>
      <c r="BM346" s="111"/>
      <c r="BN346" s="111"/>
      <c r="BO346" s="111"/>
      <c r="BP346" s="111"/>
      <c r="BQ346" s="111"/>
      <c r="BR346" s="111"/>
      <c r="BS346" s="111"/>
      <c r="BT346" s="111"/>
      <c r="BU346" s="111"/>
      <c r="BV346" s="111"/>
    </row>
    <row r="347" spans="1:74" s="50" customFormat="1" ht="15" hidden="1" customHeight="1">
      <c r="A347" s="142">
        <v>343</v>
      </c>
      <c r="B347" s="143" t="s">
        <v>694</v>
      </c>
      <c r="C347" s="144" t="s">
        <v>695</v>
      </c>
      <c r="D347" s="143" t="s">
        <v>21</v>
      </c>
      <c r="E347" s="109"/>
      <c r="F347" s="109"/>
      <c r="G347" s="110">
        <v>596</v>
      </c>
      <c r="H347" s="3">
        <f t="shared" si="15"/>
        <v>0</v>
      </c>
      <c r="I347" s="3">
        <f t="shared" si="16"/>
        <v>256</v>
      </c>
      <c r="J347" s="110">
        <f t="shared" si="17"/>
        <v>340</v>
      </c>
      <c r="K347" s="110"/>
      <c r="L347" s="110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>
        <v>50</v>
      </c>
      <c r="AA347" s="111"/>
      <c r="AB347" s="111">
        <f>18+30</f>
        <v>48</v>
      </c>
      <c r="AC347" s="111"/>
      <c r="AD347" s="111">
        <f>32+18</f>
        <v>50</v>
      </c>
      <c r="AE347" s="111"/>
      <c r="AF347" s="111">
        <f>40+12</f>
        <v>52</v>
      </c>
      <c r="AG347" s="111"/>
      <c r="AH347" s="111">
        <v>6</v>
      </c>
      <c r="AI347" s="111"/>
      <c r="AJ347" s="111"/>
      <c r="AK347" s="111"/>
      <c r="AL347" s="111">
        <v>50</v>
      </c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  <c r="BB347" s="111"/>
      <c r="BC347" s="111"/>
      <c r="BD347" s="111"/>
      <c r="BE347" s="111"/>
      <c r="BF347" s="111"/>
      <c r="BG347" s="111"/>
      <c r="BH347" s="111"/>
      <c r="BI347" s="111"/>
      <c r="BJ347" s="111"/>
      <c r="BK347" s="111"/>
      <c r="BL347" s="111"/>
      <c r="BM347" s="111"/>
      <c r="BN347" s="111"/>
      <c r="BO347" s="111"/>
      <c r="BP347" s="111"/>
      <c r="BQ347" s="111"/>
      <c r="BR347" s="111"/>
      <c r="BS347" s="111"/>
      <c r="BT347" s="111"/>
      <c r="BU347" s="111"/>
      <c r="BV347" s="111"/>
    </row>
    <row r="348" spans="1:74" s="50" customFormat="1" ht="15" hidden="1" customHeight="1">
      <c r="A348" s="142">
        <v>344</v>
      </c>
      <c r="B348" s="143" t="s">
        <v>696</v>
      </c>
      <c r="C348" s="144" t="s">
        <v>697</v>
      </c>
      <c r="D348" s="143" t="s">
        <v>21</v>
      </c>
      <c r="E348" s="109"/>
      <c r="F348" s="109"/>
      <c r="G348" s="110">
        <v>527</v>
      </c>
      <c r="H348" s="3">
        <f t="shared" si="15"/>
        <v>0</v>
      </c>
      <c r="I348" s="3">
        <f t="shared" si="16"/>
        <v>256</v>
      </c>
      <c r="J348" s="110">
        <f t="shared" si="17"/>
        <v>271</v>
      </c>
      <c r="K348" s="110"/>
      <c r="L348" s="110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>
        <v>50</v>
      </c>
      <c r="AA348" s="111"/>
      <c r="AB348" s="111">
        <f>18+30</f>
        <v>48</v>
      </c>
      <c r="AC348" s="111"/>
      <c r="AD348" s="111">
        <f>32+18</f>
        <v>50</v>
      </c>
      <c r="AE348" s="111"/>
      <c r="AF348" s="111">
        <f>40+12</f>
        <v>52</v>
      </c>
      <c r="AG348" s="111"/>
      <c r="AH348" s="111">
        <v>6</v>
      </c>
      <c r="AI348" s="111"/>
      <c r="AJ348" s="111"/>
      <c r="AK348" s="111"/>
      <c r="AL348" s="111">
        <v>50</v>
      </c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  <c r="BB348" s="111"/>
      <c r="BC348" s="111"/>
      <c r="BD348" s="111"/>
      <c r="BE348" s="111"/>
      <c r="BF348" s="111"/>
      <c r="BG348" s="111"/>
      <c r="BH348" s="111"/>
      <c r="BI348" s="111"/>
      <c r="BJ348" s="111"/>
      <c r="BK348" s="111"/>
      <c r="BL348" s="111"/>
      <c r="BM348" s="111"/>
      <c r="BN348" s="111"/>
      <c r="BO348" s="111"/>
      <c r="BP348" s="111"/>
      <c r="BQ348" s="111"/>
      <c r="BR348" s="111"/>
      <c r="BS348" s="111"/>
      <c r="BT348" s="111"/>
      <c r="BU348" s="111"/>
      <c r="BV348" s="111"/>
    </row>
    <row r="349" spans="1:74" s="50" customFormat="1" ht="15" hidden="1" customHeight="1">
      <c r="A349" s="109">
        <v>345</v>
      </c>
      <c r="B349" s="26" t="s">
        <v>698</v>
      </c>
      <c r="C349" s="27" t="s">
        <v>699</v>
      </c>
      <c r="D349" s="26" t="s">
        <v>21</v>
      </c>
      <c r="E349" s="109"/>
      <c r="F349" s="109"/>
      <c r="G349" s="110">
        <v>307</v>
      </c>
      <c r="H349" s="3">
        <f t="shared" si="15"/>
        <v>0</v>
      </c>
      <c r="I349" s="3">
        <f t="shared" si="16"/>
        <v>0</v>
      </c>
      <c r="J349" s="110">
        <f t="shared" si="17"/>
        <v>307</v>
      </c>
      <c r="K349" s="110"/>
      <c r="L349" s="110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  <c r="BB349" s="111"/>
      <c r="BC349" s="111"/>
      <c r="BD349" s="111"/>
      <c r="BE349" s="111"/>
      <c r="BF349" s="111"/>
      <c r="BG349" s="111"/>
      <c r="BH349" s="111"/>
      <c r="BI349" s="111"/>
      <c r="BJ349" s="111"/>
      <c r="BK349" s="111"/>
      <c r="BL349" s="111"/>
      <c r="BM349" s="111"/>
      <c r="BN349" s="111"/>
      <c r="BO349" s="111"/>
      <c r="BP349" s="111"/>
      <c r="BQ349" s="111"/>
      <c r="BR349" s="111"/>
      <c r="BS349" s="111"/>
      <c r="BT349" s="111"/>
      <c r="BU349" s="111"/>
      <c r="BV349" s="111"/>
    </row>
    <row r="350" spans="1:74" s="50" customFormat="1" ht="30.75" hidden="1" customHeight="1">
      <c r="A350" s="109">
        <v>346</v>
      </c>
      <c r="B350" s="112" t="s">
        <v>700</v>
      </c>
      <c r="C350" s="138" t="s">
        <v>701</v>
      </c>
      <c r="D350" s="26" t="s">
        <v>21</v>
      </c>
      <c r="E350" s="109"/>
      <c r="F350" s="109"/>
      <c r="G350" s="110">
        <v>259</v>
      </c>
      <c r="H350" s="3">
        <f t="shared" si="15"/>
        <v>0</v>
      </c>
      <c r="I350" s="3">
        <f t="shared" si="16"/>
        <v>0</v>
      </c>
      <c r="J350" s="110">
        <f t="shared" si="17"/>
        <v>259</v>
      </c>
      <c r="K350" s="110"/>
      <c r="L350" s="110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  <c r="BB350" s="111"/>
      <c r="BC350" s="111"/>
      <c r="BD350" s="111"/>
      <c r="BE350" s="111"/>
      <c r="BF350" s="111"/>
      <c r="BG350" s="111"/>
      <c r="BH350" s="111"/>
      <c r="BI350" s="111"/>
      <c r="BJ350" s="111"/>
      <c r="BK350" s="111"/>
      <c r="BL350" s="111"/>
      <c r="BM350" s="111"/>
      <c r="BN350" s="111"/>
      <c r="BO350" s="111"/>
      <c r="BP350" s="111"/>
      <c r="BQ350" s="111"/>
      <c r="BR350" s="111"/>
      <c r="BS350" s="111"/>
      <c r="BT350" s="111"/>
      <c r="BU350" s="111"/>
      <c r="BV350" s="111"/>
    </row>
    <row r="351" spans="1:74" s="50" customFormat="1" ht="30" hidden="1" customHeight="1">
      <c r="A351" s="109">
        <v>347</v>
      </c>
      <c r="B351" s="26" t="s">
        <v>702</v>
      </c>
      <c r="C351" s="341" t="s">
        <v>703</v>
      </c>
      <c r="D351" s="26" t="s">
        <v>21</v>
      </c>
      <c r="E351" s="109"/>
      <c r="F351" s="109"/>
      <c r="G351" s="110">
        <v>4</v>
      </c>
      <c r="H351" s="3">
        <f t="shared" si="15"/>
        <v>0</v>
      </c>
      <c r="I351" s="3">
        <f t="shared" si="16"/>
        <v>0</v>
      </c>
      <c r="J351" s="110">
        <f t="shared" si="17"/>
        <v>4</v>
      </c>
      <c r="K351" s="110"/>
      <c r="L351" s="110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  <c r="BB351" s="111"/>
      <c r="BC351" s="111"/>
      <c r="BD351" s="111"/>
      <c r="BE351" s="111"/>
      <c r="BF351" s="111"/>
      <c r="BG351" s="111"/>
      <c r="BH351" s="111"/>
      <c r="BI351" s="111"/>
      <c r="BJ351" s="111"/>
      <c r="BK351" s="111"/>
      <c r="BL351" s="111"/>
      <c r="BM351" s="111"/>
      <c r="BN351" s="111"/>
      <c r="BO351" s="111"/>
      <c r="BP351" s="111"/>
      <c r="BQ351" s="111"/>
      <c r="BR351" s="111"/>
      <c r="BS351" s="111"/>
      <c r="BT351" s="111"/>
      <c r="BU351" s="111"/>
      <c r="BV351" s="111"/>
    </row>
    <row r="352" spans="1:74" s="50" customFormat="1" ht="30.75" hidden="1" customHeight="1">
      <c r="A352" s="109">
        <v>348</v>
      </c>
      <c r="B352" s="26" t="s">
        <v>704</v>
      </c>
      <c r="C352" s="27" t="s">
        <v>705</v>
      </c>
      <c r="D352" s="26" t="s">
        <v>21</v>
      </c>
      <c r="E352" s="109"/>
      <c r="F352" s="109"/>
      <c r="G352" s="110">
        <v>28</v>
      </c>
      <c r="H352" s="3">
        <f t="shared" si="15"/>
        <v>0</v>
      </c>
      <c r="I352" s="3">
        <f t="shared" si="16"/>
        <v>0</v>
      </c>
      <c r="J352" s="110">
        <f t="shared" si="17"/>
        <v>28</v>
      </c>
      <c r="K352" s="110"/>
      <c r="L352" s="110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  <c r="BB352" s="111"/>
      <c r="BC352" s="111"/>
      <c r="BD352" s="111"/>
      <c r="BE352" s="111"/>
      <c r="BF352" s="111"/>
      <c r="BG352" s="111"/>
      <c r="BH352" s="111"/>
      <c r="BI352" s="111"/>
      <c r="BJ352" s="111"/>
      <c r="BK352" s="111"/>
      <c r="BL352" s="111"/>
      <c r="BM352" s="111"/>
      <c r="BN352" s="111"/>
      <c r="BO352" s="111"/>
      <c r="BP352" s="111"/>
      <c r="BQ352" s="111"/>
      <c r="BR352" s="111"/>
      <c r="BS352" s="111"/>
      <c r="BT352" s="111"/>
      <c r="BU352" s="111"/>
      <c r="BV352" s="111"/>
    </row>
    <row r="353" spans="1:74" s="50" customFormat="1" ht="15" hidden="1" customHeight="1">
      <c r="A353" s="109">
        <v>349</v>
      </c>
      <c r="B353" s="116" t="s">
        <v>706</v>
      </c>
      <c r="C353" s="139" t="s">
        <v>707</v>
      </c>
      <c r="D353" s="26" t="s">
        <v>21</v>
      </c>
      <c r="E353" s="109"/>
      <c r="F353" s="109"/>
      <c r="G353" s="108">
        <v>40</v>
      </c>
      <c r="H353" s="26">
        <f t="shared" si="15"/>
        <v>0</v>
      </c>
      <c r="I353" s="26">
        <f t="shared" si="16"/>
        <v>0</v>
      </c>
      <c r="J353" s="108">
        <f t="shared" si="17"/>
        <v>40</v>
      </c>
      <c r="K353" s="108"/>
      <c r="L353" s="108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  <c r="BB353" s="111"/>
      <c r="BC353" s="111"/>
      <c r="BD353" s="111"/>
      <c r="BE353" s="111"/>
      <c r="BF353" s="111"/>
      <c r="BG353" s="111"/>
      <c r="BH353" s="111"/>
      <c r="BI353" s="111"/>
      <c r="BJ353" s="111"/>
      <c r="BK353" s="111"/>
      <c r="BL353" s="111"/>
      <c r="BM353" s="111"/>
      <c r="BN353" s="111"/>
      <c r="BO353" s="111"/>
      <c r="BP353" s="111"/>
      <c r="BQ353" s="111"/>
      <c r="BR353" s="111"/>
      <c r="BS353" s="111"/>
      <c r="BT353" s="111"/>
      <c r="BU353" s="111"/>
      <c r="BV353" s="111"/>
    </row>
    <row r="354" spans="1:74" s="50" customFormat="1" ht="15" hidden="1" customHeight="1">
      <c r="A354" s="142">
        <v>350</v>
      </c>
      <c r="B354" s="311" t="s">
        <v>708</v>
      </c>
      <c r="C354" s="413" t="s">
        <v>709</v>
      </c>
      <c r="D354" s="143" t="s">
        <v>21</v>
      </c>
      <c r="E354" s="109"/>
      <c r="F354" s="109"/>
      <c r="G354" s="110">
        <v>228</v>
      </c>
      <c r="H354" s="3">
        <f t="shared" si="15"/>
        <v>0</v>
      </c>
      <c r="I354" s="3">
        <f t="shared" si="16"/>
        <v>50</v>
      </c>
      <c r="J354" s="110">
        <f t="shared" si="17"/>
        <v>178</v>
      </c>
      <c r="K354" s="110"/>
      <c r="L354" s="110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>
        <v>50</v>
      </c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  <c r="BB354" s="111"/>
      <c r="BC354" s="111"/>
      <c r="BD354" s="111"/>
      <c r="BE354" s="111"/>
      <c r="BF354" s="111"/>
      <c r="BG354" s="111"/>
      <c r="BH354" s="111"/>
      <c r="BI354" s="111"/>
      <c r="BJ354" s="111"/>
      <c r="BK354" s="111"/>
      <c r="BL354" s="111"/>
      <c r="BM354" s="111"/>
      <c r="BN354" s="111"/>
      <c r="BO354" s="111"/>
      <c r="BP354" s="111"/>
      <c r="BQ354" s="111"/>
      <c r="BR354" s="111"/>
      <c r="BS354" s="111"/>
      <c r="BT354" s="111"/>
      <c r="BU354" s="111"/>
      <c r="BV354" s="111"/>
    </row>
    <row r="355" spans="1:74" s="50" customFormat="1" ht="30.75" hidden="1" customHeight="1">
      <c r="A355" s="109">
        <v>351</v>
      </c>
      <c r="B355" s="116" t="s">
        <v>710</v>
      </c>
      <c r="C355" s="129" t="s">
        <v>711</v>
      </c>
      <c r="D355" s="26" t="s">
        <v>21</v>
      </c>
      <c r="E355" s="109"/>
      <c r="F355" s="109"/>
      <c r="G355" s="110">
        <v>4</v>
      </c>
      <c r="H355" s="3">
        <f t="shared" si="15"/>
        <v>0</v>
      </c>
      <c r="I355" s="3">
        <f t="shared" si="16"/>
        <v>0</v>
      </c>
      <c r="J355" s="110">
        <f t="shared" si="17"/>
        <v>4</v>
      </c>
      <c r="K355" s="110"/>
      <c r="L355" s="110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  <c r="BB355" s="111"/>
      <c r="BC355" s="111"/>
      <c r="BD355" s="111"/>
      <c r="BE355" s="111"/>
      <c r="BF355" s="111"/>
      <c r="BG355" s="111"/>
      <c r="BH355" s="111"/>
      <c r="BI355" s="111"/>
      <c r="BJ355" s="111"/>
      <c r="BK355" s="111"/>
      <c r="BL355" s="111"/>
      <c r="BM355" s="111"/>
      <c r="BN355" s="111"/>
      <c r="BO355" s="111"/>
      <c r="BP355" s="111"/>
      <c r="BQ355" s="111"/>
      <c r="BR355" s="111"/>
      <c r="BS355" s="111"/>
      <c r="BT355" s="111"/>
      <c r="BU355" s="111"/>
      <c r="BV355" s="111"/>
    </row>
    <row r="356" spans="1:74" s="50" customFormat="1" ht="15" hidden="1" customHeight="1">
      <c r="A356" s="109">
        <v>352</v>
      </c>
      <c r="B356" s="119" t="s">
        <v>712</v>
      </c>
      <c r="C356" s="120" t="s">
        <v>713</v>
      </c>
      <c r="D356" s="26" t="s">
        <v>21</v>
      </c>
      <c r="E356" s="109"/>
      <c r="F356" s="109"/>
      <c r="G356" s="110">
        <v>0</v>
      </c>
      <c r="H356" s="3">
        <f t="shared" si="15"/>
        <v>0</v>
      </c>
      <c r="I356" s="3">
        <f t="shared" si="16"/>
        <v>0</v>
      </c>
      <c r="J356" s="110">
        <f t="shared" si="17"/>
        <v>0</v>
      </c>
      <c r="K356" s="110"/>
      <c r="L356" s="110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  <c r="BB356" s="111"/>
      <c r="BC356" s="111"/>
      <c r="BD356" s="111"/>
      <c r="BE356" s="111"/>
      <c r="BF356" s="111"/>
      <c r="BG356" s="111"/>
      <c r="BH356" s="111"/>
      <c r="BI356" s="111"/>
      <c r="BJ356" s="111"/>
      <c r="BK356" s="111"/>
      <c r="BL356" s="111"/>
      <c r="BM356" s="111"/>
      <c r="BN356" s="111"/>
      <c r="BO356" s="111"/>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den="1" customHeight="1">
      <c r="A357" s="109">
        <v>353</v>
      </c>
      <c r="B357" s="26" t="s">
        <v>714</v>
      </c>
      <c r="C357" s="27" t="s">
        <v>715</v>
      </c>
      <c r="D357" s="26" t="s">
        <v>21</v>
      </c>
      <c r="E357" s="109"/>
      <c r="F357" s="109"/>
      <c r="G357" s="110">
        <v>25</v>
      </c>
      <c r="H357" s="3">
        <f t="shared" si="15"/>
        <v>0</v>
      </c>
      <c r="I357" s="3">
        <f t="shared" si="16"/>
        <v>0</v>
      </c>
      <c r="J357" s="110">
        <f t="shared" si="17"/>
        <v>25</v>
      </c>
      <c r="K357" s="110"/>
      <c r="L357" s="110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  <c r="BB357" s="111"/>
      <c r="BC357" s="111"/>
      <c r="BD357" s="111"/>
      <c r="BE357" s="111"/>
      <c r="BF357" s="111"/>
      <c r="BG357" s="111"/>
      <c r="BH357" s="111"/>
      <c r="BI357" s="111"/>
      <c r="BJ357" s="111"/>
      <c r="BK357" s="111"/>
      <c r="BL357" s="111"/>
      <c r="BM357" s="111"/>
      <c r="BN357" s="111"/>
      <c r="BO357" s="111"/>
      <c r="BP357" s="111"/>
      <c r="BQ357" s="111"/>
      <c r="BR357" s="111"/>
      <c r="BS357" s="111"/>
      <c r="BT357" s="111"/>
      <c r="BU357" s="111"/>
      <c r="BV357" s="111"/>
    </row>
    <row r="358" spans="1:74" s="50" customFormat="1" ht="15" hidden="1" customHeight="1">
      <c r="A358" s="109">
        <v>354</v>
      </c>
      <c r="B358" s="26" t="s">
        <v>716</v>
      </c>
      <c r="C358" s="27" t="s">
        <v>717</v>
      </c>
      <c r="D358" s="26" t="s">
        <v>21</v>
      </c>
      <c r="E358" s="109"/>
      <c r="F358" s="109"/>
      <c r="G358" s="110">
        <v>27</v>
      </c>
      <c r="H358" s="3">
        <f t="shared" si="15"/>
        <v>0</v>
      </c>
      <c r="I358" s="3">
        <f t="shared" si="16"/>
        <v>0</v>
      </c>
      <c r="J358" s="110">
        <f t="shared" si="17"/>
        <v>27</v>
      </c>
      <c r="K358" s="110"/>
      <c r="L358" s="110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  <c r="BB358" s="111"/>
      <c r="BC358" s="111"/>
      <c r="BD358" s="111"/>
      <c r="BE358" s="111"/>
      <c r="BF358" s="111"/>
      <c r="BG358" s="111"/>
      <c r="BH358" s="111"/>
      <c r="BI358" s="111"/>
      <c r="BJ358" s="111"/>
      <c r="BK358" s="111"/>
      <c r="BL358" s="111"/>
      <c r="BM358" s="111"/>
      <c r="BN358" s="111"/>
      <c r="BO358" s="111"/>
      <c r="BP358" s="111"/>
      <c r="BQ358" s="111"/>
      <c r="BR358" s="111"/>
      <c r="BS358" s="111"/>
      <c r="BT358" s="111"/>
      <c r="BU358" s="111"/>
      <c r="BV358" s="111"/>
    </row>
    <row r="359" spans="1:74" s="92" customFormat="1" ht="30" hidden="1" customHeight="1">
      <c r="A359" s="109">
        <v>355</v>
      </c>
      <c r="B359" s="26" t="s">
        <v>718</v>
      </c>
      <c r="C359" s="27" t="s">
        <v>719</v>
      </c>
      <c r="D359" s="26" t="s">
        <v>21</v>
      </c>
      <c r="E359" s="109"/>
      <c r="F359" s="109"/>
      <c r="G359" s="108">
        <v>1</v>
      </c>
      <c r="H359" s="26">
        <f t="shared" si="15"/>
        <v>0</v>
      </c>
      <c r="I359" s="26">
        <f t="shared" si="16"/>
        <v>0</v>
      </c>
      <c r="J359" s="108">
        <f t="shared" si="17"/>
        <v>1</v>
      </c>
      <c r="K359" s="108"/>
      <c r="L359" s="108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  <c r="AL359" s="109"/>
      <c r="AM359" s="109"/>
      <c r="AN359" s="109"/>
      <c r="AO359" s="109"/>
      <c r="AP359" s="109"/>
      <c r="AQ359" s="109"/>
      <c r="AR359" s="109"/>
      <c r="AS359" s="109"/>
      <c r="AT359" s="109"/>
      <c r="AU359" s="109"/>
      <c r="AV359" s="109"/>
      <c r="AW359" s="109"/>
      <c r="AX359" s="109"/>
      <c r="AY359" s="109"/>
      <c r="AZ359" s="109"/>
      <c r="BA359" s="109"/>
      <c r="BB359" s="109"/>
      <c r="BC359" s="109"/>
      <c r="BD359" s="109"/>
      <c r="BE359" s="109"/>
      <c r="BF359" s="109"/>
      <c r="BG359" s="109"/>
      <c r="BH359" s="109"/>
      <c r="BI359" s="109"/>
      <c r="BJ359" s="109"/>
      <c r="BK359" s="109"/>
      <c r="BL359" s="109"/>
      <c r="BM359" s="109"/>
      <c r="BN359" s="109"/>
      <c r="BO359" s="109"/>
      <c r="BP359" s="109"/>
      <c r="BQ359" s="109"/>
      <c r="BR359" s="109"/>
      <c r="BS359" s="109"/>
      <c r="BT359" s="109"/>
      <c r="BU359" s="109"/>
      <c r="BV359" s="109"/>
    </row>
    <row r="360" spans="1:74" s="50" customFormat="1" ht="15" hidden="1" customHeight="1">
      <c r="A360" s="142">
        <v>356</v>
      </c>
      <c r="B360" s="142" t="s">
        <v>720</v>
      </c>
      <c r="C360" s="286" t="s">
        <v>721</v>
      </c>
      <c r="D360" s="143" t="s">
        <v>21</v>
      </c>
      <c r="E360" s="109"/>
      <c r="F360" s="109"/>
      <c r="G360" s="110">
        <v>95</v>
      </c>
      <c r="H360" s="3">
        <f t="shared" si="15"/>
        <v>0</v>
      </c>
      <c r="I360" s="3">
        <f t="shared" si="16"/>
        <v>0</v>
      </c>
      <c r="J360" s="110">
        <f t="shared" si="17"/>
        <v>95</v>
      </c>
      <c r="K360" s="110"/>
      <c r="L360" s="110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  <c r="BB360" s="111"/>
      <c r="BC360" s="111"/>
      <c r="BD360" s="111"/>
      <c r="BE360" s="111"/>
      <c r="BF360" s="111"/>
      <c r="BG360" s="111"/>
      <c r="BH360" s="111"/>
      <c r="BI360" s="111"/>
      <c r="BJ360" s="111"/>
      <c r="BK360" s="111"/>
      <c r="BL360" s="111"/>
      <c r="BM360" s="111"/>
      <c r="BN360" s="111"/>
      <c r="BO360" s="111"/>
      <c r="BP360" s="111"/>
      <c r="BQ360" s="111"/>
      <c r="BR360" s="111"/>
      <c r="BS360" s="111"/>
      <c r="BT360" s="111"/>
      <c r="BU360" s="111"/>
      <c r="BV360" s="111"/>
    </row>
    <row r="361" spans="1:74" s="50" customFormat="1" ht="15" hidden="1" customHeight="1">
      <c r="A361" s="142">
        <v>357</v>
      </c>
      <c r="B361" s="143" t="s">
        <v>722</v>
      </c>
      <c r="C361" s="144" t="s">
        <v>723</v>
      </c>
      <c r="D361" s="143" t="s">
        <v>21</v>
      </c>
      <c r="E361" s="109"/>
      <c r="F361" s="109"/>
      <c r="G361" s="110">
        <v>54</v>
      </c>
      <c r="H361" s="3">
        <f t="shared" si="15"/>
        <v>0</v>
      </c>
      <c r="I361" s="3">
        <f t="shared" si="16"/>
        <v>0</v>
      </c>
      <c r="J361" s="110">
        <f t="shared" si="17"/>
        <v>54</v>
      </c>
      <c r="K361" s="110"/>
      <c r="L361" s="110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  <c r="BB361" s="111"/>
      <c r="BC361" s="111"/>
      <c r="BD361" s="111"/>
      <c r="BE361" s="111"/>
      <c r="BF361" s="111"/>
      <c r="BG361" s="111"/>
      <c r="BH361" s="111"/>
      <c r="BI361" s="111"/>
      <c r="BJ361" s="111"/>
      <c r="BK361" s="111"/>
      <c r="BL361" s="111"/>
      <c r="BM361" s="111"/>
      <c r="BN361" s="111"/>
      <c r="BO361" s="111"/>
      <c r="BP361" s="111"/>
      <c r="BQ361" s="111"/>
      <c r="BR361" s="111"/>
      <c r="BS361" s="111"/>
      <c r="BT361" s="111"/>
      <c r="BU361" s="111"/>
      <c r="BV361" s="111"/>
    </row>
    <row r="362" spans="1:74" s="50" customFormat="1" ht="45" hidden="1" customHeight="1">
      <c r="A362" s="142">
        <v>358</v>
      </c>
      <c r="B362" s="143" t="s">
        <v>724</v>
      </c>
      <c r="C362" s="144" t="s">
        <v>725</v>
      </c>
      <c r="D362" s="143" t="s">
        <v>21</v>
      </c>
      <c r="E362" s="109"/>
      <c r="F362" s="109"/>
      <c r="G362" s="110">
        <v>94</v>
      </c>
      <c r="H362" s="3">
        <f t="shared" si="15"/>
        <v>0</v>
      </c>
      <c r="I362" s="3">
        <f t="shared" si="16"/>
        <v>0</v>
      </c>
      <c r="J362" s="110">
        <f t="shared" si="17"/>
        <v>94</v>
      </c>
      <c r="K362" s="110"/>
      <c r="L362" s="110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  <c r="BB362" s="111"/>
      <c r="BC362" s="111"/>
      <c r="BD362" s="111"/>
      <c r="BE362" s="111"/>
      <c r="BF362" s="111"/>
      <c r="BG362" s="111"/>
      <c r="BH362" s="111"/>
      <c r="BI362" s="111"/>
      <c r="BJ362" s="111"/>
      <c r="BK362" s="111"/>
      <c r="BL362" s="111"/>
      <c r="BM362" s="111"/>
      <c r="BN362" s="111"/>
      <c r="BO362" s="111"/>
      <c r="BP362" s="111"/>
      <c r="BQ362" s="111"/>
      <c r="BR362" s="111"/>
      <c r="BS362" s="111"/>
      <c r="BT362" s="111"/>
      <c r="BU362" s="111"/>
      <c r="BV362" s="111"/>
    </row>
    <row r="363" spans="1:74" s="50" customFormat="1" ht="15" hidden="1" customHeight="1">
      <c r="A363" s="109">
        <v>359</v>
      </c>
      <c r="B363" s="26" t="s">
        <v>726</v>
      </c>
      <c r="C363" s="27" t="s">
        <v>727</v>
      </c>
      <c r="D363" s="26" t="s">
        <v>21</v>
      </c>
      <c r="E363" s="109"/>
      <c r="F363" s="109"/>
      <c r="G363" s="110">
        <v>1</v>
      </c>
      <c r="H363" s="3">
        <f t="shared" si="15"/>
        <v>0</v>
      </c>
      <c r="I363" s="3">
        <f t="shared" si="16"/>
        <v>0</v>
      </c>
      <c r="J363" s="110">
        <f t="shared" si="17"/>
        <v>1</v>
      </c>
      <c r="K363" s="110"/>
      <c r="L363" s="110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  <c r="BB363" s="111"/>
      <c r="BC363" s="111"/>
      <c r="BD363" s="111"/>
      <c r="BE363" s="111"/>
      <c r="BF363" s="111"/>
      <c r="BG363" s="111"/>
      <c r="BH363" s="111"/>
      <c r="BI363" s="111"/>
      <c r="BJ363" s="111"/>
      <c r="BK363" s="111"/>
      <c r="BL363" s="111"/>
      <c r="BM363" s="111"/>
      <c r="BN363" s="111"/>
      <c r="BO363" s="111"/>
      <c r="BP363" s="111"/>
      <c r="BQ363" s="111"/>
      <c r="BR363" s="111"/>
      <c r="BS363" s="111"/>
      <c r="BT363" s="111"/>
      <c r="BU363" s="111"/>
      <c r="BV363" s="111"/>
    </row>
    <row r="364" spans="1:74" s="50" customFormat="1" ht="15" hidden="1" customHeight="1">
      <c r="A364" s="109">
        <v>360</v>
      </c>
      <c r="B364" s="26" t="s">
        <v>728</v>
      </c>
      <c r="C364" s="27" t="s">
        <v>729</v>
      </c>
      <c r="D364" s="26" t="s">
        <v>21</v>
      </c>
      <c r="E364" s="109"/>
      <c r="F364" s="109"/>
      <c r="G364" s="110">
        <v>0</v>
      </c>
      <c r="H364" s="3">
        <f t="shared" si="15"/>
        <v>0</v>
      </c>
      <c r="I364" s="3">
        <f t="shared" si="16"/>
        <v>0</v>
      </c>
      <c r="J364" s="110">
        <f t="shared" si="17"/>
        <v>0</v>
      </c>
      <c r="K364" s="110"/>
      <c r="L364" s="110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  <c r="BB364" s="111"/>
      <c r="BC364" s="111"/>
      <c r="BD364" s="111"/>
      <c r="BE364" s="111"/>
      <c r="BF364" s="111"/>
      <c r="BG364" s="111"/>
      <c r="BH364" s="111"/>
      <c r="BI364" s="111"/>
      <c r="BJ364" s="111"/>
      <c r="BK364" s="111"/>
      <c r="BL364" s="111"/>
      <c r="BM364" s="111"/>
      <c r="BN364" s="111"/>
      <c r="BO364" s="111"/>
      <c r="BP364" s="111"/>
      <c r="BQ364" s="111"/>
      <c r="BR364" s="111"/>
      <c r="BS364" s="111"/>
      <c r="BT364" s="111"/>
      <c r="BU364" s="111"/>
      <c r="BV364" s="111"/>
    </row>
    <row r="365" spans="1:74" s="50" customFormat="1" ht="15" hidden="1" customHeight="1">
      <c r="A365" s="109">
        <v>361</v>
      </c>
      <c r="B365" s="26" t="s">
        <v>730</v>
      </c>
      <c r="C365" s="27" t="s">
        <v>731</v>
      </c>
      <c r="D365" s="26" t="s">
        <v>21</v>
      </c>
      <c r="E365" s="109"/>
      <c r="F365" s="109"/>
      <c r="G365" s="110">
        <v>0</v>
      </c>
      <c r="H365" s="3">
        <f t="shared" si="15"/>
        <v>0</v>
      </c>
      <c r="I365" s="3">
        <f t="shared" si="16"/>
        <v>0</v>
      </c>
      <c r="J365" s="110">
        <f t="shared" si="17"/>
        <v>0</v>
      </c>
      <c r="K365" s="110"/>
      <c r="L365" s="110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  <c r="BB365" s="111"/>
      <c r="BC365" s="111"/>
      <c r="BD365" s="111"/>
      <c r="BE365" s="111"/>
      <c r="BF365" s="111"/>
      <c r="BG365" s="111"/>
      <c r="BH365" s="111"/>
      <c r="BI365" s="111"/>
      <c r="BJ365" s="111"/>
      <c r="BK365" s="111"/>
      <c r="BL365" s="111"/>
      <c r="BM365" s="111"/>
      <c r="BN365" s="111"/>
      <c r="BO365" s="111"/>
      <c r="BP365" s="111"/>
      <c r="BQ365" s="111"/>
      <c r="BR365" s="111"/>
      <c r="BS365" s="111"/>
      <c r="BT365" s="111"/>
      <c r="BU365" s="111"/>
      <c r="BV365" s="111"/>
    </row>
    <row r="366" spans="1:74" s="50" customFormat="1" ht="15" hidden="1" customHeight="1">
      <c r="A366" s="109">
        <v>362</v>
      </c>
      <c r="B366" s="26" t="s">
        <v>732</v>
      </c>
      <c r="C366" s="27" t="s">
        <v>733</v>
      </c>
      <c r="D366" s="26" t="s">
        <v>21</v>
      </c>
      <c r="E366" s="109"/>
      <c r="F366" s="109"/>
      <c r="G366" s="110">
        <v>0</v>
      </c>
      <c r="H366" s="3">
        <f t="shared" si="15"/>
        <v>0</v>
      </c>
      <c r="I366" s="3">
        <f t="shared" si="16"/>
        <v>0</v>
      </c>
      <c r="J366" s="110">
        <f t="shared" si="17"/>
        <v>0</v>
      </c>
      <c r="K366" s="110"/>
      <c r="L366" s="110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/>
      <c r="BP366" s="111"/>
      <c r="BQ366" s="111"/>
      <c r="BR366" s="111"/>
      <c r="BS366" s="111"/>
      <c r="BT366" s="111"/>
      <c r="BU366" s="111"/>
      <c r="BV366" s="111"/>
    </row>
    <row r="367" spans="1:74" s="50" customFormat="1" ht="15" hidden="1" customHeight="1">
      <c r="A367" s="109">
        <v>363</v>
      </c>
      <c r="B367" s="26" t="s">
        <v>734</v>
      </c>
      <c r="C367" s="27" t="s">
        <v>735</v>
      </c>
      <c r="D367" s="26" t="s">
        <v>21</v>
      </c>
      <c r="E367" s="109"/>
      <c r="F367" s="109"/>
      <c r="G367" s="110">
        <v>1</v>
      </c>
      <c r="H367" s="3">
        <f t="shared" si="15"/>
        <v>0</v>
      </c>
      <c r="I367" s="3">
        <f t="shared" si="16"/>
        <v>0</v>
      </c>
      <c r="J367" s="110">
        <f t="shared" si="17"/>
        <v>1</v>
      </c>
      <c r="K367" s="110"/>
      <c r="L367" s="110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/>
      <c r="BP367" s="111"/>
      <c r="BQ367" s="111"/>
      <c r="BR367" s="111"/>
      <c r="BS367" s="111"/>
      <c r="BT367" s="111"/>
      <c r="BU367" s="111"/>
      <c r="BV367" s="111"/>
    </row>
    <row r="368" spans="1:74" s="50" customFormat="1" ht="15" hidden="1" customHeight="1">
      <c r="A368" s="109">
        <v>364</v>
      </c>
      <c r="B368" s="26" t="s">
        <v>736</v>
      </c>
      <c r="C368" s="27" t="s">
        <v>737</v>
      </c>
      <c r="D368" s="26" t="s">
        <v>21</v>
      </c>
      <c r="E368" s="109"/>
      <c r="F368" s="109"/>
      <c r="G368" s="110">
        <v>1</v>
      </c>
      <c r="H368" s="3">
        <f t="shared" si="15"/>
        <v>0</v>
      </c>
      <c r="I368" s="3">
        <f t="shared" si="16"/>
        <v>0</v>
      </c>
      <c r="J368" s="110">
        <f t="shared" si="17"/>
        <v>1</v>
      </c>
      <c r="K368" s="110"/>
      <c r="L368" s="110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  <c r="BB368" s="111"/>
      <c r="BC368" s="111"/>
      <c r="BD368" s="111"/>
      <c r="BE368" s="111"/>
      <c r="BF368" s="111"/>
      <c r="BG368" s="111"/>
      <c r="BH368" s="111"/>
      <c r="BI368" s="111"/>
      <c r="BJ368" s="111"/>
      <c r="BK368" s="111"/>
      <c r="BL368" s="111"/>
      <c r="BM368" s="111"/>
      <c r="BN368" s="111"/>
      <c r="BO368" s="111"/>
      <c r="BP368" s="111"/>
      <c r="BQ368" s="111"/>
      <c r="BR368" s="111"/>
      <c r="BS368" s="111"/>
      <c r="BT368" s="111"/>
      <c r="BU368" s="111"/>
      <c r="BV368" s="111"/>
    </row>
    <row r="369" spans="1:74" s="93" customFormat="1" ht="30" hidden="1" customHeight="1">
      <c r="A369" s="109">
        <v>365</v>
      </c>
      <c r="B369" s="26" t="s">
        <v>738</v>
      </c>
      <c r="C369" s="27" t="s">
        <v>739</v>
      </c>
      <c r="D369" s="26" t="s">
        <v>21</v>
      </c>
      <c r="E369" s="109"/>
      <c r="F369" s="109"/>
      <c r="G369" s="108">
        <v>2</v>
      </c>
      <c r="H369" s="26">
        <f t="shared" si="15"/>
        <v>0</v>
      </c>
      <c r="I369" s="26">
        <f t="shared" si="16"/>
        <v>0</v>
      </c>
      <c r="J369" s="108">
        <f t="shared" si="17"/>
        <v>2</v>
      </c>
      <c r="K369" s="108"/>
      <c r="L369" s="108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09"/>
      <c r="AK369" s="109"/>
      <c r="AL369" s="109"/>
      <c r="AM369" s="109"/>
      <c r="AN369" s="109"/>
      <c r="AO369" s="109"/>
      <c r="AP369" s="109"/>
      <c r="AQ369" s="109"/>
      <c r="AR369" s="109"/>
      <c r="AS369" s="109"/>
      <c r="AT369" s="109"/>
      <c r="AU369" s="109"/>
      <c r="AV369" s="109"/>
      <c r="AW369" s="109"/>
      <c r="AX369" s="109"/>
      <c r="AY369" s="109"/>
      <c r="AZ369" s="109"/>
      <c r="BA369" s="109"/>
      <c r="BB369" s="109"/>
      <c r="BC369" s="109"/>
      <c r="BD369" s="109"/>
      <c r="BE369" s="109"/>
      <c r="BF369" s="109"/>
      <c r="BG369" s="109"/>
      <c r="BH369" s="109"/>
      <c r="BI369" s="109"/>
      <c r="BJ369" s="109"/>
      <c r="BK369" s="109"/>
      <c r="BL369" s="109"/>
      <c r="BM369" s="109"/>
      <c r="BN369" s="109"/>
      <c r="BO369" s="109"/>
      <c r="BP369" s="109"/>
      <c r="BQ369" s="109"/>
      <c r="BR369" s="109"/>
      <c r="BS369" s="109"/>
      <c r="BT369" s="109"/>
      <c r="BU369" s="109"/>
      <c r="BV369" s="109"/>
    </row>
    <row r="370" spans="1:74" s="92" customFormat="1" ht="18" hidden="1" customHeight="1">
      <c r="A370" s="109">
        <v>366</v>
      </c>
      <c r="B370" s="26" t="s">
        <v>740</v>
      </c>
      <c r="C370" s="27" t="s">
        <v>741</v>
      </c>
      <c r="D370" s="26" t="s">
        <v>21</v>
      </c>
      <c r="E370" s="109"/>
      <c r="F370" s="109"/>
      <c r="G370" s="108">
        <v>208</v>
      </c>
      <c r="H370" s="26">
        <f t="shared" si="15"/>
        <v>0</v>
      </c>
      <c r="I370" s="26">
        <f t="shared" si="16"/>
        <v>42</v>
      </c>
      <c r="J370" s="108">
        <f t="shared" si="17"/>
        <v>166</v>
      </c>
      <c r="K370" s="108"/>
      <c r="L370" s="108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>
        <v>42</v>
      </c>
      <c r="AC370" s="109"/>
      <c r="AD370" s="109"/>
      <c r="AE370" s="109"/>
      <c r="AF370" s="109"/>
      <c r="AG370" s="109"/>
      <c r="AH370" s="109"/>
      <c r="AI370" s="109"/>
      <c r="AJ370" s="109"/>
      <c r="AK370" s="109"/>
      <c r="AL370" s="109"/>
      <c r="AM370" s="109"/>
      <c r="AN370" s="109"/>
      <c r="AO370" s="109"/>
      <c r="AP370" s="109"/>
      <c r="AQ370" s="109"/>
      <c r="AR370" s="109"/>
      <c r="AS370" s="109"/>
      <c r="AT370" s="109"/>
      <c r="AU370" s="109"/>
      <c r="AV370" s="109"/>
      <c r="AW370" s="109"/>
      <c r="AX370" s="109"/>
      <c r="AY370" s="109"/>
      <c r="AZ370" s="109"/>
      <c r="BA370" s="109"/>
      <c r="BB370" s="109"/>
      <c r="BC370" s="109"/>
      <c r="BD370" s="109"/>
      <c r="BE370" s="109"/>
      <c r="BF370" s="109"/>
      <c r="BG370" s="109"/>
      <c r="BH370" s="109"/>
      <c r="BI370" s="109"/>
      <c r="BJ370" s="109"/>
      <c r="BK370" s="109"/>
      <c r="BL370" s="109"/>
      <c r="BM370" s="109"/>
      <c r="BN370" s="109"/>
      <c r="BO370" s="109"/>
      <c r="BP370" s="109"/>
      <c r="BQ370" s="109"/>
      <c r="BR370" s="109"/>
      <c r="BS370" s="109"/>
      <c r="BT370" s="109"/>
      <c r="BU370" s="109"/>
      <c r="BV370" s="109"/>
    </row>
    <row r="371" spans="1:74" s="92" customFormat="1" ht="15" hidden="1" customHeight="1">
      <c r="A371" s="109">
        <v>367</v>
      </c>
      <c r="B371" s="26" t="s">
        <v>742</v>
      </c>
      <c r="C371" s="27" t="s">
        <v>743</v>
      </c>
      <c r="D371" s="26" t="s">
        <v>21</v>
      </c>
      <c r="E371" s="109"/>
      <c r="F371" s="109"/>
      <c r="G371" s="108">
        <v>208</v>
      </c>
      <c r="H371" s="26">
        <f t="shared" si="15"/>
        <v>0</v>
      </c>
      <c r="I371" s="26">
        <f t="shared" si="16"/>
        <v>42</v>
      </c>
      <c r="J371" s="108">
        <f t="shared" si="17"/>
        <v>166</v>
      </c>
      <c r="K371" s="108"/>
      <c r="L371" s="108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>
        <v>42</v>
      </c>
      <c r="AC371" s="109"/>
      <c r="AD371" s="109"/>
      <c r="AE371" s="109"/>
      <c r="AF371" s="109"/>
      <c r="AG371" s="109"/>
      <c r="AH371" s="109"/>
      <c r="AI371" s="109"/>
      <c r="AJ371" s="109"/>
      <c r="AK371" s="109"/>
      <c r="AL371" s="109"/>
      <c r="AM371" s="109"/>
      <c r="AN371" s="109"/>
      <c r="AO371" s="109"/>
      <c r="AP371" s="109"/>
      <c r="AQ371" s="109"/>
      <c r="AR371" s="109"/>
      <c r="AS371" s="109"/>
      <c r="AT371" s="109"/>
      <c r="AU371" s="109"/>
      <c r="AV371" s="109"/>
      <c r="AW371" s="109"/>
      <c r="AX371" s="109"/>
      <c r="AY371" s="109"/>
      <c r="AZ371" s="109"/>
      <c r="BA371" s="109"/>
      <c r="BB371" s="109"/>
      <c r="BC371" s="109"/>
      <c r="BD371" s="109"/>
      <c r="BE371" s="109"/>
      <c r="BF371" s="109"/>
      <c r="BG371" s="109"/>
      <c r="BH371" s="109"/>
      <c r="BI371" s="109"/>
      <c r="BJ371" s="109"/>
      <c r="BK371" s="109"/>
      <c r="BL371" s="109"/>
      <c r="BM371" s="109"/>
      <c r="BN371" s="109"/>
      <c r="BO371" s="109"/>
      <c r="BP371" s="109"/>
      <c r="BQ371" s="109"/>
      <c r="BR371" s="109"/>
      <c r="BS371" s="109"/>
      <c r="BT371" s="109"/>
      <c r="BU371" s="109"/>
      <c r="BV371" s="109"/>
    </row>
    <row r="372" spans="1:74" s="92" customFormat="1" ht="15" hidden="1" customHeight="1">
      <c r="A372" s="109">
        <v>368</v>
      </c>
      <c r="B372" s="26" t="s">
        <v>744</v>
      </c>
      <c r="C372" s="27" t="s">
        <v>745</v>
      </c>
      <c r="D372" s="26" t="s">
        <v>21</v>
      </c>
      <c r="E372" s="109"/>
      <c r="F372" s="109"/>
      <c r="G372" s="108">
        <v>2</v>
      </c>
      <c r="H372" s="26">
        <f t="shared" si="15"/>
        <v>0</v>
      </c>
      <c r="I372" s="26">
        <f t="shared" si="16"/>
        <v>0</v>
      </c>
      <c r="J372" s="108">
        <f t="shared" si="17"/>
        <v>2</v>
      </c>
      <c r="K372" s="108"/>
      <c r="L372" s="108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09"/>
      <c r="AK372" s="109"/>
      <c r="AL372" s="109"/>
      <c r="AM372" s="109"/>
      <c r="AN372" s="109"/>
      <c r="AO372" s="109"/>
      <c r="AP372" s="109"/>
      <c r="AQ372" s="109"/>
      <c r="AR372" s="109"/>
      <c r="AS372" s="109"/>
      <c r="AT372" s="109"/>
      <c r="AU372" s="109"/>
      <c r="AV372" s="109"/>
      <c r="AW372" s="109"/>
      <c r="AX372" s="109"/>
      <c r="AY372" s="109"/>
      <c r="AZ372" s="109"/>
      <c r="BA372" s="109"/>
      <c r="BB372" s="109"/>
      <c r="BC372" s="109"/>
      <c r="BD372" s="109"/>
      <c r="BE372" s="109"/>
      <c r="BF372" s="109"/>
      <c r="BG372" s="109"/>
      <c r="BH372" s="109"/>
      <c r="BI372" s="109"/>
      <c r="BJ372" s="109"/>
      <c r="BK372" s="109"/>
      <c r="BL372" s="109"/>
      <c r="BM372" s="109"/>
      <c r="BN372" s="109"/>
      <c r="BO372" s="109"/>
      <c r="BP372" s="109"/>
      <c r="BQ372" s="109"/>
      <c r="BR372" s="109"/>
      <c r="BS372" s="109"/>
      <c r="BT372" s="109"/>
      <c r="BU372" s="109"/>
      <c r="BV372" s="109"/>
    </row>
    <row r="373" spans="1:74" s="50" customFormat="1" ht="15" hidden="1" customHeight="1">
      <c r="A373" s="142">
        <v>369</v>
      </c>
      <c r="B373" s="143" t="s">
        <v>746</v>
      </c>
      <c r="C373" s="144" t="s">
        <v>747</v>
      </c>
      <c r="D373" s="143" t="s">
        <v>21</v>
      </c>
      <c r="E373" s="109"/>
      <c r="F373" s="109"/>
      <c r="G373" s="110">
        <v>122</v>
      </c>
      <c r="H373" s="3">
        <f t="shared" si="15"/>
        <v>0</v>
      </c>
      <c r="I373" s="3">
        <f t="shared" si="16"/>
        <v>0</v>
      </c>
      <c r="J373" s="110">
        <f t="shared" si="17"/>
        <v>122</v>
      </c>
      <c r="K373" s="110"/>
      <c r="L373" s="110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  <c r="BB373" s="111"/>
      <c r="BC373" s="111"/>
      <c r="BD373" s="111"/>
      <c r="BE373" s="111"/>
      <c r="BF373" s="111"/>
      <c r="BG373" s="111"/>
      <c r="BH373" s="111"/>
      <c r="BI373" s="111"/>
      <c r="BJ373" s="111"/>
      <c r="BK373" s="111"/>
      <c r="BL373" s="111"/>
      <c r="BM373" s="111"/>
      <c r="BN373" s="111"/>
      <c r="BO373" s="111"/>
      <c r="BP373" s="111"/>
      <c r="BQ373" s="111"/>
      <c r="BR373" s="111"/>
      <c r="BS373" s="111"/>
      <c r="BT373" s="111"/>
      <c r="BU373" s="111"/>
      <c r="BV373" s="111"/>
    </row>
    <row r="374" spans="1:74" s="92" customFormat="1" ht="15" hidden="1" customHeight="1">
      <c r="A374" s="109">
        <v>370</v>
      </c>
      <c r="B374" s="26" t="s">
        <v>748</v>
      </c>
      <c r="C374" s="27" t="s">
        <v>749</v>
      </c>
      <c r="D374" s="26" t="s">
        <v>21</v>
      </c>
      <c r="E374" s="109"/>
      <c r="F374" s="109"/>
      <c r="G374" s="108">
        <v>2</v>
      </c>
      <c r="H374" s="26">
        <f t="shared" si="15"/>
        <v>0</v>
      </c>
      <c r="I374" s="26">
        <f t="shared" si="16"/>
        <v>0</v>
      </c>
      <c r="J374" s="108">
        <f t="shared" si="17"/>
        <v>2</v>
      </c>
      <c r="K374" s="108"/>
      <c r="L374" s="108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09"/>
      <c r="AK374" s="109"/>
      <c r="AL374" s="109"/>
      <c r="AM374" s="109"/>
      <c r="AN374" s="109"/>
      <c r="AO374" s="109"/>
      <c r="AP374" s="109"/>
      <c r="AQ374" s="109"/>
      <c r="AR374" s="109"/>
      <c r="AS374" s="109"/>
      <c r="AT374" s="109"/>
      <c r="AU374" s="109"/>
      <c r="AV374" s="109"/>
      <c r="AW374" s="109"/>
      <c r="AX374" s="109"/>
      <c r="AY374" s="109"/>
      <c r="AZ374" s="109"/>
      <c r="BA374" s="109"/>
      <c r="BB374" s="109"/>
      <c r="BC374" s="109"/>
      <c r="BD374" s="109"/>
      <c r="BE374" s="109"/>
      <c r="BF374" s="109"/>
      <c r="BG374" s="109"/>
      <c r="BH374" s="109"/>
      <c r="BI374" s="109"/>
      <c r="BJ374" s="109"/>
      <c r="BK374" s="109"/>
      <c r="BL374" s="109"/>
      <c r="BM374" s="109"/>
      <c r="BN374" s="109"/>
      <c r="BO374" s="109"/>
      <c r="BP374" s="109"/>
      <c r="BQ374" s="109"/>
      <c r="BR374" s="109"/>
      <c r="BS374" s="109"/>
      <c r="BT374" s="109"/>
      <c r="BU374" s="109"/>
      <c r="BV374" s="109"/>
    </row>
    <row r="375" spans="1:74" s="50" customFormat="1" ht="15" hidden="1" customHeight="1">
      <c r="A375" s="109">
        <v>371</v>
      </c>
      <c r="B375" s="26" t="s">
        <v>750</v>
      </c>
      <c r="C375" s="27" t="s">
        <v>751</v>
      </c>
      <c r="D375" s="26" t="s">
        <v>21</v>
      </c>
      <c r="E375" s="109"/>
      <c r="F375" s="109"/>
      <c r="G375" s="110">
        <v>6</v>
      </c>
      <c r="H375" s="3">
        <f t="shared" ref="H375:H438" si="18">SUM(M375+O375+Q375+S375+U375+W375+Y375+AA375+AC375+AE375+AG375+AI375+AK375+AM375+AO375+AQ375+AS375+AU375+AW375+AY375+BA375+BC375+BE375+BG375+BI375+BK375+BM375+BO375+BQ375+BS375+BU375)</f>
        <v>0</v>
      </c>
      <c r="I375" s="3">
        <f t="shared" ref="I375:I438" si="19">SUM(N375+P375+R375+T375+V375+X375+Z375+AB375+AD375+AF375+AH375+AJ375+AL375+AN375+AP375+AR375+AT375+AV375+AX375+AZ375+BB375+BD375+BF375+BH375+BJ375+BL375+BN375+BP375+BR375+BT375+BV375)</f>
        <v>0</v>
      </c>
      <c r="J375" s="110">
        <f t="shared" ref="J375:J438" si="20">G375+H375-I375</f>
        <v>6</v>
      </c>
      <c r="K375" s="110"/>
      <c r="L375" s="110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  <c r="BB375" s="111"/>
      <c r="BC375" s="111"/>
      <c r="BD375" s="111"/>
      <c r="BE375" s="111"/>
      <c r="BF375" s="111"/>
      <c r="BG375" s="111"/>
      <c r="BH375" s="111"/>
      <c r="BI375" s="111"/>
      <c r="BJ375" s="111"/>
      <c r="BK375" s="111"/>
      <c r="BL375" s="111"/>
      <c r="BM375" s="111"/>
      <c r="BN375" s="111"/>
      <c r="BO375" s="111"/>
      <c r="BP375" s="111"/>
      <c r="BQ375" s="111"/>
      <c r="BR375" s="111"/>
      <c r="BS375" s="111"/>
      <c r="BT375" s="111"/>
      <c r="BU375" s="111"/>
      <c r="BV375" s="111"/>
    </row>
    <row r="376" spans="1:74" s="50" customFormat="1" ht="15" hidden="1" customHeight="1">
      <c r="A376" s="142">
        <v>372</v>
      </c>
      <c r="B376" s="143" t="s">
        <v>752</v>
      </c>
      <c r="C376" s="144" t="s">
        <v>753</v>
      </c>
      <c r="D376" s="143" t="s">
        <v>21</v>
      </c>
      <c r="E376" s="109"/>
      <c r="F376" s="109"/>
      <c r="G376" s="110">
        <v>82</v>
      </c>
      <c r="H376" s="3">
        <f t="shared" si="18"/>
        <v>0</v>
      </c>
      <c r="I376" s="3">
        <f t="shared" si="19"/>
        <v>0</v>
      </c>
      <c r="J376" s="110">
        <f t="shared" si="20"/>
        <v>82</v>
      </c>
      <c r="K376" s="110"/>
      <c r="L376" s="110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  <c r="BB376" s="111"/>
      <c r="BC376" s="111"/>
      <c r="BD376" s="111"/>
      <c r="BE376" s="111"/>
      <c r="BF376" s="111"/>
      <c r="BG376" s="111"/>
      <c r="BH376" s="111"/>
      <c r="BI376" s="111"/>
      <c r="BJ376" s="111"/>
      <c r="BK376" s="111"/>
      <c r="BL376" s="111"/>
      <c r="BM376" s="111"/>
      <c r="BN376" s="111"/>
      <c r="BO376" s="111"/>
      <c r="BP376" s="111"/>
      <c r="BQ376" s="111"/>
      <c r="BR376" s="111"/>
      <c r="BS376" s="111"/>
      <c r="BT376" s="111"/>
      <c r="BU376" s="111"/>
      <c r="BV376" s="111"/>
    </row>
    <row r="377" spans="1:74" s="92" customFormat="1" ht="15" hidden="1" customHeight="1">
      <c r="A377" s="142">
        <v>373</v>
      </c>
      <c r="B377" s="143" t="s">
        <v>754</v>
      </c>
      <c r="C377" s="144" t="s">
        <v>755</v>
      </c>
      <c r="D377" s="143" t="s">
        <v>21</v>
      </c>
      <c r="E377" s="109"/>
      <c r="F377" s="109"/>
      <c r="G377" s="108">
        <v>4</v>
      </c>
      <c r="H377" s="26">
        <f t="shared" si="18"/>
        <v>0</v>
      </c>
      <c r="I377" s="26">
        <f t="shared" si="19"/>
        <v>0</v>
      </c>
      <c r="J377" s="108">
        <f t="shared" si="20"/>
        <v>4</v>
      </c>
      <c r="K377" s="108"/>
      <c r="L377" s="108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09"/>
      <c r="AK377" s="109"/>
      <c r="AL377" s="109"/>
      <c r="AM377" s="109"/>
      <c r="AN377" s="109"/>
      <c r="AO377" s="109"/>
      <c r="AP377" s="109"/>
      <c r="AQ377" s="109"/>
      <c r="AR377" s="109"/>
      <c r="AS377" s="109"/>
      <c r="AT377" s="109"/>
      <c r="AU377" s="109"/>
      <c r="AV377" s="109"/>
      <c r="AW377" s="109"/>
      <c r="AX377" s="109"/>
      <c r="AY377" s="109"/>
      <c r="AZ377" s="109"/>
      <c r="BA377" s="109"/>
      <c r="BB377" s="109"/>
      <c r="BC377" s="109"/>
      <c r="BD377" s="109"/>
      <c r="BE377" s="109"/>
      <c r="BF377" s="109"/>
      <c r="BG377" s="109"/>
      <c r="BH377" s="109"/>
      <c r="BI377" s="109"/>
      <c r="BJ377" s="109"/>
      <c r="BK377" s="109"/>
      <c r="BL377" s="109"/>
      <c r="BM377" s="109"/>
      <c r="BN377" s="109"/>
      <c r="BO377" s="109"/>
      <c r="BP377" s="109"/>
      <c r="BQ377" s="109"/>
      <c r="BR377" s="109"/>
      <c r="BS377" s="109"/>
      <c r="BT377" s="109"/>
      <c r="BU377" s="109"/>
      <c r="BV377" s="109"/>
    </row>
    <row r="378" spans="1:74" s="50" customFormat="1" ht="15" hidden="1" customHeight="1">
      <c r="A378" s="142">
        <v>374</v>
      </c>
      <c r="B378" s="143" t="s">
        <v>756</v>
      </c>
      <c r="C378" s="144" t="s">
        <v>757</v>
      </c>
      <c r="D378" s="143" t="s">
        <v>21</v>
      </c>
      <c r="E378" s="109"/>
      <c r="F378" s="109"/>
      <c r="G378" s="110">
        <v>13</v>
      </c>
      <c r="H378" s="3">
        <f t="shared" si="18"/>
        <v>0</v>
      </c>
      <c r="I378" s="3">
        <f t="shared" si="19"/>
        <v>0</v>
      </c>
      <c r="J378" s="110">
        <f t="shared" si="20"/>
        <v>13</v>
      </c>
      <c r="K378" s="110"/>
      <c r="L378" s="110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  <c r="BB378" s="111"/>
      <c r="BC378" s="111"/>
      <c r="BD378" s="111"/>
      <c r="BE378" s="111"/>
      <c r="BF378" s="111"/>
      <c r="BG378" s="111"/>
      <c r="BH378" s="111"/>
      <c r="BI378" s="111"/>
      <c r="BJ378" s="111"/>
      <c r="BK378" s="111"/>
      <c r="BL378" s="111"/>
      <c r="BM378" s="111"/>
      <c r="BN378" s="111"/>
      <c r="BO378" s="111"/>
      <c r="BP378" s="111"/>
      <c r="BQ378" s="111"/>
      <c r="BR378" s="111"/>
      <c r="BS378" s="111"/>
      <c r="BT378" s="111"/>
      <c r="BU378" s="111"/>
      <c r="BV378" s="111"/>
    </row>
    <row r="379" spans="1:74" s="50" customFormat="1" ht="15" hidden="1" customHeight="1">
      <c r="A379" s="142">
        <v>375</v>
      </c>
      <c r="B379" s="143" t="s">
        <v>758</v>
      </c>
      <c r="C379" s="144" t="s">
        <v>759</v>
      </c>
      <c r="D379" s="143" t="s">
        <v>21</v>
      </c>
      <c r="E379" s="109"/>
      <c r="F379" s="109"/>
      <c r="G379" s="108">
        <v>157</v>
      </c>
      <c r="H379" s="26">
        <f t="shared" si="18"/>
        <v>0</v>
      </c>
      <c r="I379" s="26">
        <f t="shared" si="19"/>
        <v>0</v>
      </c>
      <c r="J379" s="108">
        <f t="shared" si="20"/>
        <v>157</v>
      </c>
      <c r="K379" s="108"/>
      <c r="L379" s="108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  <c r="BB379" s="111"/>
      <c r="BC379" s="111"/>
      <c r="BD379" s="111"/>
      <c r="BE379" s="111"/>
      <c r="BF379" s="111"/>
      <c r="BG379" s="111"/>
      <c r="BH379" s="111"/>
      <c r="BI379" s="111"/>
      <c r="BJ379" s="111"/>
      <c r="BK379" s="111"/>
      <c r="BL379" s="111"/>
      <c r="BM379" s="111"/>
      <c r="BN379" s="111"/>
      <c r="BO379" s="111"/>
      <c r="BP379" s="111"/>
      <c r="BQ379" s="111"/>
      <c r="BR379" s="111"/>
      <c r="BS379" s="111"/>
      <c r="BT379" s="111"/>
      <c r="BU379" s="111"/>
      <c r="BV379" s="111"/>
    </row>
    <row r="380" spans="1:74" s="50" customFormat="1" ht="15" hidden="1" customHeight="1">
      <c r="A380" s="109">
        <v>376</v>
      </c>
      <c r="B380" s="26" t="s">
        <v>760</v>
      </c>
      <c r="C380" s="27" t="s">
        <v>761</v>
      </c>
      <c r="D380" s="26" t="s">
        <v>21</v>
      </c>
      <c r="E380" s="109"/>
      <c r="F380" s="109"/>
      <c r="G380" s="110">
        <v>36</v>
      </c>
      <c r="H380" s="3">
        <f t="shared" si="18"/>
        <v>0</v>
      </c>
      <c r="I380" s="3">
        <f t="shared" si="19"/>
        <v>0</v>
      </c>
      <c r="J380" s="110">
        <f t="shared" si="20"/>
        <v>36</v>
      </c>
      <c r="K380" s="110"/>
      <c r="L380" s="110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  <c r="BB380" s="111"/>
      <c r="BC380" s="111"/>
      <c r="BD380" s="111"/>
      <c r="BE380" s="111"/>
      <c r="BF380" s="111"/>
      <c r="BG380" s="111"/>
      <c r="BH380" s="111"/>
      <c r="BI380" s="111"/>
      <c r="BJ380" s="111"/>
      <c r="BK380" s="111"/>
      <c r="BL380" s="111"/>
      <c r="BM380" s="111"/>
      <c r="BN380" s="111"/>
      <c r="BO380" s="111"/>
      <c r="BP380" s="111"/>
      <c r="BQ380" s="111"/>
      <c r="BR380" s="111"/>
      <c r="BS380" s="111"/>
      <c r="BT380" s="111"/>
      <c r="BU380" s="111"/>
      <c r="BV380" s="111"/>
    </row>
    <row r="381" spans="1:74" s="50" customFormat="1" ht="15" hidden="1" customHeight="1">
      <c r="A381" s="109">
        <v>377</v>
      </c>
      <c r="B381" s="26" t="s">
        <v>762</v>
      </c>
      <c r="C381" s="27" t="s">
        <v>763</v>
      </c>
      <c r="D381" s="26" t="s">
        <v>21</v>
      </c>
      <c r="E381" s="109"/>
      <c r="F381" s="109"/>
      <c r="G381" s="110">
        <v>4</v>
      </c>
      <c r="H381" s="3">
        <f t="shared" si="18"/>
        <v>0</v>
      </c>
      <c r="I381" s="3">
        <f t="shared" si="19"/>
        <v>0</v>
      </c>
      <c r="J381" s="110">
        <f t="shared" si="20"/>
        <v>4</v>
      </c>
      <c r="K381" s="110"/>
      <c r="L381" s="110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  <c r="BB381" s="111"/>
      <c r="BC381" s="111"/>
      <c r="BD381" s="111"/>
      <c r="BE381" s="111"/>
      <c r="BF381" s="111"/>
      <c r="BG381" s="111"/>
      <c r="BH381" s="111"/>
      <c r="BI381" s="111"/>
      <c r="BJ381" s="111"/>
      <c r="BK381" s="111"/>
      <c r="BL381" s="111"/>
      <c r="BM381" s="111"/>
      <c r="BN381" s="111"/>
      <c r="BO381" s="111"/>
      <c r="BP381" s="111"/>
      <c r="BQ381" s="111"/>
      <c r="BR381" s="111"/>
      <c r="BS381" s="111"/>
      <c r="BT381" s="111"/>
      <c r="BU381" s="111"/>
      <c r="BV381" s="111"/>
    </row>
    <row r="382" spans="1:74" s="50" customFormat="1" ht="15" hidden="1" customHeight="1">
      <c r="A382" s="109">
        <v>378</v>
      </c>
      <c r="B382" s="26" t="s">
        <v>764</v>
      </c>
      <c r="C382" s="27"/>
      <c r="D382" s="26" t="s">
        <v>21</v>
      </c>
      <c r="E382" s="109"/>
      <c r="F382" s="109"/>
      <c r="G382" s="110">
        <v>2</v>
      </c>
      <c r="H382" s="3">
        <f t="shared" si="18"/>
        <v>0</v>
      </c>
      <c r="I382" s="3">
        <f t="shared" si="19"/>
        <v>0</v>
      </c>
      <c r="J382" s="110">
        <f t="shared" si="20"/>
        <v>2</v>
      </c>
      <c r="K382" s="110"/>
      <c r="L382" s="110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  <c r="BB382" s="111"/>
      <c r="BC382" s="111"/>
      <c r="BD382" s="111"/>
      <c r="BE382" s="111"/>
      <c r="BF382" s="111"/>
      <c r="BG382" s="111"/>
      <c r="BH382" s="111"/>
      <c r="BI382" s="111"/>
      <c r="BJ382" s="111"/>
      <c r="BK382" s="111"/>
      <c r="BL382" s="111"/>
      <c r="BM382" s="111"/>
      <c r="BN382" s="111"/>
      <c r="BO382" s="111"/>
      <c r="BP382" s="111"/>
      <c r="BQ382" s="111"/>
      <c r="BR382" s="111"/>
      <c r="BS382" s="111"/>
      <c r="BT382" s="111"/>
      <c r="BU382" s="111"/>
      <c r="BV382" s="111"/>
    </row>
    <row r="383" spans="1:74" s="50" customFormat="1" ht="15" hidden="1" customHeight="1">
      <c r="A383" s="109">
        <v>379</v>
      </c>
      <c r="B383" s="26" t="s">
        <v>765</v>
      </c>
      <c r="C383" s="27" t="s">
        <v>766</v>
      </c>
      <c r="D383" s="26" t="s">
        <v>21</v>
      </c>
      <c r="E383" s="109"/>
      <c r="F383" s="109"/>
      <c r="G383" s="110">
        <v>3</v>
      </c>
      <c r="H383" s="3">
        <f t="shared" si="18"/>
        <v>0</v>
      </c>
      <c r="I383" s="3">
        <f t="shared" si="19"/>
        <v>0</v>
      </c>
      <c r="J383" s="110">
        <f t="shared" si="20"/>
        <v>3</v>
      </c>
      <c r="K383" s="110"/>
      <c r="L383" s="110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  <c r="BB383" s="111"/>
      <c r="BC383" s="111"/>
      <c r="BD383" s="111"/>
      <c r="BE383" s="111"/>
      <c r="BF383" s="111"/>
      <c r="BG383" s="111"/>
      <c r="BH383" s="111"/>
      <c r="BI383" s="111"/>
      <c r="BJ383" s="111"/>
      <c r="BK383" s="111"/>
      <c r="BL383" s="111"/>
      <c r="BM383" s="111"/>
      <c r="BN383" s="111"/>
      <c r="BO383" s="111"/>
      <c r="BP383" s="111"/>
      <c r="BQ383" s="111"/>
      <c r="BR383" s="111"/>
      <c r="BS383" s="111"/>
      <c r="BT383" s="111"/>
      <c r="BU383" s="111"/>
      <c r="BV383" s="111"/>
    </row>
    <row r="384" spans="1:74" s="50" customFormat="1" ht="15" hidden="1" customHeight="1">
      <c r="A384" s="109">
        <v>380</v>
      </c>
      <c r="B384" s="26" t="s">
        <v>767</v>
      </c>
      <c r="C384" s="27" t="s">
        <v>768</v>
      </c>
      <c r="D384" s="26" t="s">
        <v>21</v>
      </c>
      <c r="E384" s="109"/>
      <c r="F384" s="109"/>
      <c r="G384" s="110">
        <v>0</v>
      </c>
      <c r="H384" s="3">
        <f t="shared" si="18"/>
        <v>0</v>
      </c>
      <c r="I384" s="3">
        <f t="shared" si="19"/>
        <v>0</v>
      </c>
      <c r="J384" s="110">
        <f t="shared" si="20"/>
        <v>0</v>
      </c>
      <c r="K384" s="110"/>
      <c r="L384" s="110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  <c r="BB384" s="111"/>
      <c r="BC384" s="111"/>
      <c r="BD384" s="111"/>
      <c r="BE384" s="111"/>
      <c r="BF384" s="111"/>
      <c r="BG384" s="111"/>
      <c r="BH384" s="111"/>
      <c r="BI384" s="111"/>
      <c r="BJ384" s="111"/>
      <c r="BK384" s="111"/>
      <c r="BL384" s="111"/>
      <c r="BM384" s="111"/>
      <c r="BN384" s="111"/>
      <c r="BO384" s="111"/>
      <c r="BP384" s="111"/>
      <c r="BQ384" s="111"/>
      <c r="BR384" s="111"/>
      <c r="BS384" s="111"/>
      <c r="BT384" s="111"/>
      <c r="BU384" s="111"/>
      <c r="BV384" s="111"/>
    </row>
    <row r="385" spans="1:74" s="50" customFormat="1" ht="15" hidden="1" customHeight="1">
      <c r="A385" s="109">
        <v>381</v>
      </c>
      <c r="B385" s="26" t="s">
        <v>769</v>
      </c>
      <c r="C385" s="27" t="s">
        <v>770</v>
      </c>
      <c r="D385" s="26" t="s">
        <v>21</v>
      </c>
      <c r="E385" s="109"/>
      <c r="F385" s="109"/>
      <c r="G385" s="110">
        <v>10</v>
      </c>
      <c r="H385" s="3">
        <f t="shared" si="18"/>
        <v>0</v>
      </c>
      <c r="I385" s="3">
        <f t="shared" si="19"/>
        <v>0</v>
      </c>
      <c r="J385" s="110">
        <f t="shared" si="20"/>
        <v>10</v>
      </c>
      <c r="K385" s="110"/>
      <c r="L385" s="110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  <c r="BB385" s="111"/>
      <c r="BC385" s="111"/>
      <c r="BD385" s="111"/>
      <c r="BE385" s="111"/>
      <c r="BF385" s="111"/>
      <c r="BG385" s="111"/>
      <c r="BH385" s="111"/>
      <c r="BI385" s="111"/>
      <c r="BJ385" s="111"/>
      <c r="BK385" s="111"/>
      <c r="BL385" s="111"/>
      <c r="BM385" s="111"/>
      <c r="BN385" s="111"/>
      <c r="BO385" s="111"/>
      <c r="BP385" s="111"/>
      <c r="BQ385" s="111"/>
      <c r="BR385" s="111"/>
      <c r="BS385" s="111"/>
      <c r="BT385" s="111"/>
      <c r="BU385" s="111"/>
      <c r="BV385" s="111"/>
    </row>
    <row r="386" spans="1:74" s="50" customFormat="1" ht="15" hidden="1" customHeight="1">
      <c r="A386" s="109">
        <v>382</v>
      </c>
      <c r="B386" s="112" t="s">
        <v>771</v>
      </c>
      <c r="C386" s="113" t="s">
        <v>772</v>
      </c>
      <c r="D386" s="26" t="s">
        <v>21</v>
      </c>
      <c r="E386" s="109"/>
      <c r="F386" s="109"/>
      <c r="G386" s="108">
        <v>5</v>
      </c>
      <c r="H386" s="26">
        <f t="shared" si="18"/>
        <v>0</v>
      </c>
      <c r="I386" s="26">
        <f t="shared" si="19"/>
        <v>0</v>
      </c>
      <c r="J386" s="108">
        <f t="shared" si="20"/>
        <v>5</v>
      </c>
      <c r="K386" s="108"/>
      <c r="L386" s="108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  <c r="BB386" s="111"/>
      <c r="BC386" s="111"/>
      <c r="BD386" s="111"/>
      <c r="BE386" s="111"/>
      <c r="BF386" s="10"/>
      <c r="BG386" s="111"/>
      <c r="BH386" s="111"/>
      <c r="BI386" s="111"/>
      <c r="BJ386" s="111"/>
      <c r="BK386" s="111"/>
      <c r="BL386" s="111"/>
      <c r="BM386" s="111"/>
      <c r="BN386" s="111"/>
      <c r="BO386" s="111"/>
      <c r="BP386" s="111"/>
      <c r="BQ386" s="111"/>
      <c r="BR386" s="111"/>
      <c r="BS386" s="111"/>
      <c r="BT386" s="111"/>
      <c r="BU386" s="111"/>
      <c r="BV386" s="111"/>
    </row>
    <row r="387" spans="1:74" s="50" customFormat="1" ht="15" hidden="1" customHeight="1">
      <c r="A387" s="109">
        <v>383</v>
      </c>
      <c r="B387" s="112" t="s">
        <v>773</v>
      </c>
      <c r="C387" s="115" t="s">
        <v>774</v>
      </c>
      <c r="D387" s="26" t="s">
        <v>21</v>
      </c>
      <c r="E387" s="109"/>
      <c r="F387" s="109"/>
      <c r="G387" s="110">
        <v>44</v>
      </c>
      <c r="H387" s="3">
        <f t="shared" si="18"/>
        <v>0</v>
      </c>
      <c r="I387" s="3">
        <f t="shared" si="19"/>
        <v>0</v>
      </c>
      <c r="J387" s="110">
        <f t="shared" si="20"/>
        <v>44</v>
      </c>
      <c r="K387" s="110"/>
      <c r="L387" s="110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  <c r="BB387" s="111"/>
      <c r="BC387" s="111"/>
      <c r="BD387" s="111"/>
      <c r="BE387" s="111"/>
      <c r="BF387" s="111"/>
      <c r="BG387" s="111"/>
      <c r="BH387" s="111"/>
      <c r="BI387" s="111"/>
      <c r="BJ387" s="111"/>
      <c r="BK387" s="111"/>
      <c r="BL387" s="111"/>
      <c r="BM387" s="111"/>
      <c r="BN387" s="111"/>
      <c r="BO387" s="111"/>
      <c r="BP387" s="111"/>
      <c r="BQ387" s="111"/>
      <c r="BR387" s="111"/>
      <c r="BS387" s="111"/>
      <c r="BT387" s="111"/>
      <c r="BU387" s="111"/>
      <c r="BV387" s="111"/>
    </row>
    <row r="388" spans="1:74" s="50" customFormat="1" ht="15" hidden="1" customHeight="1">
      <c r="A388" s="109">
        <v>384</v>
      </c>
      <c r="B388" s="112" t="s">
        <v>775</v>
      </c>
      <c r="C388" s="115" t="s">
        <v>776</v>
      </c>
      <c r="D388" s="26" t="s">
        <v>21</v>
      </c>
      <c r="E388" s="109"/>
      <c r="F388" s="109"/>
      <c r="G388" s="110">
        <v>4</v>
      </c>
      <c r="H388" s="3">
        <f t="shared" si="18"/>
        <v>0</v>
      </c>
      <c r="I388" s="3">
        <f t="shared" si="19"/>
        <v>0</v>
      </c>
      <c r="J388" s="110">
        <f t="shared" si="20"/>
        <v>4</v>
      </c>
      <c r="K388" s="110"/>
      <c r="L388" s="110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  <c r="BB388" s="111"/>
      <c r="BC388" s="111"/>
      <c r="BD388" s="111"/>
      <c r="BE388" s="111"/>
      <c r="BF388" s="111"/>
      <c r="BG388" s="111"/>
      <c r="BH388" s="111"/>
      <c r="BI388" s="111"/>
      <c r="BJ388" s="111"/>
      <c r="BK388" s="111"/>
      <c r="BL388" s="111"/>
      <c r="BM388" s="111"/>
      <c r="BN388" s="111"/>
      <c r="BO388" s="111"/>
      <c r="BP388" s="111"/>
      <c r="BQ388" s="111"/>
      <c r="BR388" s="111"/>
      <c r="BS388" s="111"/>
      <c r="BT388" s="111"/>
      <c r="BU388" s="111"/>
      <c r="BV388" s="111"/>
    </row>
    <row r="389" spans="1:74" s="50" customFormat="1" ht="15" hidden="1" customHeight="1">
      <c r="A389" s="109">
        <v>385</v>
      </c>
      <c r="B389" s="112" t="s">
        <v>777</v>
      </c>
      <c r="C389" s="115" t="s">
        <v>778</v>
      </c>
      <c r="D389" s="26" t="s">
        <v>21</v>
      </c>
      <c r="E389" s="109"/>
      <c r="F389" s="109"/>
      <c r="G389" s="110">
        <v>3</v>
      </c>
      <c r="H389" s="3">
        <f t="shared" si="18"/>
        <v>0</v>
      </c>
      <c r="I389" s="3">
        <f t="shared" si="19"/>
        <v>0</v>
      </c>
      <c r="J389" s="110">
        <f t="shared" si="20"/>
        <v>3</v>
      </c>
      <c r="K389" s="110"/>
      <c r="L389" s="110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  <c r="BB389" s="111"/>
      <c r="BC389" s="111"/>
      <c r="BD389" s="111"/>
      <c r="BE389" s="111"/>
      <c r="BF389" s="111"/>
      <c r="BG389" s="111"/>
      <c r="BH389" s="111"/>
      <c r="BI389" s="111"/>
      <c r="BJ389" s="111"/>
      <c r="BK389" s="111"/>
      <c r="BL389" s="111"/>
      <c r="BM389" s="111"/>
      <c r="BN389" s="111"/>
      <c r="BO389" s="111"/>
      <c r="BP389" s="111"/>
      <c r="BQ389" s="111"/>
      <c r="BR389" s="111"/>
      <c r="BS389" s="111"/>
      <c r="BT389" s="111"/>
      <c r="BU389" s="111"/>
      <c r="BV389" s="111"/>
    </row>
    <row r="390" spans="1:74" s="50" customFormat="1" ht="15" hidden="1" customHeight="1">
      <c r="A390" s="109">
        <v>386</v>
      </c>
      <c r="B390" s="112" t="s">
        <v>779</v>
      </c>
      <c r="C390" s="115" t="s">
        <v>780</v>
      </c>
      <c r="D390" s="26" t="s">
        <v>21</v>
      </c>
      <c r="E390" s="109"/>
      <c r="F390" s="109"/>
      <c r="G390" s="110">
        <v>3</v>
      </c>
      <c r="H390" s="3">
        <f t="shared" si="18"/>
        <v>0</v>
      </c>
      <c r="I390" s="3">
        <f t="shared" si="19"/>
        <v>0</v>
      </c>
      <c r="J390" s="110">
        <f t="shared" si="20"/>
        <v>3</v>
      </c>
      <c r="K390" s="110"/>
      <c r="L390" s="110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  <c r="BB390" s="111"/>
      <c r="BC390" s="111"/>
      <c r="BD390" s="111"/>
      <c r="BE390" s="111"/>
      <c r="BF390" s="111"/>
      <c r="BG390" s="111"/>
      <c r="BH390" s="111"/>
      <c r="BI390" s="111"/>
      <c r="BJ390" s="111"/>
      <c r="BK390" s="111"/>
      <c r="BL390" s="111"/>
      <c r="BM390" s="111"/>
      <c r="BN390" s="111"/>
      <c r="BO390" s="111"/>
      <c r="BP390" s="111"/>
      <c r="BQ390" s="111"/>
      <c r="BR390" s="111"/>
      <c r="BS390" s="111"/>
      <c r="BT390" s="111"/>
      <c r="BU390" s="111"/>
      <c r="BV390" s="111"/>
    </row>
    <row r="391" spans="1:74" s="50" customFormat="1" ht="45" hidden="1" customHeight="1">
      <c r="A391" s="109">
        <v>387</v>
      </c>
      <c r="B391" s="112" t="s">
        <v>781</v>
      </c>
      <c r="C391" s="138" t="s">
        <v>782</v>
      </c>
      <c r="D391" s="26" t="s">
        <v>21</v>
      </c>
      <c r="E391" s="109"/>
      <c r="F391" s="109"/>
      <c r="G391" s="110">
        <v>4</v>
      </c>
      <c r="H391" s="3">
        <f t="shared" si="18"/>
        <v>0</v>
      </c>
      <c r="I391" s="3">
        <f t="shared" si="19"/>
        <v>0</v>
      </c>
      <c r="J391" s="110">
        <f t="shared" si="20"/>
        <v>4</v>
      </c>
      <c r="K391" s="110"/>
      <c r="L391" s="110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  <c r="BB391" s="111"/>
      <c r="BC391" s="111"/>
      <c r="BD391" s="111"/>
      <c r="BE391" s="111"/>
      <c r="BF391" s="111"/>
      <c r="BG391" s="111"/>
      <c r="BH391" s="111"/>
      <c r="BI391" s="111"/>
      <c r="BJ391" s="111"/>
      <c r="BK391" s="111"/>
      <c r="BL391" s="111"/>
      <c r="BM391" s="111"/>
      <c r="BN391" s="111"/>
      <c r="BO391" s="111"/>
      <c r="BP391" s="111"/>
      <c r="BQ391" s="111"/>
      <c r="BR391" s="111"/>
      <c r="BS391" s="111"/>
      <c r="BT391" s="111"/>
      <c r="BU391" s="111"/>
      <c r="BV391" s="111"/>
    </row>
    <row r="392" spans="1:74" s="92" customFormat="1" ht="45" hidden="1" customHeight="1">
      <c r="A392" s="109">
        <v>388</v>
      </c>
      <c r="B392" s="112" t="s">
        <v>783</v>
      </c>
      <c r="C392" s="129" t="s">
        <v>784</v>
      </c>
      <c r="D392" s="26" t="s">
        <v>21</v>
      </c>
      <c r="E392" s="109"/>
      <c r="F392" s="109"/>
      <c r="G392" s="108">
        <v>2</v>
      </c>
      <c r="H392" s="26">
        <f t="shared" si="18"/>
        <v>0</v>
      </c>
      <c r="I392" s="26">
        <f t="shared" si="19"/>
        <v>0</v>
      </c>
      <c r="J392" s="108">
        <f t="shared" si="20"/>
        <v>2</v>
      </c>
      <c r="K392" s="108"/>
      <c r="L392" s="108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21"/>
      <c r="AI392" s="109"/>
      <c r="AJ392" s="109"/>
      <c r="AK392" s="109"/>
      <c r="AL392" s="109"/>
      <c r="AM392" s="109"/>
      <c r="AN392" s="109"/>
      <c r="AO392" s="109"/>
      <c r="AP392" s="109"/>
      <c r="AQ392" s="109"/>
      <c r="AR392" s="109"/>
      <c r="AS392" s="109"/>
      <c r="AT392" s="109"/>
      <c r="AU392" s="109"/>
      <c r="AV392" s="109"/>
      <c r="AW392" s="109"/>
      <c r="AX392" s="109"/>
      <c r="AY392" s="109"/>
      <c r="AZ392" s="109"/>
      <c r="BA392" s="109"/>
      <c r="BB392" s="109"/>
      <c r="BC392" s="109"/>
      <c r="BD392" s="109"/>
      <c r="BE392" s="109"/>
      <c r="BF392" s="109"/>
      <c r="BG392" s="109"/>
      <c r="BH392" s="109"/>
      <c r="BI392" s="109"/>
      <c r="BJ392" s="109"/>
      <c r="BK392" s="109"/>
      <c r="BL392" s="109"/>
      <c r="BM392" s="109"/>
      <c r="BN392" s="109"/>
      <c r="BO392" s="109"/>
      <c r="BP392" s="109"/>
      <c r="BQ392" s="109"/>
      <c r="BR392" s="109"/>
      <c r="BS392" s="109"/>
      <c r="BT392" s="109"/>
      <c r="BU392" s="109"/>
      <c r="BV392" s="109"/>
    </row>
    <row r="393" spans="1:74" s="92" customFormat="1" ht="45" hidden="1" customHeight="1">
      <c r="A393" s="109">
        <v>389</v>
      </c>
      <c r="B393" s="112" t="s">
        <v>785</v>
      </c>
      <c r="C393" s="113" t="s">
        <v>786</v>
      </c>
      <c r="D393" s="26" t="s">
        <v>21</v>
      </c>
      <c r="E393" s="109"/>
      <c r="F393" s="109"/>
      <c r="G393" s="108">
        <v>5</v>
      </c>
      <c r="H393" s="26">
        <f t="shared" si="18"/>
        <v>0</v>
      </c>
      <c r="I393" s="26">
        <f t="shared" si="19"/>
        <v>0</v>
      </c>
      <c r="J393" s="108">
        <f t="shared" si="20"/>
        <v>5</v>
      </c>
      <c r="K393" s="108"/>
      <c r="L393" s="108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09"/>
      <c r="AK393" s="109"/>
      <c r="AL393" s="109"/>
      <c r="AM393" s="109"/>
      <c r="AN393" s="109"/>
      <c r="AO393" s="109"/>
      <c r="AP393" s="109"/>
      <c r="AQ393" s="109"/>
      <c r="AR393" s="109"/>
      <c r="AS393" s="109"/>
      <c r="AT393" s="109"/>
      <c r="AU393" s="109"/>
      <c r="AV393" s="109"/>
      <c r="AW393" s="109"/>
      <c r="AX393" s="109"/>
      <c r="AY393" s="109"/>
      <c r="AZ393" s="109"/>
      <c r="BA393" s="109"/>
      <c r="BB393" s="109"/>
      <c r="BC393" s="109"/>
      <c r="BD393" s="109"/>
      <c r="BE393" s="109"/>
      <c r="BF393" s="109"/>
      <c r="BG393" s="109"/>
      <c r="BH393" s="109"/>
      <c r="BI393" s="109"/>
      <c r="BJ393" s="109"/>
      <c r="BK393" s="109"/>
      <c r="BL393" s="109"/>
      <c r="BM393" s="109"/>
      <c r="BN393" s="109"/>
      <c r="BO393" s="109"/>
      <c r="BP393" s="109"/>
      <c r="BQ393" s="109"/>
      <c r="BR393" s="109"/>
      <c r="BS393" s="109"/>
      <c r="BT393" s="109"/>
      <c r="BU393" s="109"/>
      <c r="BV393" s="109"/>
    </row>
    <row r="394" spans="1:74" s="50" customFormat="1" ht="30" hidden="1" customHeight="1">
      <c r="A394" s="109">
        <v>390</v>
      </c>
      <c r="B394" s="112" t="s">
        <v>787</v>
      </c>
      <c r="C394" s="138" t="s">
        <v>788</v>
      </c>
      <c r="D394" s="26" t="s">
        <v>21</v>
      </c>
      <c r="E394" s="109"/>
      <c r="F394" s="109"/>
      <c r="G394" s="110">
        <v>1</v>
      </c>
      <c r="H394" s="3">
        <f t="shared" si="18"/>
        <v>0</v>
      </c>
      <c r="I394" s="3">
        <f t="shared" si="19"/>
        <v>0</v>
      </c>
      <c r="J394" s="110">
        <f t="shared" si="20"/>
        <v>1</v>
      </c>
      <c r="K394" s="110"/>
      <c r="L394" s="110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  <c r="BB394" s="111"/>
      <c r="BC394" s="111"/>
      <c r="BD394" s="111"/>
      <c r="BE394" s="111"/>
      <c r="BF394" s="111"/>
      <c r="BG394" s="111"/>
      <c r="BH394" s="111"/>
      <c r="BI394" s="111"/>
      <c r="BJ394" s="111"/>
      <c r="BK394" s="111"/>
      <c r="BL394" s="111"/>
      <c r="BM394" s="111"/>
      <c r="BN394" s="111"/>
      <c r="BO394" s="111"/>
      <c r="BP394" s="111"/>
      <c r="BQ394" s="111"/>
      <c r="BR394" s="111"/>
      <c r="BS394" s="111"/>
      <c r="BT394" s="111"/>
      <c r="BU394" s="111"/>
      <c r="BV394" s="111"/>
    </row>
    <row r="395" spans="1:74" s="50" customFormat="1" ht="44.25" hidden="1" customHeight="1">
      <c r="A395" s="109">
        <v>391</v>
      </c>
      <c r="B395" s="112" t="s">
        <v>789</v>
      </c>
      <c r="C395" s="113" t="s">
        <v>790</v>
      </c>
      <c r="D395" s="26" t="s">
        <v>21</v>
      </c>
      <c r="E395" s="109"/>
      <c r="F395" s="109"/>
      <c r="G395" s="110">
        <v>0</v>
      </c>
      <c r="H395" s="3">
        <f t="shared" si="18"/>
        <v>0</v>
      </c>
      <c r="I395" s="3">
        <f t="shared" si="19"/>
        <v>0</v>
      </c>
      <c r="J395" s="110">
        <f t="shared" si="20"/>
        <v>0</v>
      </c>
      <c r="K395" s="110"/>
      <c r="L395" s="110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  <c r="BB395" s="111"/>
      <c r="BC395" s="111"/>
      <c r="BD395" s="111"/>
      <c r="BE395" s="111"/>
      <c r="BF395" s="111"/>
      <c r="BG395" s="111"/>
      <c r="BH395" s="111"/>
      <c r="BI395" s="111"/>
      <c r="BJ395" s="111"/>
      <c r="BK395" s="111"/>
      <c r="BL395" s="111"/>
      <c r="BM395" s="111"/>
      <c r="BN395" s="111"/>
      <c r="BO395" s="111"/>
      <c r="BP395" s="111"/>
      <c r="BQ395" s="111"/>
      <c r="BR395" s="111"/>
      <c r="BS395" s="111"/>
      <c r="BT395" s="111"/>
      <c r="BU395" s="111"/>
      <c r="BV395" s="111"/>
    </row>
    <row r="396" spans="1:74" s="50" customFormat="1" ht="15" hidden="1" customHeight="1">
      <c r="A396" s="109">
        <v>392</v>
      </c>
      <c r="B396" s="112" t="s">
        <v>791</v>
      </c>
      <c r="C396" s="138" t="s">
        <v>792</v>
      </c>
      <c r="D396" s="26" t="s">
        <v>21</v>
      </c>
      <c r="E396" s="109"/>
      <c r="F396" s="109"/>
      <c r="G396" s="110">
        <v>1</v>
      </c>
      <c r="H396" s="3">
        <f t="shared" si="18"/>
        <v>0</v>
      </c>
      <c r="I396" s="3">
        <f t="shared" si="19"/>
        <v>0</v>
      </c>
      <c r="J396" s="110">
        <f t="shared" si="20"/>
        <v>1</v>
      </c>
      <c r="K396" s="110"/>
      <c r="L396" s="110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  <c r="BJ396" s="111"/>
      <c r="BK396" s="111"/>
      <c r="BL396" s="111"/>
      <c r="BM396" s="111"/>
      <c r="BN396" s="111"/>
      <c r="BO396" s="111"/>
      <c r="BP396" s="111"/>
      <c r="BQ396" s="111"/>
      <c r="BR396" s="111"/>
      <c r="BS396" s="111"/>
      <c r="BT396" s="111"/>
      <c r="BU396" s="111"/>
      <c r="BV396" s="111"/>
    </row>
    <row r="397" spans="1:74" s="50" customFormat="1" ht="15" hidden="1" customHeight="1">
      <c r="A397" s="109">
        <v>393</v>
      </c>
      <c r="B397" s="112" t="s">
        <v>793</v>
      </c>
      <c r="C397" s="139" t="s">
        <v>794</v>
      </c>
      <c r="D397" s="26" t="s">
        <v>21</v>
      </c>
      <c r="E397" s="109"/>
      <c r="F397" s="109"/>
      <c r="G397" s="110">
        <v>3</v>
      </c>
      <c r="H397" s="3">
        <f t="shared" si="18"/>
        <v>0</v>
      </c>
      <c r="I397" s="3">
        <f t="shared" si="19"/>
        <v>0</v>
      </c>
      <c r="J397" s="110">
        <f t="shared" si="20"/>
        <v>3</v>
      </c>
      <c r="K397" s="110"/>
      <c r="L397" s="110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  <c r="BB397" s="111"/>
      <c r="BC397" s="111"/>
      <c r="BD397" s="111"/>
      <c r="BE397" s="111"/>
      <c r="BF397" s="111"/>
      <c r="BG397" s="111"/>
      <c r="BH397" s="111"/>
      <c r="BI397" s="111"/>
      <c r="BJ397" s="111"/>
      <c r="BK397" s="111"/>
      <c r="BL397" s="111"/>
      <c r="BM397" s="111"/>
      <c r="BN397" s="111"/>
      <c r="BO397" s="111"/>
      <c r="BP397" s="111"/>
      <c r="BQ397" s="111"/>
      <c r="BR397" s="111"/>
      <c r="BS397" s="111"/>
      <c r="BT397" s="111"/>
      <c r="BU397" s="111"/>
      <c r="BV397" s="111"/>
    </row>
    <row r="398" spans="1:74" s="50" customFormat="1" ht="15" hidden="1" customHeight="1">
      <c r="A398" s="109">
        <v>394</v>
      </c>
      <c r="B398" s="112" t="s">
        <v>795</v>
      </c>
      <c r="C398" s="115" t="s">
        <v>796</v>
      </c>
      <c r="D398" s="26" t="s">
        <v>21</v>
      </c>
      <c r="E398" s="109"/>
      <c r="F398" s="109"/>
      <c r="G398" s="110">
        <v>4</v>
      </c>
      <c r="H398" s="3">
        <f t="shared" si="18"/>
        <v>0</v>
      </c>
      <c r="I398" s="3">
        <f t="shared" si="19"/>
        <v>0</v>
      </c>
      <c r="J398" s="110">
        <f t="shared" si="20"/>
        <v>4</v>
      </c>
      <c r="K398" s="110"/>
      <c r="L398" s="110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  <c r="BB398" s="111"/>
      <c r="BC398" s="111"/>
      <c r="BD398" s="111"/>
      <c r="BE398" s="111"/>
      <c r="BF398" s="111"/>
      <c r="BG398" s="111"/>
      <c r="BH398" s="111"/>
      <c r="BI398" s="111"/>
      <c r="BJ398" s="111"/>
      <c r="BK398" s="111"/>
      <c r="BL398" s="111"/>
      <c r="BM398" s="111"/>
      <c r="BN398" s="111"/>
      <c r="BO398" s="111"/>
      <c r="BP398" s="111"/>
      <c r="BQ398" s="111"/>
      <c r="BR398" s="111"/>
      <c r="BS398" s="111"/>
      <c r="BT398" s="111"/>
      <c r="BU398" s="111"/>
      <c r="BV398" s="111"/>
    </row>
    <row r="399" spans="1:74" s="50" customFormat="1" ht="15" hidden="1" customHeight="1">
      <c r="A399" s="109">
        <v>395</v>
      </c>
      <c r="B399" s="112" t="s">
        <v>797</v>
      </c>
      <c r="C399" s="115" t="s">
        <v>798</v>
      </c>
      <c r="D399" s="26" t="s">
        <v>21</v>
      </c>
      <c r="E399" s="109"/>
      <c r="F399" s="109"/>
      <c r="G399" s="110">
        <v>0</v>
      </c>
      <c r="H399" s="3">
        <f t="shared" si="18"/>
        <v>0</v>
      </c>
      <c r="I399" s="3">
        <f t="shared" si="19"/>
        <v>0</v>
      </c>
      <c r="J399" s="110">
        <f t="shared" si="20"/>
        <v>0</v>
      </c>
      <c r="K399" s="110"/>
      <c r="L399" s="110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  <c r="BB399" s="111"/>
      <c r="BC399" s="111"/>
      <c r="BD399" s="111"/>
      <c r="BE399" s="111"/>
      <c r="BF399" s="111"/>
      <c r="BG399" s="111"/>
      <c r="BH399" s="111"/>
      <c r="BI399" s="111"/>
      <c r="BJ399" s="111"/>
      <c r="BK399" s="111"/>
      <c r="BL399" s="111"/>
      <c r="BM399" s="111"/>
      <c r="BN399" s="111"/>
      <c r="BO399" s="111"/>
      <c r="BP399" s="111"/>
      <c r="BQ399" s="111"/>
      <c r="BR399" s="111"/>
      <c r="BS399" s="111"/>
      <c r="BT399" s="111"/>
      <c r="BU399" s="111"/>
      <c r="BV399" s="111"/>
    </row>
    <row r="400" spans="1:74" s="50" customFormat="1" ht="15" hidden="1" customHeight="1">
      <c r="A400" s="109">
        <v>396</v>
      </c>
      <c r="B400" s="112" t="s">
        <v>799</v>
      </c>
      <c r="C400" s="115" t="s">
        <v>800</v>
      </c>
      <c r="D400" s="26" t="s">
        <v>21</v>
      </c>
      <c r="E400" s="109"/>
      <c r="F400" s="109"/>
      <c r="G400" s="110">
        <v>0</v>
      </c>
      <c r="H400" s="3">
        <f t="shared" si="18"/>
        <v>0</v>
      </c>
      <c r="I400" s="3">
        <f t="shared" si="19"/>
        <v>0</v>
      </c>
      <c r="J400" s="110">
        <f t="shared" si="20"/>
        <v>0</v>
      </c>
      <c r="K400" s="110"/>
      <c r="L400" s="110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  <c r="BB400" s="111"/>
      <c r="BC400" s="111"/>
      <c r="BD400" s="111"/>
      <c r="BE400" s="111"/>
      <c r="BF400" s="111"/>
      <c r="BG400" s="111"/>
      <c r="BH400" s="111"/>
      <c r="BI400" s="111"/>
      <c r="BJ400" s="111"/>
      <c r="BK400" s="111"/>
      <c r="BL400" s="111"/>
      <c r="BM400" s="111"/>
      <c r="BN400" s="111"/>
      <c r="BO400" s="111"/>
      <c r="BP400" s="111"/>
      <c r="BQ400" s="111"/>
      <c r="BR400" s="111"/>
      <c r="BS400" s="111"/>
      <c r="BT400" s="111"/>
      <c r="BU400" s="111"/>
      <c r="BV400" s="111"/>
    </row>
    <row r="401" spans="1:74" s="50" customFormat="1" ht="15" hidden="1" customHeight="1">
      <c r="A401" s="109">
        <v>397</v>
      </c>
      <c r="B401" s="112" t="s">
        <v>801</v>
      </c>
      <c r="C401" s="115" t="s">
        <v>802</v>
      </c>
      <c r="D401" s="26" t="s">
        <v>21</v>
      </c>
      <c r="E401" s="109"/>
      <c r="F401" s="109"/>
      <c r="G401" s="110">
        <v>0</v>
      </c>
      <c r="H401" s="3">
        <f t="shared" si="18"/>
        <v>0</v>
      </c>
      <c r="I401" s="3">
        <f t="shared" si="19"/>
        <v>0</v>
      </c>
      <c r="J401" s="110">
        <f t="shared" si="20"/>
        <v>0</v>
      </c>
      <c r="K401" s="110"/>
      <c r="L401" s="110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  <c r="BB401" s="111"/>
      <c r="BC401" s="111"/>
      <c r="BD401" s="111"/>
      <c r="BE401" s="111"/>
      <c r="BF401" s="111"/>
      <c r="BG401" s="111"/>
      <c r="BH401" s="111"/>
      <c r="BI401" s="111"/>
      <c r="BJ401" s="111"/>
      <c r="BK401" s="111"/>
      <c r="BL401" s="111"/>
      <c r="BM401" s="111"/>
      <c r="BN401" s="111"/>
      <c r="BO401" s="111"/>
      <c r="BP401" s="111"/>
      <c r="BQ401" s="111"/>
      <c r="BR401" s="111"/>
      <c r="BS401" s="111"/>
      <c r="BT401" s="111"/>
      <c r="BU401" s="111"/>
      <c r="BV401" s="111"/>
    </row>
    <row r="402" spans="1:74" s="50" customFormat="1" ht="15" hidden="1" customHeight="1">
      <c r="A402" s="109">
        <v>398</v>
      </c>
      <c r="B402" s="112" t="s">
        <v>803</v>
      </c>
      <c r="C402" s="115" t="s">
        <v>804</v>
      </c>
      <c r="D402" s="26" t="s">
        <v>21</v>
      </c>
      <c r="E402" s="109"/>
      <c r="F402" s="109"/>
      <c r="G402" s="110">
        <v>2</v>
      </c>
      <c r="H402" s="3">
        <f t="shared" si="18"/>
        <v>0</v>
      </c>
      <c r="I402" s="3">
        <f t="shared" si="19"/>
        <v>0</v>
      </c>
      <c r="J402" s="110">
        <f t="shared" si="20"/>
        <v>2</v>
      </c>
      <c r="K402" s="110"/>
      <c r="L402" s="110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  <c r="AR402" s="111"/>
      <c r="AS402" s="111"/>
      <c r="AT402" s="111"/>
      <c r="AU402" s="111"/>
      <c r="AV402" s="111"/>
      <c r="AW402" s="111"/>
      <c r="AX402" s="111"/>
      <c r="AY402" s="111"/>
      <c r="AZ402" s="111"/>
      <c r="BA402" s="111"/>
      <c r="BB402" s="111"/>
      <c r="BC402" s="111"/>
      <c r="BD402" s="111"/>
      <c r="BE402" s="111"/>
      <c r="BF402" s="111"/>
      <c r="BG402" s="111"/>
      <c r="BH402" s="111"/>
      <c r="BI402" s="111"/>
      <c r="BJ402" s="111"/>
      <c r="BK402" s="111"/>
      <c r="BL402" s="111"/>
      <c r="BM402" s="111"/>
      <c r="BN402" s="111"/>
      <c r="BO402" s="111"/>
      <c r="BP402" s="111"/>
      <c r="BQ402" s="111"/>
      <c r="BR402" s="111"/>
      <c r="BS402" s="111"/>
      <c r="BT402" s="111"/>
      <c r="BU402" s="111"/>
      <c r="BV402" s="111"/>
    </row>
    <row r="403" spans="1:74" s="50" customFormat="1" ht="15.75" hidden="1" customHeight="1">
      <c r="A403" s="109">
        <v>399</v>
      </c>
      <c r="B403" s="112" t="s">
        <v>805</v>
      </c>
      <c r="C403" s="115" t="s">
        <v>806</v>
      </c>
      <c r="D403" s="26" t="s">
        <v>21</v>
      </c>
      <c r="E403" s="109"/>
      <c r="F403" s="109"/>
      <c r="G403" s="110">
        <v>2</v>
      </c>
      <c r="H403" s="3">
        <f t="shared" si="18"/>
        <v>0</v>
      </c>
      <c r="I403" s="3">
        <f t="shared" si="19"/>
        <v>0</v>
      </c>
      <c r="J403" s="110">
        <f t="shared" si="20"/>
        <v>2</v>
      </c>
      <c r="K403" s="110"/>
      <c r="L403" s="110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  <c r="AR403" s="111"/>
      <c r="AS403" s="111"/>
      <c r="AT403" s="111"/>
      <c r="AU403" s="111"/>
      <c r="AV403" s="111"/>
      <c r="AW403" s="111"/>
      <c r="AX403" s="111"/>
      <c r="AY403" s="111"/>
      <c r="AZ403" s="111"/>
      <c r="BA403" s="111"/>
      <c r="BB403" s="111"/>
      <c r="BC403" s="111"/>
      <c r="BD403" s="111"/>
      <c r="BE403" s="111"/>
      <c r="BF403" s="111"/>
      <c r="BG403" s="111"/>
      <c r="BH403" s="111"/>
      <c r="BI403" s="111"/>
      <c r="BJ403" s="111"/>
      <c r="BK403" s="111"/>
      <c r="BL403" s="111"/>
      <c r="BM403" s="111"/>
      <c r="BN403" s="111"/>
      <c r="BO403" s="111"/>
      <c r="BP403" s="111"/>
      <c r="BQ403" s="111"/>
      <c r="BR403" s="111"/>
      <c r="BS403" s="111"/>
      <c r="BT403" s="111"/>
      <c r="BU403" s="111"/>
      <c r="BV403" s="111"/>
    </row>
    <row r="404" spans="1:74" s="50" customFormat="1" ht="15" hidden="1" customHeight="1">
      <c r="A404" s="109">
        <v>400</v>
      </c>
      <c r="B404" s="112" t="s">
        <v>807</v>
      </c>
      <c r="C404" s="115" t="s">
        <v>808</v>
      </c>
      <c r="D404" s="26" t="s">
        <v>21</v>
      </c>
      <c r="E404" s="109"/>
      <c r="F404" s="109"/>
      <c r="G404" s="110">
        <v>1</v>
      </c>
      <c r="H404" s="3">
        <f t="shared" si="18"/>
        <v>0</v>
      </c>
      <c r="I404" s="3">
        <f t="shared" si="19"/>
        <v>0</v>
      </c>
      <c r="J404" s="110">
        <f t="shared" si="20"/>
        <v>1</v>
      </c>
      <c r="K404" s="110"/>
      <c r="L404" s="110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/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/>
      <c r="BP404" s="111"/>
      <c r="BQ404" s="111"/>
      <c r="BR404" s="111"/>
      <c r="BS404" s="111"/>
      <c r="BT404" s="111"/>
      <c r="BU404" s="111"/>
      <c r="BV404" s="111"/>
    </row>
    <row r="405" spans="1:74" s="50" customFormat="1" ht="15" hidden="1" customHeight="1">
      <c r="A405" s="109">
        <v>401</v>
      </c>
      <c r="B405" s="112" t="s">
        <v>809</v>
      </c>
      <c r="C405" s="115" t="s">
        <v>810</v>
      </c>
      <c r="D405" s="26" t="s">
        <v>21</v>
      </c>
      <c r="E405" s="109"/>
      <c r="F405" s="109"/>
      <c r="G405" s="110">
        <v>2</v>
      </c>
      <c r="H405" s="3">
        <f t="shared" si="18"/>
        <v>0</v>
      </c>
      <c r="I405" s="3">
        <f t="shared" si="19"/>
        <v>0</v>
      </c>
      <c r="J405" s="110">
        <f t="shared" si="20"/>
        <v>2</v>
      </c>
      <c r="K405" s="110"/>
      <c r="L405" s="110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/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/>
      <c r="BP405" s="111"/>
      <c r="BQ405" s="111"/>
      <c r="BR405" s="111"/>
      <c r="BS405" s="111"/>
      <c r="BT405" s="111"/>
      <c r="BU405" s="111"/>
      <c r="BV405" s="111"/>
    </row>
    <row r="406" spans="1:74" s="50" customFormat="1" ht="15" hidden="1" customHeight="1">
      <c r="A406" s="109">
        <v>402</v>
      </c>
      <c r="B406" s="112" t="s">
        <v>811</v>
      </c>
      <c r="C406" s="113" t="s">
        <v>812</v>
      </c>
      <c r="D406" s="26" t="s">
        <v>21</v>
      </c>
      <c r="E406" s="109"/>
      <c r="F406" s="109"/>
      <c r="G406" s="110">
        <v>1</v>
      </c>
      <c r="H406" s="3">
        <f t="shared" si="18"/>
        <v>0</v>
      </c>
      <c r="I406" s="3">
        <f t="shared" si="19"/>
        <v>0</v>
      </c>
      <c r="J406" s="110">
        <f t="shared" si="20"/>
        <v>1</v>
      </c>
      <c r="K406" s="110"/>
      <c r="L406" s="110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  <c r="AR406" s="111"/>
      <c r="AS406" s="111"/>
      <c r="AT406" s="111"/>
      <c r="AU406" s="111"/>
      <c r="AV406" s="111"/>
      <c r="AW406" s="111"/>
      <c r="AX406" s="111"/>
      <c r="AY406" s="111"/>
      <c r="AZ406" s="111"/>
      <c r="BA406" s="111"/>
      <c r="BB406" s="111"/>
      <c r="BC406" s="111"/>
      <c r="BD406" s="111"/>
      <c r="BE406" s="111"/>
      <c r="BF406" s="111"/>
      <c r="BG406" s="111"/>
      <c r="BH406" s="111"/>
      <c r="BI406" s="111"/>
      <c r="BJ406" s="111"/>
      <c r="BK406" s="111"/>
      <c r="BL406" s="111"/>
      <c r="BM406" s="111"/>
      <c r="BN406" s="111"/>
      <c r="BO406" s="111"/>
      <c r="BP406" s="111"/>
      <c r="BQ406" s="111"/>
      <c r="BR406" s="111"/>
      <c r="BS406" s="111"/>
      <c r="BT406" s="111"/>
      <c r="BU406" s="111"/>
      <c r="BV406" s="111"/>
    </row>
    <row r="407" spans="1:74" s="50" customFormat="1" ht="15" hidden="1" customHeight="1">
      <c r="A407" s="109">
        <v>403</v>
      </c>
      <c r="B407" s="112" t="s">
        <v>813</v>
      </c>
      <c r="C407" s="115" t="s">
        <v>814</v>
      </c>
      <c r="D407" s="26" t="s">
        <v>21</v>
      </c>
      <c r="E407" s="109"/>
      <c r="F407" s="109"/>
      <c r="G407" s="110">
        <v>0</v>
      </c>
      <c r="H407" s="3">
        <f t="shared" si="18"/>
        <v>0</v>
      </c>
      <c r="I407" s="3">
        <f t="shared" si="19"/>
        <v>0</v>
      </c>
      <c r="J407" s="110">
        <f t="shared" si="20"/>
        <v>0</v>
      </c>
      <c r="K407" s="110"/>
      <c r="L407" s="110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/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/>
      <c r="BP407" s="111"/>
      <c r="BQ407" s="111"/>
      <c r="BR407" s="111"/>
      <c r="BS407" s="111"/>
      <c r="BT407" s="111"/>
      <c r="BU407" s="111"/>
      <c r="BV407" s="111"/>
    </row>
    <row r="408" spans="1:74" s="50" customFormat="1" ht="15" hidden="1" customHeight="1">
      <c r="A408" s="109">
        <v>404</v>
      </c>
      <c r="B408" s="112" t="s">
        <v>815</v>
      </c>
      <c r="C408" s="115" t="s">
        <v>816</v>
      </c>
      <c r="D408" s="26" t="s">
        <v>21</v>
      </c>
      <c r="E408" s="109"/>
      <c r="F408" s="109"/>
      <c r="G408" s="110">
        <v>1</v>
      </c>
      <c r="H408" s="3">
        <f t="shared" si="18"/>
        <v>0</v>
      </c>
      <c r="I408" s="3">
        <f t="shared" si="19"/>
        <v>0</v>
      </c>
      <c r="J408" s="110">
        <f t="shared" si="20"/>
        <v>1</v>
      </c>
      <c r="K408" s="110"/>
      <c r="L408" s="110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/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  <c r="BG408" s="111"/>
      <c r="BH408" s="111"/>
      <c r="BI408" s="111"/>
      <c r="BJ408" s="111"/>
      <c r="BK408" s="111"/>
      <c r="BL408" s="111"/>
      <c r="BM408" s="111"/>
      <c r="BN408" s="111"/>
      <c r="BO408" s="111"/>
      <c r="BP408" s="111"/>
      <c r="BQ408" s="111"/>
      <c r="BR408" s="111"/>
      <c r="BS408" s="111"/>
      <c r="BT408" s="111"/>
      <c r="BU408" s="111"/>
      <c r="BV408" s="111"/>
    </row>
    <row r="409" spans="1:74" s="50" customFormat="1" ht="15" hidden="1" customHeight="1">
      <c r="A409" s="109">
        <v>405</v>
      </c>
      <c r="B409" s="112" t="s">
        <v>817</v>
      </c>
      <c r="C409" s="115" t="s">
        <v>818</v>
      </c>
      <c r="D409" s="26" t="s">
        <v>21</v>
      </c>
      <c r="E409" s="109"/>
      <c r="F409" s="109"/>
      <c r="G409" s="110">
        <v>6</v>
      </c>
      <c r="H409" s="3">
        <f t="shared" si="18"/>
        <v>0</v>
      </c>
      <c r="I409" s="3">
        <f t="shared" si="19"/>
        <v>0</v>
      </c>
      <c r="J409" s="110">
        <f t="shared" si="20"/>
        <v>6</v>
      </c>
      <c r="K409" s="110"/>
      <c r="L409" s="110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/>
      <c r="AK409" s="111"/>
      <c r="AL409" s="111"/>
      <c r="AM409" s="111"/>
      <c r="AN409" s="111"/>
      <c r="AO409" s="111"/>
      <c r="AP409" s="111"/>
      <c r="AQ409" s="111"/>
      <c r="AR409" s="111"/>
      <c r="AS409" s="111"/>
      <c r="AT409" s="111"/>
      <c r="AU409" s="111"/>
      <c r="AV409" s="111"/>
      <c r="AW409" s="111"/>
      <c r="AX409" s="111"/>
      <c r="AY409" s="111"/>
      <c r="AZ409" s="111"/>
      <c r="BA409" s="111"/>
      <c r="BB409" s="111"/>
      <c r="BC409" s="111"/>
      <c r="BD409" s="111"/>
      <c r="BE409" s="111"/>
      <c r="BF409" s="111"/>
      <c r="BG409" s="111"/>
      <c r="BH409" s="111"/>
      <c r="BI409" s="111"/>
      <c r="BJ409" s="111"/>
      <c r="BK409" s="111"/>
      <c r="BL409" s="111"/>
      <c r="BM409" s="111"/>
      <c r="BN409" s="111"/>
      <c r="BO409" s="111"/>
      <c r="BP409" s="111"/>
      <c r="BQ409" s="111"/>
      <c r="BR409" s="111"/>
      <c r="BS409" s="111"/>
      <c r="BT409" s="111"/>
      <c r="BU409" s="111"/>
      <c r="BV409" s="111"/>
    </row>
    <row r="410" spans="1:74" s="50" customFormat="1" ht="15" hidden="1" customHeight="1">
      <c r="A410" s="142">
        <v>406</v>
      </c>
      <c r="B410" s="252" t="s">
        <v>819</v>
      </c>
      <c r="C410" s="253" t="s">
        <v>820</v>
      </c>
      <c r="D410" s="143" t="s">
        <v>21</v>
      </c>
      <c r="E410" s="109"/>
      <c r="F410" s="109"/>
      <c r="G410" s="110">
        <v>8</v>
      </c>
      <c r="H410" s="3">
        <f t="shared" si="18"/>
        <v>0</v>
      </c>
      <c r="I410" s="3">
        <f t="shared" si="19"/>
        <v>0</v>
      </c>
      <c r="J410" s="110">
        <f t="shared" si="20"/>
        <v>8</v>
      </c>
      <c r="K410" s="110"/>
      <c r="L410" s="110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  <c r="AR410" s="111"/>
      <c r="AS410" s="111"/>
      <c r="AT410" s="111"/>
      <c r="AU410" s="111"/>
      <c r="AV410" s="111"/>
      <c r="AW410" s="111"/>
      <c r="AX410" s="111"/>
      <c r="AY410" s="111"/>
      <c r="AZ410" s="111"/>
      <c r="BA410" s="111"/>
      <c r="BB410" s="111"/>
      <c r="BC410" s="111"/>
      <c r="BD410" s="111"/>
      <c r="BE410" s="111"/>
      <c r="BF410" s="111"/>
      <c r="BG410" s="111"/>
      <c r="BH410" s="111"/>
      <c r="BI410" s="111"/>
      <c r="BJ410" s="111"/>
      <c r="BK410" s="111"/>
      <c r="BL410" s="111"/>
      <c r="BM410" s="111"/>
      <c r="BN410" s="111"/>
      <c r="BO410" s="111"/>
      <c r="BP410" s="111"/>
      <c r="BQ410" s="111"/>
      <c r="BR410" s="111"/>
      <c r="BS410" s="111"/>
      <c r="BT410" s="111"/>
      <c r="BU410" s="111"/>
      <c r="BV410" s="111"/>
    </row>
    <row r="411" spans="1:74" s="50" customFormat="1" ht="15" hidden="1" customHeight="1">
      <c r="A411" s="109">
        <v>407</v>
      </c>
      <c r="B411" s="112" t="s">
        <v>821</v>
      </c>
      <c r="C411" s="115" t="s">
        <v>822</v>
      </c>
      <c r="D411" s="26" t="s">
        <v>21</v>
      </c>
      <c r="E411" s="109"/>
      <c r="F411" s="109"/>
      <c r="G411" s="110">
        <v>0</v>
      </c>
      <c r="H411" s="3">
        <f t="shared" si="18"/>
        <v>0</v>
      </c>
      <c r="I411" s="3">
        <f t="shared" si="19"/>
        <v>0</v>
      </c>
      <c r="J411" s="110">
        <f t="shared" si="20"/>
        <v>0</v>
      </c>
      <c r="K411" s="110"/>
      <c r="L411" s="110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  <c r="AR411" s="111"/>
      <c r="AS411" s="111"/>
      <c r="AT411" s="111"/>
      <c r="AU411" s="111"/>
      <c r="AV411" s="111"/>
      <c r="AW411" s="111"/>
      <c r="AX411" s="111"/>
      <c r="AY411" s="111"/>
      <c r="AZ411" s="111"/>
      <c r="BA411" s="111"/>
      <c r="BB411" s="111"/>
      <c r="BC411" s="111"/>
      <c r="BD411" s="111"/>
      <c r="BE411" s="111"/>
      <c r="BF411" s="111"/>
      <c r="BG411" s="111"/>
      <c r="BH411" s="111"/>
      <c r="BI411" s="111"/>
      <c r="BJ411" s="111"/>
      <c r="BK411" s="111"/>
      <c r="BL411" s="111"/>
      <c r="BM411" s="111"/>
      <c r="BN411" s="111"/>
      <c r="BO411" s="111"/>
      <c r="BP411" s="111"/>
      <c r="BQ411" s="111"/>
      <c r="BR411" s="111"/>
      <c r="BS411" s="111"/>
      <c r="BT411" s="111"/>
      <c r="BU411" s="111"/>
      <c r="BV411" s="111"/>
    </row>
    <row r="412" spans="1:74" s="50" customFormat="1" ht="15" hidden="1" customHeight="1">
      <c r="A412" s="109">
        <v>408</v>
      </c>
      <c r="B412" s="112" t="s">
        <v>823</v>
      </c>
      <c r="C412" s="115" t="s">
        <v>824</v>
      </c>
      <c r="D412" s="26" t="s">
        <v>21</v>
      </c>
      <c r="E412" s="109"/>
      <c r="F412" s="109"/>
      <c r="G412" s="110">
        <v>2</v>
      </c>
      <c r="H412" s="3">
        <f t="shared" si="18"/>
        <v>0</v>
      </c>
      <c r="I412" s="3">
        <f t="shared" si="19"/>
        <v>0</v>
      </c>
      <c r="J412" s="110">
        <f t="shared" si="20"/>
        <v>2</v>
      </c>
      <c r="K412" s="110"/>
      <c r="L412" s="110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  <c r="AR412" s="111"/>
      <c r="AS412" s="111"/>
      <c r="AT412" s="111"/>
      <c r="AU412" s="111"/>
      <c r="AV412" s="111"/>
      <c r="AW412" s="111"/>
      <c r="AX412" s="111"/>
      <c r="AY412" s="111"/>
      <c r="AZ412" s="111"/>
      <c r="BA412" s="111"/>
      <c r="BB412" s="111"/>
      <c r="BC412" s="111"/>
      <c r="BD412" s="111"/>
      <c r="BE412" s="111"/>
      <c r="BF412" s="111"/>
      <c r="BG412" s="111"/>
      <c r="BH412" s="111"/>
      <c r="BI412" s="111"/>
      <c r="BJ412" s="111"/>
      <c r="BK412" s="111"/>
      <c r="BL412" s="111"/>
      <c r="BM412" s="111"/>
      <c r="BN412" s="111"/>
      <c r="BO412" s="111"/>
      <c r="BP412" s="111"/>
      <c r="BQ412" s="111"/>
      <c r="BR412" s="111"/>
      <c r="BS412" s="111"/>
      <c r="BT412" s="111"/>
      <c r="BU412" s="111"/>
      <c r="BV412" s="111"/>
    </row>
    <row r="413" spans="1:74" s="92" customFormat="1" ht="15" hidden="1" customHeight="1">
      <c r="A413" s="109">
        <v>409</v>
      </c>
      <c r="B413" s="112" t="s">
        <v>825</v>
      </c>
      <c r="C413" s="115" t="s">
        <v>826</v>
      </c>
      <c r="D413" s="26" t="s">
        <v>21</v>
      </c>
      <c r="E413" s="109"/>
      <c r="F413" s="109"/>
      <c r="G413" s="108">
        <v>2</v>
      </c>
      <c r="H413" s="26">
        <f t="shared" si="18"/>
        <v>0</v>
      </c>
      <c r="I413" s="26">
        <f t="shared" si="19"/>
        <v>0</v>
      </c>
      <c r="J413" s="108">
        <f t="shared" si="20"/>
        <v>2</v>
      </c>
      <c r="K413" s="108"/>
      <c r="L413" s="108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09"/>
      <c r="AK413" s="109"/>
      <c r="AL413" s="109"/>
      <c r="AM413" s="109"/>
      <c r="AN413" s="109"/>
      <c r="AO413" s="109"/>
      <c r="AP413" s="109"/>
      <c r="AQ413" s="109"/>
      <c r="AR413" s="109"/>
      <c r="AS413" s="109"/>
      <c r="AT413" s="109"/>
      <c r="AU413" s="109"/>
      <c r="AV413" s="109"/>
      <c r="AW413" s="109"/>
      <c r="AX413" s="109"/>
      <c r="AY413" s="109"/>
      <c r="AZ413" s="109"/>
      <c r="BA413" s="109"/>
      <c r="BB413" s="109"/>
      <c r="BC413" s="109"/>
      <c r="BD413" s="109"/>
      <c r="BE413" s="109"/>
      <c r="BF413" s="109"/>
      <c r="BG413" s="109"/>
      <c r="BH413" s="109"/>
      <c r="BI413" s="109"/>
      <c r="BJ413" s="109"/>
      <c r="BK413" s="109"/>
      <c r="BL413" s="109"/>
      <c r="BM413" s="109"/>
      <c r="BN413" s="109"/>
      <c r="BO413" s="109"/>
      <c r="BP413" s="109"/>
      <c r="BQ413" s="109"/>
      <c r="BR413" s="109"/>
      <c r="BS413" s="109"/>
      <c r="BT413" s="109"/>
      <c r="BU413" s="109"/>
      <c r="BV413" s="109"/>
    </row>
    <row r="414" spans="1:74" s="50" customFormat="1" ht="15" hidden="1" customHeight="1">
      <c r="A414" s="142">
        <v>410</v>
      </c>
      <c r="B414" s="311" t="s">
        <v>827</v>
      </c>
      <c r="C414" s="144" t="s">
        <v>828</v>
      </c>
      <c r="D414" s="143" t="s">
        <v>21</v>
      </c>
      <c r="E414" s="109"/>
      <c r="F414" s="109"/>
      <c r="G414" s="110">
        <v>9</v>
      </c>
      <c r="H414" s="3">
        <f t="shared" si="18"/>
        <v>0</v>
      </c>
      <c r="I414" s="3">
        <f t="shared" si="19"/>
        <v>0</v>
      </c>
      <c r="J414" s="110">
        <f t="shared" si="20"/>
        <v>9</v>
      </c>
      <c r="K414" s="110"/>
      <c r="L414" s="110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  <c r="AR414" s="111"/>
      <c r="AS414" s="111"/>
      <c r="AT414" s="111"/>
      <c r="AU414" s="111"/>
      <c r="AV414" s="111"/>
      <c r="AW414" s="111"/>
      <c r="AX414" s="111"/>
      <c r="AY414" s="111"/>
      <c r="AZ414" s="111"/>
      <c r="BA414" s="111"/>
      <c r="BB414" s="111"/>
      <c r="BC414" s="111"/>
      <c r="BD414" s="111"/>
      <c r="BE414" s="111"/>
      <c r="BF414" s="111"/>
      <c r="BG414" s="111"/>
      <c r="BH414" s="111"/>
      <c r="BI414" s="111"/>
      <c r="BJ414" s="111"/>
      <c r="BK414" s="111"/>
      <c r="BL414" s="111"/>
      <c r="BM414" s="111"/>
      <c r="BN414" s="111"/>
      <c r="BO414" s="111"/>
      <c r="BP414" s="111"/>
      <c r="BQ414" s="111"/>
      <c r="BR414" s="111"/>
      <c r="BS414" s="111"/>
      <c r="BT414" s="111"/>
      <c r="BU414" s="111"/>
      <c r="BV414" s="111"/>
    </row>
    <row r="415" spans="1:74" s="50" customFormat="1" ht="15" hidden="1" customHeight="1">
      <c r="A415" s="142">
        <v>411</v>
      </c>
      <c r="B415" s="252" t="s">
        <v>829</v>
      </c>
      <c r="C415" s="253" t="s">
        <v>830</v>
      </c>
      <c r="D415" s="143" t="s">
        <v>21</v>
      </c>
      <c r="E415" s="109"/>
      <c r="F415" s="109"/>
      <c r="G415" s="110">
        <v>8</v>
      </c>
      <c r="H415" s="3">
        <f t="shared" si="18"/>
        <v>0</v>
      </c>
      <c r="I415" s="3">
        <f t="shared" si="19"/>
        <v>0</v>
      </c>
      <c r="J415" s="110">
        <f t="shared" si="20"/>
        <v>8</v>
      </c>
      <c r="K415" s="110"/>
      <c r="L415" s="110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  <c r="AR415" s="111"/>
      <c r="AS415" s="111"/>
      <c r="AT415" s="111"/>
      <c r="AU415" s="111"/>
      <c r="AV415" s="111"/>
      <c r="AW415" s="111"/>
      <c r="AX415" s="111"/>
      <c r="AY415" s="111"/>
      <c r="AZ415" s="111"/>
      <c r="BA415" s="111"/>
      <c r="BB415" s="111"/>
      <c r="BC415" s="111"/>
      <c r="BD415" s="111"/>
      <c r="BE415" s="111"/>
      <c r="BF415" s="111"/>
      <c r="BG415" s="111"/>
      <c r="BH415" s="111"/>
      <c r="BI415" s="111"/>
      <c r="BJ415" s="111"/>
      <c r="BK415" s="111"/>
      <c r="BL415" s="111"/>
      <c r="BM415" s="111"/>
      <c r="BN415" s="111"/>
      <c r="BO415" s="111"/>
      <c r="BP415" s="111"/>
      <c r="BQ415" s="111"/>
      <c r="BR415" s="111"/>
      <c r="BS415" s="111"/>
      <c r="BT415" s="111"/>
      <c r="BU415" s="111"/>
      <c r="BV415" s="111"/>
    </row>
    <row r="416" spans="1:74" s="50" customFormat="1" ht="15" hidden="1" customHeight="1">
      <c r="A416" s="109">
        <v>412</v>
      </c>
      <c r="B416" s="112" t="s">
        <v>831</v>
      </c>
      <c r="C416" s="115" t="s">
        <v>832</v>
      </c>
      <c r="D416" s="26" t="s">
        <v>21</v>
      </c>
      <c r="E416" s="109"/>
      <c r="F416" s="109"/>
      <c r="G416" s="110">
        <v>0</v>
      </c>
      <c r="H416" s="3">
        <f t="shared" si="18"/>
        <v>0</v>
      </c>
      <c r="I416" s="3">
        <f t="shared" si="19"/>
        <v>0</v>
      </c>
      <c r="J416" s="110">
        <f t="shared" si="20"/>
        <v>0</v>
      </c>
      <c r="K416" s="110"/>
      <c r="L416" s="110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  <c r="AR416" s="111"/>
      <c r="AS416" s="111"/>
      <c r="AT416" s="111"/>
      <c r="AU416" s="111"/>
      <c r="AV416" s="111"/>
      <c r="AW416" s="111"/>
      <c r="AX416" s="111"/>
      <c r="AY416" s="111"/>
      <c r="AZ416" s="111"/>
      <c r="BA416" s="111"/>
      <c r="BB416" s="111"/>
      <c r="BC416" s="111"/>
      <c r="BD416" s="111"/>
      <c r="BE416" s="111"/>
      <c r="BF416" s="111"/>
      <c r="BG416" s="111"/>
      <c r="BH416" s="111"/>
      <c r="BI416" s="111"/>
      <c r="BJ416" s="111"/>
      <c r="BK416" s="111"/>
      <c r="BL416" s="111"/>
      <c r="BM416" s="111"/>
      <c r="BN416" s="111"/>
      <c r="BO416" s="111"/>
      <c r="BP416" s="111"/>
      <c r="BQ416" s="111"/>
      <c r="BR416" s="111"/>
      <c r="BS416" s="111"/>
      <c r="BT416" s="111"/>
      <c r="BU416" s="111"/>
      <c r="BV416" s="111"/>
    </row>
    <row r="417" spans="1:74" s="50" customFormat="1" ht="15" hidden="1" customHeight="1">
      <c r="A417" s="109">
        <v>413</v>
      </c>
      <c r="B417" s="116" t="s">
        <v>833</v>
      </c>
      <c r="C417" s="115" t="s">
        <v>834</v>
      </c>
      <c r="D417" s="26" t="s">
        <v>21</v>
      </c>
      <c r="E417" s="109"/>
      <c r="F417" s="109"/>
      <c r="G417" s="110">
        <v>1</v>
      </c>
      <c r="H417" s="3">
        <f t="shared" si="18"/>
        <v>0</v>
      </c>
      <c r="I417" s="3">
        <f t="shared" si="19"/>
        <v>0</v>
      </c>
      <c r="J417" s="110">
        <f t="shared" si="20"/>
        <v>1</v>
      </c>
      <c r="K417" s="110"/>
      <c r="L417" s="110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11"/>
      <c r="AV417" s="111"/>
      <c r="AW417" s="111"/>
      <c r="AX417" s="111"/>
      <c r="AY417" s="111"/>
      <c r="AZ417" s="111"/>
      <c r="BA417" s="111"/>
      <c r="BB417" s="111"/>
      <c r="BC417" s="111"/>
      <c r="BD417" s="111"/>
      <c r="BE417" s="111"/>
      <c r="BF417" s="111"/>
      <c r="BG417" s="111"/>
      <c r="BH417" s="111"/>
      <c r="BI417" s="111"/>
      <c r="BJ417" s="111"/>
      <c r="BK417" s="111"/>
      <c r="BL417" s="111"/>
      <c r="BM417" s="111"/>
      <c r="BN417" s="111"/>
      <c r="BO417" s="111"/>
      <c r="BP417" s="111"/>
      <c r="BQ417" s="111"/>
      <c r="BR417" s="111"/>
      <c r="BS417" s="111"/>
      <c r="BT417" s="111"/>
      <c r="BU417" s="111"/>
      <c r="BV417" s="111"/>
    </row>
    <row r="418" spans="1:74" s="50" customFormat="1" ht="15" hidden="1" customHeight="1">
      <c r="A418" s="109">
        <v>414</v>
      </c>
      <c r="B418" s="112" t="s">
        <v>835</v>
      </c>
      <c r="C418" s="115" t="s">
        <v>836</v>
      </c>
      <c r="D418" s="26" t="s">
        <v>14</v>
      </c>
      <c r="E418" s="109"/>
      <c r="F418" s="109"/>
      <c r="G418" s="110">
        <v>9</v>
      </c>
      <c r="H418" s="3">
        <f t="shared" si="18"/>
        <v>0</v>
      </c>
      <c r="I418" s="3">
        <f t="shared" si="19"/>
        <v>0</v>
      </c>
      <c r="J418" s="110">
        <f t="shared" si="20"/>
        <v>9</v>
      </c>
      <c r="K418" s="110"/>
      <c r="L418" s="110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  <c r="BC418" s="111"/>
      <c r="BD418" s="111"/>
      <c r="BE418" s="111"/>
      <c r="BF418" s="111"/>
      <c r="BG418" s="111"/>
      <c r="BH418" s="111"/>
      <c r="BI418" s="111"/>
      <c r="BJ418" s="111"/>
      <c r="BK418" s="111"/>
      <c r="BL418" s="111"/>
      <c r="BM418" s="111"/>
      <c r="BN418" s="111"/>
      <c r="BO418" s="111"/>
      <c r="BP418" s="111"/>
      <c r="BQ418" s="111"/>
      <c r="BR418" s="111"/>
      <c r="BS418" s="111"/>
      <c r="BT418" s="111"/>
      <c r="BU418" s="111"/>
      <c r="BV418" s="111"/>
    </row>
    <row r="419" spans="1:74" s="50" customFormat="1" ht="30" hidden="1" customHeight="1">
      <c r="A419" s="142">
        <v>415</v>
      </c>
      <c r="B419" s="292" t="s">
        <v>837</v>
      </c>
      <c r="C419" s="296" t="s">
        <v>838</v>
      </c>
      <c r="D419" s="143" t="s">
        <v>21</v>
      </c>
      <c r="E419" s="109"/>
      <c r="F419" s="109"/>
      <c r="G419" s="110">
        <v>2</v>
      </c>
      <c r="H419" s="3">
        <f t="shared" si="18"/>
        <v>0</v>
      </c>
      <c r="I419" s="3">
        <f t="shared" si="19"/>
        <v>0</v>
      </c>
      <c r="J419" s="110">
        <f t="shared" si="20"/>
        <v>2</v>
      </c>
      <c r="K419" s="110"/>
      <c r="L419" s="110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  <c r="AR419" s="111"/>
      <c r="AS419" s="111"/>
      <c r="AT419" s="111"/>
      <c r="AU419" s="111"/>
      <c r="AV419" s="111"/>
      <c r="AW419" s="111"/>
      <c r="AX419" s="111"/>
      <c r="AY419" s="111"/>
      <c r="AZ419" s="111"/>
      <c r="BA419" s="111"/>
      <c r="BB419" s="111"/>
      <c r="BC419" s="111"/>
      <c r="BD419" s="111"/>
      <c r="BE419" s="111"/>
      <c r="BF419" s="111"/>
      <c r="BG419" s="111"/>
      <c r="BH419" s="111"/>
      <c r="BI419" s="111"/>
      <c r="BJ419" s="111"/>
      <c r="BK419" s="111"/>
      <c r="BL419" s="111"/>
      <c r="BM419" s="111"/>
      <c r="BN419" s="111"/>
      <c r="BO419" s="111"/>
      <c r="BP419" s="111"/>
      <c r="BQ419" s="111"/>
      <c r="BR419" s="111"/>
      <c r="BS419" s="111"/>
      <c r="BT419" s="111"/>
      <c r="BU419" s="111"/>
      <c r="BV419" s="111"/>
    </row>
    <row r="420" spans="1:74" s="50" customFormat="1" ht="15" hidden="1" customHeight="1">
      <c r="A420" s="109">
        <v>416</v>
      </c>
      <c r="B420" s="112" t="s">
        <v>839</v>
      </c>
      <c r="C420" s="115" t="s">
        <v>840</v>
      </c>
      <c r="D420" s="26" t="s">
        <v>21</v>
      </c>
      <c r="E420" s="109"/>
      <c r="F420" s="109"/>
      <c r="G420" s="108">
        <v>0</v>
      </c>
      <c r="H420" s="26">
        <f t="shared" si="18"/>
        <v>0</v>
      </c>
      <c r="I420" s="26">
        <f t="shared" si="19"/>
        <v>0</v>
      </c>
      <c r="J420" s="108">
        <f t="shared" si="20"/>
        <v>0</v>
      </c>
      <c r="K420" s="108"/>
      <c r="L420" s="108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  <c r="AR420" s="111"/>
      <c r="AS420" s="111"/>
      <c r="AT420" s="111"/>
      <c r="AU420" s="111"/>
      <c r="AV420" s="111"/>
      <c r="AW420" s="111"/>
      <c r="AX420" s="111"/>
      <c r="AY420" s="111"/>
      <c r="AZ420" s="111"/>
      <c r="BA420" s="111"/>
      <c r="BB420" s="111"/>
      <c r="BC420" s="111"/>
      <c r="BD420" s="111"/>
      <c r="BE420" s="111"/>
      <c r="BF420" s="111"/>
      <c r="BG420" s="111"/>
      <c r="BH420" s="111"/>
      <c r="BI420" s="111"/>
      <c r="BJ420" s="111"/>
      <c r="BK420" s="111"/>
      <c r="BL420" s="111"/>
      <c r="BM420" s="111"/>
      <c r="BN420" s="111"/>
      <c r="BO420" s="111"/>
      <c r="BP420" s="111"/>
      <c r="BQ420" s="111"/>
      <c r="BR420" s="111"/>
      <c r="BS420" s="111"/>
      <c r="BT420" s="111"/>
      <c r="BU420" s="111"/>
      <c r="BV420" s="111"/>
    </row>
    <row r="421" spans="1:74" s="50" customFormat="1" ht="15" hidden="1" customHeight="1">
      <c r="A421" s="109">
        <v>417</v>
      </c>
      <c r="B421" s="26" t="s">
        <v>841</v>
      </c>
      <c r="C421" s="27" t="s">
        <v>842</v>
      </c>
      <c r="D421" s="26" t="s">
        <v>21</v>
      </c>
      <c r="E421" s="109"/>
      <c r="F421" s="109"/>
      <c r="G421" s="110">
        <v>0</v>
      </c>
      <c r="H421" s="3">
        <f t="shared" si="18"/>
        <v>0</v>
      </c>
      <c r="I421" s="3">
        <f t="shared" si="19"/>
        <v>0</v>
      </c>
      <c r="J421" s="110">
        <f t="shared" si="20"/>
        <v>0</v>
      </c>
      <c r="K421" s="110"/>
      <c r="L421" s="110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  <c r="AR421" s="111"/>
      <c r="AS421" s="111"/>
      <c r="AT421" s="111"/>
      <c r="AU421" s="111"/>
      <c r="AV421" s="111"/>
      <c r="AW421" s="111"/>
      <c r="AX421" s="111"/>
      <c r="AY421" s="111"/>
      <c r="AZ421" s="111"/>
      <c r="BA421" s="111"/>
      <c r="BB421" s="111"/>
      <c r="BC421" s="111"/>
      <c r="BD421" s="111"/>
      <c r="BE421" s="111"/>
      <c r="BF421" s="111"/>
      <c r="BG421" s="111"/>
      <c r="BH421" s="111"/>
      <c r="BI421" s="111"/>
      <c r="BJ421" s="111"/>
      <c r="BK421" s="111"/>
      <c r="BL421" s="111"/>
      <c r="BM421" s="111"/>
      <c r="BN421" s="111"/>
      <c r="BO421" s="111"/>
      <c r="BP421" s="111"/>
      <c r="BQ421" s="111"/>
      <c r="BR421" s="111"/>
      <c r="BS421" s="111"/>
      <c r="BT421" s="111"/>
      <c r="BU421" s="111"/>
      <c r="BV421" s="111"/>
    </row>
    <row r="422" spans="1:74" s="50" customFormat="1" ht="15" hidden="1" customHeight="1">
      <c r="A422" s="142">
        <v>418</v>
      </c>
      <c r="B422" s="252" t="s">
        <v>843</v>
      </c>
      <c r="C422" s="144" t="s">
        <v>844</v>
      </c>
      <c r="D422" s="143" t="s">
        <v>21</v>
      </c>
      <c r="E422" s="109"/>
      <c r="F422" s="109"/>
      <c r="G422" s="108">
        <v>539</v>
      </c>
      <c r="H422" s="26">
        <f t="shared" si="18"/>
        <v>0</v>
      </c>
      <c r="I422" s="26">
        <f t="shared" si="19"/>
        <v>0</v>
      </c>
      <c r="J422" s="108">
        <f t="shared" si="20"/>
        <v>539</v>
      </c>
      <c r="K422" s="108"/>
      <c r="L422" s="108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  <c r="AR422" s="111"/>
      <c r="AS422" s="111"/>
      <c r="AT422" s="111"/>
      <c r="AU422" s="111"/>
      <c r="AV422" s="111"/>
      <c r="AW422" s="111"/>
      <c r="AX422" s="111"/>
      <c r="AY422" s="111"/>
      <c r="AZ422" s="111"/>
      <c r="BA422" s="111"/>
      <c r="BB422" s="111"/>
      <c r="BC422" s="111"/>
      <c r="BD422" s="111"/>
      <c r="BE422" s="111"/>
      <c r="BF422" s="111"/>
      <c r="BG422" s="111"/>
      <c r="BH422" s="111"/>
      <c r="BI422" s="111"/>
      <c r="BJ422" s="111"/>
      <c r="BK422" s="111"/>
      <c r="BL422" s="111"/>
      <c r="BM422" s="111"/>
      <c r="BN422" s="111"/>
      <c r="BO422" s="111"/>
      <c r="BP422" s="111"/>
      <c r="BQ422" s="111"/>
      <c r="BR422" s="111"/>
      <c r="BS422" s="111"/>
      <c r="BT422" s="111"/>
      <c r="BU422" s="111"/>
      <c r="BV422" s="111"/>
    </row>
    <row r="423" spans="1:74" s="50" customFormat="1" ht="15" hidden="1" customHeight="1">
      <c r="A423" s="142">
        <v>419</v>
      </c>
      <c r="B423" s="143" t="s">
        <v>845</v>
      </c>
      <c r="C423" s="144" t="s">
        <v>846</v>
      </c>
      <c r="D423" s="143" t="s">
        <v>21</v>
      </c>
      <c r="E423" s="109"/>
      <c r="F423" s="109"/>
      <c r="G423" s="110">
        <v>72</v>
      </c>
      <c r="H423" s="3">
        <f t="shared" si="18"/>
        <v>0</v>
      </c>
      <c r="I423" s="3">
        <f t="shared" si="19"/>
        <v>0</v>
      </c>
      <c r="J423" s="110">
        <f t="shared" si="20"/>
        <v>72</v>
      </c>
      <c r="K423" s="110"/>
      <c r="L423" s="110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11"/>
      <c r="AV423" s="111"/>
      <c r="AW423" s="111"/>
      <c r="AX423" s="111"/>
      <c r="AY423" s="111"/>
      <c r="AZ423" s="111"/>
      <c r="BA423" s="111"/>
      <c r="BB423" s="111"/>
      <c r="BC423" s="111"/>
      <c r="BD423" s="111"/>
      <c r="BE423" s="111"/>
      <c r="BF423" s="111"/>
      <c r="BG423" s="111"/>
      <c r="BH423" s="111"/>
      <c r="BI423" s="111"/>
      <c r="BJ423" s="111"/>
      <c r="BK423" s="111"/>
      <c r="BL423" s="111"/>
      <c r="BM423" s="111"/>
      <c r="BN423" s="111"/>
      <c r="BO423" s="111"/>
      <c r="BP423" s="111"/>
      <c r="BQ423" s="111"/>
      <c r="BR423" s="111"/>
      <c r="BS423" s="111"/>
      <c r="BT423" s="111"/>
      <c r="BU423" s="111"/>
      <c r="BV423" s="111"/>
    </row>
    <row r="424" spans="1:74" s="50" customFormat="1" ht="15" hidden="1" customHeight="1">
      <c r="A424" s="142">
        <v>420</v>
      </c>
      <c r="B424" s="143" t="s">
        <v>847</v>
      </c>
      <c r="C424" s="144" t="s">
        <v>848</v>
      </c>
      <c r="D424" s="143" t="s">
        <v>21</v>
      </c>
      <c r="E424" s="109"/>
      <c r="F424" s="109"/>
      <c r="G424" s="110">
        <v>0</v>
      </c>
      <c r="H424" s="3">
        <f t="shared" si="18"/>
        <v>0</v>
      </c>
      <c r="I424" s="3">
        <f t="shared" si="19"/>
        <v>0</v>
      </c>
      <c r="J424" s="110">
        <f t="shared" si="20"/>
        <v>0</v>
      </c>
      <c r="K424" s="110"/>
      <c r="L424" s="110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11"/>
      <c r="AV424" s="111"/>
      <c r="AW424" s="111"/>
      <c r="AX424" s="111"/>
      <c r="AY424" s="111"/>
      <c r="AZ424" s="111"/>
      <c r="BA424" s="111"/>
      <c r="BB424" s="111"/>
      <c r="BC424" s="111"/>
      <c r="BD424" s="111"/>
      <c r="BE424" s="111"/>
      <c r="BF424" s="111"/>
      <c r="BG424" s="111"/>
      <c r="BH424" s="111"/>
      <c r="BI424" s="111"/>
      <c r="BJ424" s="111"/>
      <c r="BK424" s="111"/>
      <c r="BL424" s="111"/>
      <c r="BM424" s="111"/>
      <c r="BN424" s="111"/>
      <c r="BO424" s="111"/>
      <c r="BP424" s="111"/>
      <c r="BQ424" s="111"/>
      <c r="BR424" s="111"/>
      <c r="BS424" s="111"/>
      <c r="BT424" s="111"/>
      <c r="BU424" s="111"/>
      <c r="BV424" s="111"/>
    </row>
    <row r="425" spans="1:74" s="92" customFormat="1" ht="15" hidden="1" customHeight="1">
      <c r="A425" s="142">
        <v>421</v>
      </c>
      <c r="B425" s="143" t="s">
        <v>849</v>
      </c>
      <c r="C425" s="144" t="s">
        <v>850</v>
      </c>
      <c r="D425" s="143" t="s">
        <v>21</v>
      </c>
      <c r="E425" s="109"/>
      <c r="F425" s="109"/>
      <c r="G425" s="108">
        <v>0</v>
      </c>
      <c r="H425" s="26">
        <f t="shared" si="18"/>
        <v>150</v>
      </c>
      <c r="I425" s="26">
        <f t="shared" si="19"/>
        <v>135</v>
      </c>
      <c r="J425" s="108">
        <f t="shared" si="20"/>
        <v>15</v>
      </c>
      <c r="K425" s="108"/>
      <c r="L425" s="108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>
        <v>150</v>
      </c>
      <c r="AF425" s="109">
        <v>43</v>
      </c>
      <c r="AG425" s="109"/>
      <c r="AH425" s="109">
        <v>6</v>
      </c>
      <c r="AI425" s="109"/>
      <c r="AJ425" s="109"/>
      <c r="AK425" s="109"/>
      <c r="AL425" s="109">
        <f>31+9</f>
        <v>40</v>
      </c>
      <c r="AM425" s="109"/>
      <c r="AN425" s="109">
        <v>46</v>
      </c>
      <c r="AO425" s="109"/>
      <c r="AP425" s="109"/>
      <c r="AQ425" s="109"/>
      <c r="AR425" s="109"/>
      <c r="AS425" s="109"/>
      <c r="AT425" s="109"/>
      <c r="AU425" s="109"/>
      <c r="AV425" s="109"/>
      <c r="AW425" s="109"/>
      <c r="AX425" s="109"/>
      <c r="AY425" s="109"/>
      <c r="AZ425" s="109"/>
      <c r="BA425" s="109"/>
      <c r="BB425" s="109"/>
      <c r="BC425" s="109"/>
      <c r="BD425" s="109"/>
      <c r="BE425" s="109"/>
      <c r="BF425" s="109"/>
      <c r="BG425" s="109"/>
      <c r="BH425" s="109"/>
      <c r="BI425" s="109"/>
      <c r="BJ425" s="109"/>
      <c r="BK425" s="109"/>
      <c r="BL425" s="109"/>
      <c r="BM425" s="109"/>
      <c r="BN425" s="109"/>
      <c r="BO425" s="109"/>
      <c r="BP425" s="109"/>
      <c r="BQ425" s="109"/>
      <c r="BR425" s="109"/>
      <c r="BS425" s="109"/>
      <c r="BT425" s="109"/>
      <c r="BU425" s="109"/>
      <c r="BV425" s="109"/>
    </row>
    <row r="426" spans="1:74" s="92" customFormat="1" ht="15" hidden="1" customHeight="1">
      <c r="A426" s="109">
        <v>422</v>
      </c>
      <c r="B426" s="109" t="s">
        <v>851</v>
      </c>
      <c r="C426" s="114" t="s">
        <v>852</v>
      </c>
      <c r="D426" s="26" t="s">
        <v>21</v>
      </c>
      <c r="E426" s="109"/>
      <c r="F426" s="109"/>
      <c r="G426" s="108">
        <v>50</v>
      </c>
      <c r="H426" s="109">
        <f t="shared" si="18"/>
        <v>0</v>
      </c>
      <c r="I426" s="109">
        <f t="shared" si="19"/>
        <v>0</v>
      </c>
      <c r="J426" s="108">
        <f t="shared" si="20"/>
        <v>50</v>
      </c>
      <c r="K426" s="108"/>
      <c r="L426" s="108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09"/>
      <c r="AK426" s="109"/>
      <c r="AL426" s="109"/>
      <c r="AM426" s="109"/>
      <c r="AN426" s="109"/>
      <c r="AO426" s="109"/>
      <c r="AP426" s="109"/>
      <c r="AQ426" s="109"/>
      <c r="AR426" s="109"/>
      <c r="AS426" s="109"/>
      <c r="AT426" s="109"/>
      <c r="AU426" s="109"/>
      <c r="AV426" s="109"/>
      <c r="AW426" s="109"/>
      <c r="AX426" s="109"/>
      <c r="AY426" s="109"/>
      <c r="AZ426" s="109"/>
      <c r="BA426" s="109"/>
      <c r="BB426" s="109"/>
      <c r="BC426" s="109"/>
      <c r="BD426" s="109"/>
      <c r="BE426" s="109"/>
      <c r="BF426" s="109"/>
      <c r="BG426" s="109"/>
      <c r="BH426" s="109"/>
      <c r="BI426" s="109"/>
      <c r="BJ426" s="109"/>
      <c r="BK426" s="109"/>
      <c r="BL426" s="109"/>
      <c r="BM426" s="109"/>
      <c r="BN426" s="109"/>
      <c r="BO426" s="109"/>
      <c r="BP426" s="109"/>
      <c r="BQ426" s="109"/>
      <c r="BR426" s="109"/>
      <c r="BS426" s="109"/>
      <c r="BT426" s="109"/>
      <c r="BU426" s="109"/>
      <c r="BV426" s="109"/>
    </row>
    <row r="427" spans="1:74" s="50" customFormat="1" ht="15" hidden="1" customHeight="1">
      <c r="A427" s="109">
        <v>423</v>
      </c>
      <c r="B427" s="26" t="s">
        <v>853</v>
      </c>
      <c r="C427" s="27" t="s">
        <v>854</v>
      </c>
      <c r="D427" s="26" t="s">
        <v>21</v>
      </c>
      <c r="E427" s="109"/>
      <c r="F427" s="109"/>
      <c r="G427" s="110">
        <v>65</v>
      </c>
      <c r="H427" s="3">
        <f t="shared" si="18"/>
        <v>0</v>
      </c>
      <c r="I427" s="3">
        <f t="shared" si="19"/>
        <v>0</v>
      </c>
      <c r="J427" s="110">
        <f t="shared" si="20"/>
        <v>65</v>
      </c>
      <c r="K427" s="110"/>
      <c r="L427" s="110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111"/>
      <c r="BG427" s="111"/>
      <c r="BH427" s="111"/>
      <c r="BI427" s="111"/>
      <c r="BJ427" s="111"/>
      <c r="BK427" s="111"/>
      <c r="BL427" s="111"/>
      <c r="BM427" s="111"/>
      <c r="BN427" s="111"/>
      <c r="BO427" s="111"/>
      <c r="BP427" s="111"/>
      <c r="BQ427" s="111"/>
      <c r="BR427" s="111"/>
      <c r="BS427" s="111"/>
      <c r="BT427" s="111"/>
      <c r="BU427" s="111"/>
      <c r="BV427" s="111"/>
    </row>
    <row r="428" spans="1:74" s="50" customFormat="1" ht="15" hidden="1" customHeight="1">
      <c r="A428" s="142">
        <v>424</v>
      </c>
      <c r="B428" s="143" t="s">
        <v>855</v>
      </c>
      <c r="C428" s="144" t="s">
        <v>856</v>
      </c>
      <c r="D428" s="143" t="s">
        <v>21</v>
      </c>
      <c r="E428" s="109"/>
      <c r="F428" s="109"/>
      <c r="G428" s="110">
        <v>8</v>
      </c>
      <c r="H428" s="3">
        <f t="shared" si="18"/>
        <v>0</v>
      </c>
      <c r="I428" s="3">
        <f t="shared" si="19"/>
        <v>0</v>
      </c>
      <c r="J428" s="110">
        <f t="shared" si="20"/>
        <v>8</v>
      </c>
      <c r="K428" s="110"/>
      <c r="L428" s="110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  <c r="AR428" s="111"/>
      <c r="AS428" s="111"/>
      <c r="AT428" s="111"/>
      <c r="AU428" s="111"/>
      <c r="AV428" s="111"/>
      <c r="AW428" s="111"/>
      <c r="AX428" s="111"/>
      <c r="AY428" s="111"/>
      <c r="AZ428" s="111"/>
      <c r="BA428" s="111"/>
      <c r="BB428" s="111"/>
      <c r="BC428" s="111"/>
      <c r="BD428" s="111"/>
      <c r="BE428" s="111"/>
      <c r="BF428" s="111"/>
      <c r="BG428" s="111"/>
      <c r="BH428" s="111"/>
      <c r="BI428" s="111"/>
      <c r="BJ428" s="111"/>
      <c r="BK428" s="111"/>
      <c r="BL428" s="111"/>
      <c r="BM428" s="111"/>
      <c r="BN428" s="111"/>
      <c r="BO428" s="111"/>
      <c r="BP428" s="111"/>
      <c r="BQ428" s="111"/>
      <c r="BR428" s="111"/>
      <c r="BS428" s="111"/>
      <c r="BT428" s="111"/>
      <c r="BU428" s="111"/>
      <c r="BV428" s="111"/>
    </row>
    <row r="429" spans="1:74" s="50" customFormat="1" ht="15" hidden="1" customHeight="1">
      <c r="A429" s="142">
        <v>425</v>
      </c>
      <c r="B429" s="143" t="s">
        <v>857</v>
      </c>
      <c r="C429" s="144" t="s">
        <v>858</v>
      </c>
      <c r="D429" s="143" t="s">
        <v>21</v>
      </c>
      <c r="E429" s="109"/>
      <c r="F429" s="109"/>
      <c r="G429" s="110">
        <v>43</v>
      </c>
      <c r="H429" s="3">
        <f t="shared" si="18"/>
        <v>0</v>
      </c>
      <c r="I429" s="3">
        <f t="shared" si="19"/>
        <v>0</v>
      </c>
      <c r="J429" s="110">
        <f t="shared" si="20"/>
        <v>43</v>
      </c>
      <c r="K429" s="110"/>
      <c r="L429" s="110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  <c r="AR429" s="111"/>
      <c r="AS429" s="111"/>
      <c r="AT429" s="111"/>
      <c r="AU429" s="111"/>
      <c r="AV429" s="111"/>
      <c r="AW429" s="111"/>
      <c r="AX429" s="111"/>
      <c r="AY429" s="111"/>
      <c r="AZ429" s="111"/>
      <c r="BA429" s="111"/>
      <c r="BB429" s="111"/>
      <c r="BC429" s="111"/>
      <c r="BD429" s="111"/>
      <c r="BE429" s="111"/>
      <c r="BF429" s="111"/>
      <c r="BG429" s="111"/>
      <c r="BH429" s="111"/>
      <c r="BI429" s="111"/>
      <c r="BJ429" s="111"/>
      <c r="BK429" s="111"/>
      <c r="BL429" s="111"/>
      <c r="BM429" s="111"/>
      <c r="BN429" s="111"/>
      <c r="BO429" s="111"/>
      <c r="BP429" s="111"/>
      <c r="BQ429" s="111"/>
      <c r="BR429" s="111"/>
      <c r="BS429" s="111"/>
      <c r="BT429" s="111"/>
      <c r="BU429" s="111"/>
      <c r="BV429" s="111"/>
    </row>
    <row r="430" spans="1:74" s="50" customFormat="1" ht="15" hidden="1" customHeight="1">
      <c r="A430" s="142">
        <v>426</v>
      </c>
      <c r="B430" s="143" t="s">
        <v>859</v>
      </c>
      <c r="C430" s="144" t="s">
        <v>860</v>
      </c>
      <c r="D430" s="143" t="s">
        <v>21</v>
      </c>
      <c r="E430" s="109"/>
      <c r="F430" s="109"/>
      <c r="G430" s="110">
        <v>121</v>
      </c>
      <c r="H430" s="3">
        <f t="shared" si="18"/>
        <v>0</v>
      </c>
      <c r="I430" s="3">
        <f t="shared" si="19"/>
        <v>0</v>
      </c>
      <c r="J430" s="110">
        <f t="shared" si="20"/>
        <v>121</v>
      </c>
      <c r="K430" s="110"/>
      <c r="L430" s="110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  <c r="AR430" s="111"/>
      <c r="AS430" s="111"/>
      <c r="AT430" s="111"/>
      <c r="AU430" s="111"/>
      <c r="AV430" s="111"/>
      <c r="AW430" s="111"/>
      <c r="AX430" s="111"/>
      <c r="AY430" s="111"/>
      <c r="AZ430" s="111"/>
      <c r="BA430" s="111"/>
      <c r="BB430" s="111"/>
      <c r="BC430" s="111"/>
      <c r="BD430" s="111"/>
      <c r="BE430" s="111"/>
      <c r="BF430" s="111"/>
      <c r="BG430" s="111"/>
      <c r="BH430" s="111"/>
      <c r="BI430" s="111"/>
      <c r="BJ430" s="111"/>
      <c r="BK430" s="111"/>
      <c r="BL430" s="111"/>
      <c r="BM430" s="111"/>
      <c r="BN430" s="111"/>
      <c r="BO430" s="111"/>
      <c r="BP430" s="111"/>
      <c r="BQ430" s="111"/>
      <c r="BR430" s="111"/>
      <c r="BS430" s="111"/>
      <c r="BT430" s="111"/>
      <c r="BU430" s="111"/>
      <c r="BV430" s="111"/>
    </row>
    <row r="431" spans="1:74" s="50" customFormat="1" ht="15" hidden="1" customHeight="1">
      <c r="A431" s="142">
        <v>427</v>
      </c>
      <c r="B431" s="143" t="s">
        <v>861</v>
      </c>
      <c r="C431" s="144" t="s">
        <v>862</v>
      </c>
      <c r="D431" s="143" t="s">
        <v>21</v>
      </c>
      <c r="E431" s="109"/>
      <c r="F431" s="109"/>
      <c r="G431" s="110">
        <v>0</v>
      </c>
      <c r="H431" s="3">
        <f t="shared" si="18"/>
        <v>0</v>
      </c>
      <c r="I431" s="3">
        <f t="shared" si="19"/>
        <v>0</v>
      </c>
      <c r="J431" s="110">
        <f t="shared" si="20"/>
        <v>0</v>
      </c>
      <c r="K431" s="110"/>
      <c r="L431" s="110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  <c r="AR431" s="111"/>
      <c r="AS431" s="111"/>
      <c r="AT431" s="111"/>
      <c r="AU431" s="111"/>
      <c r="AV431" s="111"/>
      <c r="AW431" s="111"/>
      <c r="AX431" s="111"/>
      <c r="AY431" s="111"/>
      <c r="AZ431" s="111"/>
      <c r="BA431" s="111"/>
      <c r="BB431" s="111"/>
      <c r="BC431" s="111"/>
      <c r="BD431" s="111"/>
      <c r="BE431" s="111"/>
      <c r="BF431" s="111"/>
      <c r="BG431" s="111"/>
      <c r="BH431" s="111"/>
      <c r="BI431" s="111"/>
      <c r="BJ431" s="111"/>
      <c r="BK431" s="111"/>
      <c r="BL431" s="111"/>
      <c r="BM431" s="111"/>
      <c r="BN431" s="111"/>
      <c r="BO431" s="111"/>
      <c r="BP431" s="111"/>
      <c r="BQ431" s="111"/>
      <c r="BR431" s="111"/>
      <c r="BS431" s="111"/>
      <c r="BT431" s="111"/>
      <c r="BU431" s="111"/>
      <c r="BV431" s="111"/>
    </row>
    <row r="432" spans="1:74" s="50" customFormat="1" ht="15" hidden="1" customHeight="1">
      <c r="A432" s="142">
        <v>428</v>
      </c>
      <c r="B432" s="143" t="s">
        <v>863</v>
      </c>
      <c r="C432" s="144" t="s">
        <v>864</v>
      </c>
      <c r="D432" s="143" t="s">
        <v>21</v>
      </c>
      <c r="E432" s="109"/>
      <c r="F432" s="109"/>
      <c r="G432" s="110">
        <v>11</v>
      </c>
      <c r="H432" s="3">
        <f t="shared" si="18"/>
        <v>0</v>
      </c>
      <c r="I432" s="3">
        <f t="shared" si="19"/>
        <v>0</v>
      </c>
      <c r="J432" s="110">
        <f t="shared" si="20"/>
        <v>11</v>
      </c>
      <c r="K432" s="110"/>
      <c r="L432" s="110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11"/>
      <c r="AV432" s="111"/>
      <c r="AW432" s="111"/>
      <c r="AX432" s="111"/>
      <c r="AY432" s="111"/>
      <c r="AZ432" s="111"/>
      <c r="BA432" s="111"/>
      <c r="BB432" s="111"/>
      <c r="BC432" s="111"/>
      <c r="BD432" s="111"/>
      <c r="BE432" s="111"/>
      <c r="BF432" s="111"/>
      <c r="BG432" s="111"/>
      <c r="BH432" s="111"/>
      <c r="BI432" s="111"/>
      <c r="BJ432" s="111"/>
      <c r="BK432" s="111"/>
      <c r="BL432" s="111"/>
      <c r="BM432" s="111"/>
      <c r="BN432" s="111"/>
      <c r="BO432" s="111"/>
      <c r="BP432" s="111"/>
      <c r="BQ432" s="111"/>
      <c r="BR432" s="111"/>
      <c r="BS432" s="111"/>
      <c r="BT432" s="111"/>
      <c r="BU432" s="111"/>
      <c r="BV432" s="111"/>
    </row>
    <row r="433" spans="1:74" s="50" customFormat="1" ht="15" hidden="1" customHeight="1">
      <c r="A433" s="142">
        <v>429</v>
      </c>
      <c r="B433" s="143" t="s">
        <v>865</v>
      </c>
      <c r="C433" s="144" t="s">
        <v>866</v>
      </c>
      <c r="D433" s="143" t="s">
        <v>21</v>
      </c>
      <c r="E433" s="109"/>
      <c r="F433" s="109"/>
      <c r="G433" s="110">
        <v>8</v>
      </c>
      <c r="H433" s="3">
        <f t="shared" si="18"/>
        <v>0</v>
      </c>
      <c r="I433" s="3">
        <f t="shared" si="19"/>
        <v>0</v>
      </c>
      <c r="J433" s="110">
        <f t="shared" si="20"/>
        <v>8</v>
      </c>
      <c r="K433" s="110"/>
      <c r="L433" s="110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11"/>
      <c r="AV433" s="111"/>
      <c r="AW433" s="111"/>
      <c r="AX433" s="111"/>
      <c r="AY433" s="111"/>
      <c r="AZ433" s="111"/>
      <c r="BA433" s="111"/>
      <c r="BB433" s="111"/>
      <c r="BC433" s="111"/>
      <c r="BD433" s="111"/>
      <c r="BE433" s="111"/>
      <c r="BF433" s="111"/>
      <c r="BG433" s="111"/>
      <c r="BH433" s="111"/>
      <c r="BI433" s="111"/>
      <c r="BJ433" s="111"/>
      <c r="BK433" s="111"/>
      <c r="BL433" s="111"/>
      <c r="BM433" s="111"/>
      <c r="BN433" s="111"/>
      <c r="BO433" s="111"/>
      <c r="BP433" s="111"/>
      <c r="BQ433" s="111"/>
      <c r="BR433" s="111"/>
      <c r="BS433" s="111"/>
      <c r="BT433" s="111"/>
      <c r="BU433" s="111"/>
      <c r="BV433" s="111"/>
    </row>
    <row r="434" spans="1:74" s="50" customFormat="1" ht="15" hidden="1" customHeight="1">
      <c r="A434" s="142">
        <v>430</v>
      </c>
      <c r="B434" s="143" t="s">
        <v>867</v>
      </c>
      <c r="C434" s="144" t="s">
        <v>868</v>
      </c>
      <c r="D434" s="143" t="s">
        <v>21</v>
      </c>
      <c r="E434" s="109"/>
      <c r="F434" s="109"/>
      <c r="G434" s="110">
        <v>3</v>
      </c>
      <c r="H434" s="3">
        <f t="shared" si="18"/>
        <v>0</v>
      </c>
      <c r="I434" s="3">
        <f t="shared" si="19"/>
        <v>0</v>
      </c>
      <c r="J434" s="110">
        <f t="shared" si="20"/>
        <v>3</v>
      </c>
      <c r="K434" s="110"/>
      <c r="L434" s="110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1"/>
      <c r="AV434" s="111"/>
      <c r="AW434" s="111"/>
      <c r="AX434" s="111"/>
      <c r="AY434" s="111"/>
      <c r="AZ434" s="111"/>
      <c r="BA434" s="111"/>
      <c r="BB434" s="111"/>
      <c r="BC434" s="111"/>
      <c r="BD434" s="111"/>
      <c r="BE434" s="111"/>
      <c r="BF434" s="111"/>
      <c r="BG434" s="111"/>
      <c r="BH434" s="111"/>
      <c r="BI434" s="111"/>
      <c r="BJ434" s="111"/>
      <c r="BK434" s="111"/>
      <c r="BL434" s="111"/>
      <c r="BM434" s="111"/>
      <c r="BN434" s="111"/>
      <c r="BO434" s="111"/>
      <c r="BP434" s="111"/>
      <c r="BQ434" s="111"/>
      <c r="BR434" s="111"/>
      <c r="BS434" s="111"/>
      <c r="BT434" s="111"/>
      <c r="BU434" s="111"/>
      <c r="BV434" s="111"/>
    </row>
    <row r="435" spans="1:74" s="50" customFormat="1" ht="15" hidden="1" customHeight="1">
      <c r="A435" s="142">
        <v>431</v>
      </c>
      <c r="B435" s="143" t="s">
        <v>869</v>
      </c>
      <c r="C435" s="144" t="s">
        <v>870</v>
      </c>
      <c r="D435" s="143" t="s">
        <v>21</v>
      </c>
      <c r="E435" s="109"/>
      <c r="F435" s="109"/>
      <c r="G435" s="110">
        <v>203</v>
      </c>
      <c r="H435" s="3">
        <f t="shared" si="18"/>
        <v>0</v>
      </c>
      <c r="I435" s="3">
        <f t="shared" si="19"/>
        <v>0</v>
      </c>
      <c r="J435" s="110">
        <f t="shared" si="20"/>
        <v>203</v>
      </c>
      <c r="K435" s="110"/>
      <c r="L435" s="110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  <c r="AR435" s="111"/>
      <c r="AS435" s="111"/>
      <c r="AT435" s="111"/>
      <c r="AU435" s="111"/>
      <c r="AV435" s="111"/>
      <c r="AW435" s="111"/>
      <c r="AX435" s="111"/>
      <c r="AY435" s="111"/>
      <c r="AZ435" s="111"/>
      <c r="BA435" s="111"/>
      <c r="BB435" s="111"/>
      <c r="BC435" s="111"/>
      <c r="BD435" s="111"/>
      <c r="BE435" s="111"/>
      <c r="BF435" s="111"/>
      <c r="BG435" s="111"/>
      <c r="BH435" s="111"/>
      <c r="BI435" s="111"/>
      <c r="BJ435" s="111"/>
      <c r="BK435" s="111"/>
      <c r="BL435" s="111"/>
      <c r="BM435" s="111"/>
      <c r="BN435" s="111"/>
      <c r="BO435" s="111"/>
      <c r="BP435" s="111"/>
      <c r="BQ435" s="111"/>
      <c r="BR435" s="111"/>
      <c r="BS435" s="111"/>
      <c r="BT435" s="111"/>
      <c r="BU435" s="111"/>
      <c r="BV435" s="111"/>
    </row>
    <row r="436" spans="1:74" s="50" customFormat="1" ht="15" hidden="1" customHeight="1">
      <c r="A436" s="142">
        <v>432</v>
      </c>
      <c r="B436" s="252" t="s">
        <v>871</v>
      </c>
      <c r="C436" s="144" t="s">
        <v>872</v>
      </c>
      <c r="D436" s="143" t="s">
        <v>21</v>
      </c>
      <c r="E436" s="109"/>
      <c r="F436" s="109"/>
      <c r="G436" s="110">
        <v>428</v>
      </c>
      <c r="H436" s="3">
        <f t="shared" si="18"/>
        <v>0</v>
      </c>
      <c r="I436" s="3">
        <f t="shared" si="19"/>
        <v>0</v>
      </c>
      <c r="J436" s="110">
        <f t="shared" si="20"/>
        <v>428</v>
      </c>
      <c r="K436" s="110"/>
      <c r="L436" s="110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  <c r="AR436" s="111"/>
      <c r="AS436" s="111"/>
      <c r="AT436" s="111"/>
      <c r="AU436" s="111"/>
      <c r="AV436" s="111"/>
      <c r="AW436" s="111"/>
      <c r="AX436" s="111"/>
      <c r="AY436" s="111"/>
      <c r="AZ436" s="111"/>
      <c r="BA436" s="111"/>
      <c r="BB436" s="111"/>
      <c r="BC436" s="111"/>
      <c r="BD436" s="111"/>
      <c r="BE436" s="111"/>
      <c r="BF436" s="111"/>
      <c r="BG436" s="111"/>
      <c r="BH436" s="111"/>
      <c r="BI436" s="111"/>
      <c r="BJ436" s="111"/>
      <c r="BK436" s="111"/>
      <c r="BL436" s="111"/>
      <c r="BM436" s="111"/>
      <c r="BN436" s="111"/>
      <c r="BO436" s="111"/>
      <c r="BP436" s="111"/>
      <c r="BQ436" s="111"/>
      <c r="BR436" s="111"/>
      <c r="BS436" s="111"/>
      <c r="BT436" s="111"/>
      <c r="BU436" s="111"/>
      <c r="BV436" s="111"/>
    </row>
    <row r="437" spans="1:74" s="50" customFormat="1" ht="15" hidden="1" customHeight="1">
      <c r="A437" s="142">
        <v>433</v>
      </c>
      <c r="B437" s="143" t="s">
        <v>873</v>
      </c>
      <c r="C437" s="144" t="s">
        <v>874</v>
      </c>
      <c r="D437" s="143" t="s">
        <v>21</v>
      </c>
      <c r="E437" s="109"/>
      <c r="F437" s="109"/>
      <c r="G437" s="110">
        <v>1</v>
      </c>
      <c r="H437" s="3">
        <f t="shared" si="18"/>
        <v>0</v>
      </c>
      <c r="I437" s="3">
        <f t="shared" si="19"/>
        <v>0</v>
      </c>
      <c r="J437" s="110">
        <f t="shared" si="20"/>
        <v>1</v>
      </c>
      <c r="K437" s="110"/>
      <c r="L437" s="110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  <c r="AR437" s="111"/>
      <c r="AS437" s="111"/>
      <c r="AT437" s="111"/>
      <c r="AU437" s="111"/>
      <c r="AV437" s="111"/>
      <c r="AW437" s="111"/>
      <c r="AX437" s="111"/>
      <c r="AY437" s="111"/>
      <c r="AZ437" s="111"/>
      <c r="BA437" s="111"/>
      <c r="BB437" s="111"/>
      <c r="BC437" s="111"/>
      <c r="BD437" s="111"/>
      <c r="BE437" s="111"/>
      <c r="BF437" s="111"/>
      <c r="BG437" s="111"/>
      <c r="BH437" s="111"/>
      <c r="BI437" s="111"/>
      <c r="BJ437" s="111"/>
      <c r="BK437" s="111"/>
      <c r="BL437" s="111"/>
      <c r="BM437" s="111"/>
      <c r="BN437" s="111"/>
      <c r="BO437" s="111"/>
      <c r="BP437" s="111"/>
      <c r="BQ437" s="111"/>
      <c r="BR437" s="111"/>
      <c r="BS437" s="111"/>
      <c r="BT437" s="111"/>
      <c r="BU437" s="111"/>
      <c r="BV437" s="111"/>
    </row>
    <row r="438" spans="1:74" s="50" customFormat="1" ht="15" hidden="1" customHeight="1">
      <c r="A438" s="142">
        <v>434</v>
      </c>
      <c r="B438" s="143" t="s">
        <v>875</v>
      </c>
      <c r="C438" s="144" t="s">
        <v>876</v>
      </c>
      <c r="D438" s="143" t="s">
        <v>21</v>
      </c>
      <c r="E438" s="109"/>
      <c r="F438" s="109"/>
      <c r="G438" s="110">
        <v>90</v>
      </c>
      <c r="H438" s="3">
        <f t="shared" si="18"/>
        <v>0</v>
      </c>
      <c r="I438" s="3">
        <f t="shared" si="19"/>
        <v>0</v>
      </c>
      <c r="J438" s="110">
        <f t="shared" si="20"/>
        <v>90</v>
      </c>
      <c r="K438" s="110"/>
      <c r="L438" s="110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  <c r="AJ438" s="111"/>
      <c r="AK438" s="111"/>
      <c r="AL438" s="111"/>
      <c r="AM438" s="111"/>
      <c r="AN438" s="111"/>
      <c r="AO438" s="111"/>
      <c r="AP438" s="111"/>
      <c r="AQ438" s="111"/>
      <c r="AR438" s="111"/>
      <c r="AS438" s="111"/>
      <c r="AT438" s="111"/>
      <c r="AU438" s="111"/>
      <c r="AV438" s="111"/>
      <c r="AW438" s="111"/>
      <c r="AX438" s="111"/>
      <c r="AY438" s="111"/>
      <c r="AZ438" s="111"/>
      <c r="BA438" s="111"/>
      <c r="BB438" s="111"/>
      <c r="BC438" s="111"/>
      <c r="BD438" s="111"/>
      <c r="BE438" s="111"/>
      <c r="BF438" s="111"/>
      <c r="BG438" s="111"/>
      <c r="BH438" s="111"/>
      <c r="BI438" s="111"/>
      <c r="BJ438" s="111"/>
      <c r="BK438" s="111"/>
      <c r="BL438" s="111"/>
      <c r="BM438" s="111"/>
      <c r="BN438" s="111"/>
      <c r="BO438" s="111"/>
      <c r="BP438" s="111"/>
      <c r="BQ438" s="111"/>
      <c r="BR438" s="111"/>
      <c r="BS438" s="111"/>
      <c r="BT438" s="111"/>
      <c r="BU438" s="111"/>
      <c r="BV438" s="111"/>
    </row>
    <row r="439" spans="1:74" s="50" customFormat="1" ht="15" hidden="1" customHeight="1">
      <c r="A439" s="142">
        <v>435</v>
      </c>
      <c r="B439" s="143" t="s">
        <v>877</v>
      </c>
      <c r="C439" s="144" t="s">
        <v>878</v>
      </c>
      <c r="D439" s="143" t="s">
        <v>21</v>
      </c>
      <c r="E439" s="109"/>
      <c r="F439" s="109"/>
      <c r="G439" s="110">
        <v>7</v>
      </c>
      <c r="H439" s="3">
        <f t="shared" ref="H439:H502" si="21">SUM(M439+O439+Q439+S439+U439+W439+Y439+AA439+AC439+AE439+AG439+AI439+AK439+AM439+AO439+AQ439+AS439+AU439+AW439+AY439+BA439+BC439+BE439+BG439+BI439+BK439+BM439+BO439+BQ439+BS439+BU439)</f>
        <v>0</v>
      </c>
      <c r="I439" s="3">
        <f t="shared" ref="I439:I502" si="22">SUM(N439+P439+R439+T439+V439+X439+Z439+AB439+AD439+AF439+AH439+AJ439+AL439+AN439+AP439+AR439+AT439+AV439+AX439+AZ439+BB439+BD439+BF439+BH439+BJ439+BL439+BN439+BP439+BR439+BT439+BV439)</f>
        <v>0</v>
      </c>
      <c r="J439" s="110">
        <f t="shared" ref="J439:J502" si="23">G439+H439-I439</f>
        <v>7</v>
      </c>
      <c r="K439" s="110"/>
      <c r="L439" s="110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  <c r="AJ439" s="111"/>
      <c r="AK439" s="111"/>
      <c r="AL439" s="111"/>
      <c r="AM439" s="111"/>
      <c r="AN439" s="111"/>
      <c r="AO439" s="111"/>
      <c r="AP439" s="111"/>
      <c r="AQ439" s="111"/>
      <c r="AR439" s="111"/>
      <c r="AS439" s="111"/>
      <c r="AT439" s="111"/>
      <c r="AU439" s="111"/>
      <c r="AV439" s="111"/>
      <c r="AW439" s="111"/>
      <c r="AX439" s="111"/>
      <c r="AY439" s="111"/>
      <c r="AZ439" s="111"/>
      <c r="BA439" s="111"/>
      <c r="BB439" s="111"/>
      <c r="BC439" s="111"/>
      <c r="BD439" s="111"/>
      <c r="BE439" s="111"/>
      <c r="BF439" s="111"/>
      <c r="BG439" s="111"/>
      <c r="BH439" s="111"/>
      <c r="BI439" s="111"/>
      <c r="BJ439" s="111"/>
      <c r="BK439" s="111"/>
      <c r="BL439" s="111"/>
      <c r="BM439" s="111"/>
      <c r="BN439" s="111"/>
      <c r="BO439" s="111"/>
      <c r="BP439" s="111"/>
      <c r="BQ439" s="111"/>
      <c r="BR439" s="111"/>
      <c r="BS439" s="111"/>
      <c r="BT439" s="111"/>
      <c r="BU439" s="111"/>
      <c r="BV439" s="111"/>
    </row>
    <row r="440" spans="1:74" s="50" customFormat="1" ht="15" customHeight="1">
      <c r="A440" s="142">
        <v>436</v>
      </c>
      <c r="B440" s="143" t="s">
        <v>879</v>
      </c>
      <c r="C440" s="144" t="s">
        <v>880</v>
      </c>
      <c r="D440" s="143" t="s">
        <v>21</v>
      </c>
      <c r="E440" s="109"/>
      <c r="F440" s="109"/>
      <c r="G440" s="110">
        <v>0</v>
      </c>
      <c r="H440" s="3">
        <f t="shared" si="21"/>
        <v>0</v>
      </c>
      <c r="I440" s="3">
        <f t="shared" si="22"/>
        <v>0</v>
      </c>
      <c r="J440" s="110">
        <f t="shared" si="23"/>
        <v>0</v>
      </c>
      <c r="K440" s="110"/>
      <c r="L440" s="110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  <c r="AR440" s="111"/>
      <c r="AS440" s="111"/>
      <c r="AT440" s="111"/>
      <c r="AU440" s="111"/>
      <c r="AV440" s="111"/>
      <c r="AW440" s="111"/>
      <c r="AX440" s="111"/>
      <c r="AY440" s="111"/>
      <c r="AZ440" s="111"/>
      <c r="BA440" s="111"/>
      <c r="BB440" s="111"/>
      <c r="BC440" s="111"/>
      <c r="BD440" s="111"/>
      <c r="BE440" s="111"/>
      <c r="BF440" s="111"/>
      <c r="BG440" s="111"/>
      <c r="BH440" s="111"/>
      <c r="BI440" s="111"/>
      <c r="BJ440" s="111"/>
      <c r="BK440" s="111"/>
      <c r="BL440" s="111"/>
      <c r="BM440" s="111"/>
      <c r="BN440" s="111"/>
      <c r="BO440" s="111"/>
      <c r="BP440" s="111"/>
      <c r="BQ440" s="111"/>
      <c r="BR440" s="111"/>
      <c r="BS440" s="111"/>
      <c r="BT440" s="111"/>
      <c r="BU440" s="111"/>
      <c r="BV440" s="111"/>
    </row>
    <row r="441" spans="1:74" s="50" customFormat="1" ht="15" hidden="1" customHeight="1">
      <c r="A441" s="109">
        <v>437</v>
      </c>
      <c r="B441" s="26" t="s">
        <v>881</v>
      </c>
      <c r="C441" s="27" t="s">
        <v>882</v>
      </c>
      <c r="D441" s="26" t="s">
        <v>21</v>
      </c>
      <c r="E441" s="109"/>
      <c r="F441" s="109"/>
      <c r="G441" s="110">
        <v>90</v>
      </c>
      <c r="H441" s="3">
        <f t="shared" si="21"/>
        <v>0</v>
      </c>
      <c r="I441" s="3">
        <f t="shared" si="22"/>
        <v>0</v>
      </c>
      <c r="J441" s="110">
        <f t="shared" si="23"/>
        <v>90</v>
      </c>
      <c r="K441" s="110"/>
      <c r="L441" s="110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  <c r="AR441" s="111"/>
      <c r="AS441" s="111"/>
      <c r="AT441" s="111"/>
      <c r="AU441" s="111"/>
      <c r="AV441" s="111"/>
      <c r="AW441" s="111"/>
      <c r="AX441" s="111"/>
      <c r="AY441" s="111"/>
      <c r="AZ441" s="111"/>
      <c r="BA441" s="111"/>
      <c r="BB441" s="111"/>
      <c r="BC441" s="111"/>
      <c r="BD441" s="111"/>
      <c r="BE441" s="111"/>
      <c r="BF441" s="111"/>
      <c r="BG441" s="111"/>
      <c r="BH441" s="111"/>
      <c r="BI441" s="111"/>
      <c r="BJ441" s="111"/>
      <c r="BK441" s="111"/>
      <c r="BL441" s="111"/>
      <c r="BM441" s="111"/>
      <c r="BN441" s="111"/>
      <c r="BO441" s="111"/>
      <c r="BP441" s="111"/>
      <c r="BQ441" s="111"/>
      <c r="BR441" s="111"/>
      <c r="BS441" s="111"/>
      <c r="BT441" s="111"/>
      <c r="BU441" s="111"/>
      <c r="BV441" s="111"/>
    </row>
    <row r="442" spans="1:74" s="50" customFormat="1" ht="15" hidden="1" customHeight="1">
      <c r="A442" s="109">
        <v>438</v>
      </c>
      <c r="B442" s="112" t="s">
        <v>883</v>
      </c>
      <c r="C442" s="27" t="s">
        <v>884</v>
      </c>
      <c r="D442" s="26" t="s">
        <v>21</v>
      </c>
      <c r="E442" s="109"/>
      <c r="F442" s="109"/>
      <c r="G442" s="110">
        <v>202</v>
      </c>
      <c r="H442" s="3">
        <f t="shared" si="21"/>
        <v>0</v>
      </c>
      <c r="I442" s="3">
        <f t="shared" si="22"/>
        <v>0</v>
      </c>
      <c r="J442" s="110">
        <f t="shared" si="23"/>
        <v>202</v>
      </c>
      <c r="K442" s="110"/>
      <c r="L442" s="110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/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/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/>
      <c r="BP442" s="111"/>
      <c r="BQ442" s="111"/>
      <c r="BR442" s="111"/>
      <c r="BS442" s="111"/>
      <c r="BT442" s="111"/>
      <c r="BU442" s="111"/>
      <c r="BV442" s="111"/>
    </row>
    <row r="443" spans="1:74" s="50" customFormat="1" ht="15" hidden="1" customHeight="1">
      <c r="A443" s="109">
        <v>439</v>
      </c>
      <c r="B443" s="26" t="s">
        <v>885</v>
      </c>
      <c r="C443" s="27" t="s">
        <v>886</v>
      </c>
      <c r="D443" s="26" t="s">
        <v>21</v>
      </c>
      <c r="E443" s="109"/>
      <c r="F443" s="109"/>
      <c r="G443" s="110">
        <v>3</v>
      </c>
      <c r="H443" s="3">
        <f t="shared" si="21"/>
        <v>0</v>
      </c>
      <c r="I443" s="3">
        <f t="shared" si="22"/>
        <v>0</v>
      </c>
      <c r="J443" s="110">
        <f t="shared" si="23"/>
        <v>3</v>
      </c>
      <c r="K443" s="110"/>
      <c r="L443" s="110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/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/>
      <c r="BP443" s="111"/>
      <c r="BQ443" s="111"/>
      <c r="BR443" s="111"/>
      <c r="BS443" s="111"/>
      <c r="BT443" s="111"/>
      <c r="BU443" s="111"/>
      <c r="BV443" s="111"/>
    </row>
    <row r="444" spans="1:74" s="50" customFormat="1" ht="15" hidden="1" customHeight="1">
      <c r="A444" s="109">
        <v>440</v>
      </c>
      <c r="B444" s="26" t="s">
        <v>887</v>
      </c>
      <c r="C444" s="27" t="s">
        <v>888</v>
      </c>
      <c r="D444" s="26" t="s">
        <v>21</v>
      </c>
      <c r="E444" s="109"/>
      <c r="F444" s="109"/>
      <c r="G444" s="110">
        <v>8</v>
      </c>
      <c r="H444" s="3">
        <f t="shared" si="21"/>
        <v>0</v>
      </c>
      <c r="I444" s="3">
        <f t="shared" si="22"/>
        <v>0</v>
      </c>
      <c r="J444" s="110">
        <f t="shared" si="23"/>
        <v>8</v>
      </c>
      <c r="K444" s="110"/>
      <c r="L444" s="110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  <c r="AR444" s="111"/>
      <c r="AS444" s="111"/>
      <c r="AT444" s="111"/>
      <c r="AU444" s="111"/>
      <c r="AV444" s="111"/>
      <c r="AW444" s="111"/>
      <c r="AX444" s="111"/>
      <c r="AY444" s="111"/>
      <c r="AZ444" s="111"/>
      <c r="BA444" s="111"/>
      <c r="BB444" s="111"/>
      <c r="BC444" s="111"/>
      <c r="BD444" s="111"/>
      <c r="BE444" s="111"/>
      <c r="BF444" s="111"/>
      <c r="BG444" s="111"/>
      <c r="BH444" s="111"/>
      <c r="BI444" s="111"/>
      <c r="BJ444" s="111"/>
      <c r="BK444" s="111"/>
      <c r="BL444" s="111"/>
      <c r="BM444" s="111"/>
      <c r="BN444" s="111"/>
      <c r="BO444" s="111"/>
      <c r="BP444" s="111"/>
      <c r="BQ444" s="111"/>
      <c r="BR444" s="111"/>
      <c r="BS444" s="111"/>
      <c r="BT444" s="111"/>
      <c r="BU444" s="111"/>
      <c r="BV444" s="111"/>
    </row>
    <row r="445" spans="1:74" s="50" customFormat="1" ht="15" hidden="1" customHeight="1">
      <c r="A445" s="109">
        <v>441</v>
      </c>
      <c r="B445" s="116" t="s">
        <v>889</v>
      </c>
      <c r="C445" s="118" t="s">
        <v>890</v>
      </c>
      <c r="D445" s="26" t="s">
        <v>21</v>
      </c>
      <c r="E445" s="109"/>
      <c r="F445" s="109"/>
      <c r="G445" s="110">
        <v>15</v>
      </c>
      <c r="H445" s="3">
        <f t="shared" si="21"/>
        <v>0</v>
      </c>
      <c r="I445" s="3">
        <f t="shared" si="22"/>
        <v>0</v>
      </c>
      <c r="J445" s="110">
        <f t="shared" si="23"/>
        <v>15</v>
      </c>
      <c r="K445" s="110"/>
      <c r="L445" s="110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/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/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/>
      <c r="BP445" s="111"/>
      <c r="BQ445" s="111"/>
      <c r="BR445" s="111"/>
      <c r="BS445" s="111"/>
      <c r="BT445" s="111"/>
      <c r="BU445" s="111"/>
      <c r="BV445" s="111"/>
    </row>
    <row r="446" spans="1:74" s="50" customFormat="1" ht="15" hidden="1" customHeight="1">
      <c r="A446" s="109">
        <v>442</v>
      </c>
      <c r="B446" s="112" t="s">
        <v>891</v>
      </c>
      <c r="C446" s="113" t="s">
        <v>892</v>
      </c>
      <c r="D446" s="26" t="s">
        <v>21</v>
      </c>
      <c r="E446" s="109"/>
      <c r="F446" s="109"/>
      <c r="G446" s="110">
        <v>1</v>
      </c>
      <c r="H446" s="3">
        <f t="shared" si="21"/>
        <v>0</v>
      </c>
      <c r="I446" s="3">
        <f t="shared" si="22"/>
        <v>0</v>
      </c>
      <c r="J446" s="110">
        <f t="shared" si="23"/>
        <v>1</v>
      </c>
      <c r="K446" s="110"/>
      <c r="L446" s="110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  <c r="AJ446" s="111"/>
      <c r="AK446" s="111"/>
      <c r="AL446" s="111"/>
      <c r="AM446" s="111"/>
      <c r="AN446" s="111"/>
      <c r="AO446" s="111"/>
      <c r="AP446" s="111"/>
      <c r="AQ446" s="111"/>
      <c r="AR446" s="111"/>
      <c r="AS446" s="111"/>
      <c r="AT446" s="111"/>
      <c r="AU446" s="111"/>
      <c r="AV446" s="111"/>
      <c r="AW446" s="111"/>
      <c r="AX446" s="111"/>
      <c r="AY446" s="111"/>
      <c r="AZ446" s="111"/>
      <c r="BA446" s="111"/>
      <c r="BB446" s="111"/>
      <c r="BC446" s="111"/>
      <c r="BD446" s="111"/>
      <c r="BE446" s="111"/>
      <c r="BF446" s="111"/>
      <c r="BG446" s="111"/>
      <c r="BH446" s="111"/>
      <c r="BI446" s="111"/>
      <c r="BJ446" s="111"/>
      <c r="BK446" s="111"/>
      <c r="BL446" s="111"/>
      <c r="BM446" s="111"/>
      <c r="BN446" s="111"/>
      <c r="BO446" s="111"/>
      <c r="BP446" s="111"/>
      <c r="BQ446" s="111"/>
      <c r="BR446" s="111"/>
      <c r="BS446" s="111"/>
      <c r="BT446" s="111"/>
      <c r="BU446" s="111"/>
      <c r="BV446" s="111"/>
    </row>
    <row r="447" spans="1:74" s="50" customFormat="1" ht="15" hidden="1" customHeight="1">
      <c r="A447" s="109">
        <v>443</v>
      </c>
      <c r="B447" s="26" t="s">
        <v>893</v>
      </c>
      <c r="C447" s="27" t="s">
        <v>894</v>
      </c>
      <c r="D447" s="26" t="s">
        <v>21</v>
      </c>
      <c r="E447" s="109"/>
      <c r="F447" s="109"/>
      <c r="G447" s="110">
        <v>11</v>
      </c>
      <c r="H447" s="3">
        <f t="shared" si="21"/>
        <v>0</v>
      </c>
      <c r="I447" s="3">
        <f t="shared" si="22"/>
        <v>0</v>
      </c>
      <c r="J447" s="110">
        <f t="shared" si="23"/>
        <v>11</v>
      </c>
      <c r="K447" s="110"/>
      <c r="L447" s="110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  <c r="AJ447" s="111"/>
      <c r="AK447" s="111"/>
      <c r="AL447" s="111"/>
      <c r="AM447" s="111"/>
      <c r="AN447" s="111"/>
      <c r="AO447" s="111"/>
      <c r="AP447" s="111"/>
      <c r="AQ447" s="111"/>
      <c r="AR447" s="111"/>
      <c r="AS447" s="111"/>
      <c r="AT447" s="111"/>
      <c r="AU447" s="111"/>
      <c r="AV447" s="111"/>
      <c r="AW447" s="111"/>
      <c r="AX447" s="111"/>
      <c r="AY447" s="111"/>
      <c r="AZ447" s="111"/>
      <c r="BA447" s="111"/>
      <c r="BB447" s="111"/>
      <c r="BC447" s="111"/>
      <c r="BD447" s="111"/>
      <c r="BE447" s="111"/>
      <c r="BF447" s="111"/>
      <c r="BG447" s="111"/>
      <c r="BH447" s="111"/>
      <c r="BI447" s="111"/>
      <c r="BJ447" s="111"/>
      <c r="BK447" s="111"/>
      <c r="BL447" s="111"/>
      <c r="BM447" s="111"/>
      <c r="BN447" s="111"/>
      <c r="BO447" s="111"/>
      <c r="BP447" s="111"/>
      <c r="BQ447" s="111"/>
      <c r="BR447" s="111"/>
      <c r="BS447" s="111"/>
      <c r="BT447" s="111"/>
      <c r="BU447" s="111"/>
      <c r="BV447" s="111"/>
    </row>
    <row r="448" spans="1:74" s="50" customFormat="1" ht="15" hidden="1" customHeight="1">
      <c r="A448" s="109">
        <v>444</v>
      </c>
      <c r="B448" s="26" t="s">
        <v>895</v>
      </c>
      <c r="C448" s="27" t="s">
        <v>896</v>
      </c>
      <c r="D448" s="26" t="s">
        <v>21</v>
      </c>
      <c r="E448" s="109"/>
      <c r="F448" s="109"/>
      <c r="G448" s="110">
        <v>1</v>
      </c>
      <c r="H448" s="3">
        <f t="shared" si="21"/>
        <v>0</v>
      </c>
      <c r="I448" s="3">
        <f t="shared" si="22"/>
        <v>0</v>
      </c>
      <c r="J448" s="110">
        <f t="shared" si="23"/>
        <v>1</v>
      </c>
      <c r="K448" s="110"/>
      <c r="L448" s="110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  <c r="AJ448" s="111"/>
      <c r="AK448" s="111"/>
      <c r="AL448" s="111"/>
      <c r="AM448" s="111"/>
      <c r="AN448" s="111"/>
      <c r="AO448" s="111"/>
      <c r="AP448" s="111"/>
      <c r="AQ448" s="111"/>
      <c r="AR448" s="111"/>
      <c r="AS448" s="111"/>
      <c r="AT448" s="111"/>
      <c r="AU448" s="111"/>
      <c r="AV448" s="111"/>
      <c r="AW448" s="111"/>
      <c r="AX448" s="111"/>
      <c r="AY448" s="111"/>
      <c r="AZ448" s="111"/>
      <c r="BA448" s="111"/>
      <c r="BB448" s="111"/>
      <c r="BC448" s="111"/>
      <c r="BD448" s="111"/>
      <c r="BE448" s="111"/>
      <c r="BF448" s="111"/>
      <c r="BG448" s="111"/>
      <c r="BH448" s="111"/>
      <c r="BI448" s="111"/>
      <c r="BJ448" s="111"/>
      <c r="BK448" s="111"/>
      <c r="BL448" s="111"/>
      <c r="BM448" s="111"/>
      <c r="BN448" s="111"/>
      <c r="BO448" s="111"/>
      <c r="BP448" s="111"/>
      <c r="BQ448" s="111"/>
      <c r="BR448" s="111"/>
      <c r="BS448" s="111"/>
      <c r="BT448" s="111"/>
      <c r="BU448" s="111"/>
      <c r="BV448" s="111"/>
    </row>
    <row r="449" spans="1:74" s="50" customFormat="1" ht="15" hidden="1" customHeight="1">
      <c r="A449" s="109">
        <v>445</v>
      </c>
      <c r="B449" s="26" t="s">
        <v>897</v>
      </c>
      <c r="C449" s="27" t="s">
        <v>898</v>
      </c>
      <c r="D449" s="26" t="s">
        <v>21</v>
      </c>
      <c r="E449" s="109"/>
      <c r="F449" s="109"/>
      <c r="G449" s="110">
        <v>1</v>
      </c>
      <c r="H449" s="3">
        <f t="shared" si="21"/>
        <v>0</v>
      </c>
      <c r="I449" s="3">
        <f t="shared" si="22"/>
        <v>0</v>
      </c>
      <c r="J449" s="110">
        <f t="shared" si="23"/>
        <v>1</v>
      </c>
      <c r="K449" s="110"/>
      <c r="L449" s="110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  <c r="AJ449" s="111"/>
      <c r="AK449" s="111"/>
      <c r="AL449" s="111"/>
      <c r="AM449" s="111"/>
      <c r="AN449" s="111"/>
      <c r="AO449" s="111"/>
      <c r="AP449" s="111"/>
      <c r="AQ449" s="111"/>
      <c r="AR449" s="111"/>
      <c r="AS449" s="111"/>
      <c r="AT449" s="111"/>
      <c r="AU449" s="111"/>
      <c r="AV449" s="111"/>
      <c r="AW449" s="111"/>
      <c r="AX449" s="111"/>
      <c r="AY449" s="111"/>
      <c r="AZ449" s="111"/>
      <c r="BA449" s="111"/>
      <c r="BB449" s="111"/>
      <c r="BC449" s="111"/>
      <c r="BD449" s="111"/>
      <c r="BE449" s="111"/>
      <c r="BF449" s="111"/>
      <c r="BG449" s="111"/>
      <c r="BH449" s="111"/>
      <c r="BI449" s="111"/>
      <c r="BJ449" s="111"/>
      <c r="BK449" s="111"/>
      <c r="BL449" s="111"/>
      <c r="BM449" s="111"/>
      <c r="BN449" s="111"/>
      <c r="BO449" s="111"/>
      <c r="BP449" s="111"/>
      <c r="BQ449" s="111"/>
      <c r="BR449" s="111"/>
      <c r="BS449" s="111"/>
      <c r="BT449" s="111"/>
      <c r="BU449" s="111"/>
      <c r="BV449" s="111"/>
    </row>
    <row r="450" spans="1:74" s="50" customFormat="1" ht="15" hidden="1" customHeight="1">
      <c r="A450" s="109">
        <v>446</v>
      </c>
      <c r="B450" s="26" t="s">
        <v>899</v>
      </c>
      <c r="C450" s="27" t="s">
        <v>900</v>
      </c>
      <c r="D450" s="26" t="s">
        <v>21</v>
      </c>
      <c r="E450" s="109"/>
      <c r="F450" s="109"/>
      <c r="G450" s="110">
        <v>3</v>
      </c>
      <c r="H450" s="3">
        <f t="shared" si="21"/>
        <v>0</v>
      </c>
      <c r="I450" s="3">
        <f t="shared" si="22"/>
        <v>0</v>
      </c>
      <c r="J450" s="110">
        <f t="shared" si="23"/>
        <v>3</v>
      </c>
      <c r="K450" s="110"/>
      <c r="L450" s="110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  <c r="AJ450" s="111"/>
      <c r="AK450" s="111"/>
      <c r="AL450" s="111"/>
      <c r="AM450" s="111"/>
      <c r="AN450" s="111"/>
      <c r="AO450" s="111"/>
      <c r="AP450" s="111"/>
      <c r="AQ450" s="111"/>
      <c r="AR450" s="111"/>
      <c r="AS450" s="111"/>
      <c r="AT450" s="111"/>
      <c r="AU450" s="111"/>
      <c r="AV450" s="111"/>
      <c r="AW450" s="111"/>
      <c r="AX450" s="111"/>
      <c r="AY450" s="111"/>
      <c r="AZ450" s="111"/>
      <c r="BA450" s="111"/>
      <c r="BB450" s="111"/>
      <c r="BC450" s="111"/>
      <c r="BD450" s="111"/>
      <c r="BE450" s="111"/>
      <c r="BF450" s="111"/>
      <c r="BG450" s="111"/>
      <c r="BH450" s="111"/>
      <c r="BI450" s="111"/>
      <c r="BJ450" s="111"/>
      <c r="BK450" s="111"/>
      <c r="BL450" s="111"/>
      <c r="BM450" s="111"/>
      <c r="BN450" s="111"/>
      <c r="BO450" s="111"/>
      <c r="BP450" s="111"/>
      <c r="BQ450" s="111"/>
      <c r="BR450" s="111"/>
      <c r="BS450" s="111"/>
      <c r="BT450" s="111"/>
      <c r="BU450" s="111"/>
      <c r="BV450" s="111"/>
    </row>
    <row r="451" spans="1:74" s="50" customFormat="1" ht="15" hidden="1" customHeight="1">
      <c r="A451" s="109">
        <v>447</v>
      </c>
      <c r="B451" s="26" t="s">
        <v>901</v>
      </c>
      <c r="C451" s="27" t="s">
        <v>902</v>
      </c>
      <c r="D451" s="26" t="s">
        <v>21</v>
      </c>
      <c r="E451" s="109"/>
      <c r="F451" s="109"/>
      <c r="G451" s="110">
        <v>864</v>
      </c>
      <c r="H451" s="3">
        <f t="shared" si="21"/>
        <v>0</v>
      </c>
      <c r="I451" s="3">
        <f t="shared" si="22"/>
        <v>0</v>
      </c>
      <c r="J451" s="110">
        <f t="shared" si="23"/>
        <v>864</v>
      </c>
      <c r="K451" s="110"/>
      <c r="L451" s="110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  <c r="AJ451" s="111"/>
      <c r="AK451" s="111"/>
      <c r="AL451" s="111"/>
      <c r="AM451" s="111"/>
      <c r="AN451" s="111"/>
      <c r="AO451" s="111"/>
      <c r="AP451" s="111"/>
      <c r="AQ451" s="111"/>
      <c r="AR451" s="111"/>
      <c r="AS451" s="111"/>
      <c r="AT451" s="111"/>
      <c r="AU451" s="111"/>
      <c r="AV451" s="111"/>
      <c r="AW451" s="111"/>
      <c r="AX451" s="111"/>
      <c r="AY451" s="111"/>
      <c r="AZ451" s="111"/>
      <c r="BA451" s="111"/>
      <c r="BB451" s="111"/>
      <c r="BC451" s="111"/>
      <c r="BD451" s="111"/>
      <c r="BE451" s="111"/>
      <c r="BF451" s="111"/>
      <c r="BG451" s="111"/>
      <c r="BH451" s="111"/>
      <c r="BI451" s="111"/>
      <c r="BJ451" s="111"/>
      <c r="BK451" s="111"/>
      <c r="BL451" s="111"/>
      <c r="BM451" s="111"/>
      <c r="BN451" s="111"/>
      <c r="BO451" s="111"/>
      <c r="BP451" s="111"/>
      <c r="BQ451" s="111"/>
      <c r="BR451" s="111"/>
      <c r="BS451" s="111"/>
      <c r="BT451" s="111"/>
      <c r="BU451" s="111"/>
      <c r="BV451" s="111"/>
    </row>
    <row r="452" spans="1:74" s="50" customFormat="1" ht="15" hidden="1" customHeight="1">
      <c r="A452" s="109">
        <v>448</v>
      </c>
      <c r="B452" s="26" t="s">
        <v>903</v>
      </c>
      <c r="C452" s="27" t="s">
        <v>904</v>
      </c>
      <c r="D452" s="26" t="s">
        <v>21</v>
      </c>
      <c r="E452" s="109"/>
      <c r="F452" s="109"/>
      <c r="G452" s="110">
        <v>0</v>
      </c>
      <c r="H452" s="3">
        <f t="shared" si="21"/>
        <v>0</v>
      </c>
      <c r="I452" s="3">
        <f t="shared" si="22"/>
        <v>0</v>
      </c>
      <c r="J452" s="110">
        <f t="shared" si="23"/>
        <v>0</v>
      </c>
      <c r="K452" s="110"/>
      <c r="L452" s="110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  <c r="AJ452" s="111"/>
      <c r="AK452" s="111"/>
      <c r="AL452" s="111"/>
      <c r="AM452" s="111"/>
      <c r="AN452" s="111"/>
      <c r="AO452" s="111"/>
      <c r="AP452" s="111"/>
      <c r="AQ452" s="111"/>
      <c r="AR452" s="111"/>
      <c r="AS452" s="111"/>
      <c r="AT452" s="111"/>
      <c r="AU452" s="111"/>
      <c r="AV452" s="111"/>
      <c r="AW452" s="111"/>
      <c r="AX452" s="111"/>
      <c r="AY452" s="111"/>
      <c r="AZ452" s="111"/>
      <c r="BA452" s="111"/>
      <c r="BB452" s="111"/>
      <c r="BC452" s="111"/>
      <c r="BD452" s="111"/>
      <c r="BE452" s="111"/>
      <c r="BF452" s="111"/>
      <c r="BG452" s="111"/>
      <c r="BH452" s="111"/>
      <c r="BI452" s="111"/>
      <c r="BJ452" s="111"/>
      <c r="BK452" s="111"/>
      <c r="BL452" s="111"/>
      <c r="BM452" s="111"/>
      <c r="BN452" s="111"/>
      <c r="BO452" s="111"/>
      <c r="BP452" s="111"/>
      <c r="BQ452" s="111"/>
      <c r="BR452" s="111"/>
      <c r="BS452" s="111"/>
      <c r="BT452" s="111"/>
      <c r="BU452" s="111"/>
      <c r="BV452" s="111"/>
    </row>
    <row r="453" spans="1:74" s="50" customFormat="1" ht="15" hidden="1" customHeight="1">
      <c r="A453" s="109">
        <v>449</v>
      </c>
      <c r="B453" s="112" t="s">
        <v>905</v>
      </c>
      <c r="C453" s="141" t="s">
        <v>906</v>
      </c>
      <c r="D453" s="26" t="s">
        <v>21</v>
      </c>
      <c r="E453" s="109"/>
      <c r="F453" s="109"/>
      <c r="G453" s="110">
        <v>0</v>
      </c>
      <c r="H453" s="3">
        <f t="shared" si="21"/>
        <v>0</v>
      </c>
      <c r="I453" s="3">
        <f t="shared" si="22"/>
        <v>0</v>
      </c>
      <c r="J453" s="110">
        <f t="shared" si="23"/>
        <v>0</v>
      </c>
      <c r="K453" s="110"/>
      <c r="L453" s="110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  <c r="AJ453" s="111"/>
      <c r="AK453" s="111"/>
      <c r="AL453" s="111"/>
      <c r="AM453" s="111"/>
      <c r="AN453" s="111"/>
      <c r="AO453" s="111"/>
      <c r="AP453" s="111"/>
      <c r="AQ453" s="111"/>
      <c r="AR453" s="111"/>
      <c r="AS453" s="111"/>
      <c r="AT453" s="111"/>
      <c r="AU453" s="111"/>
      <c r="AV453" s="111"/>
      <c r="AW453" s="111"/>
      <c r="AX453" s="111"/>
      <c r="AY453" s="111"/>
      <c r="AZ453" s="111"/>
      <c r="BA453" s="111"/>
      <c r="BB453" s="111"/>
      <c r="BC453" s="111"/>
      <c r="BD453" s="111"/>
      <c r="BE453" s="111"/>
      <c r="BF453" s="111"/>
      <c r="BG453" s="111"/>
      <c r="BH453" s="111"/>
      <c r="BI453" s="111"/>
      <c r="BJ453" s="111"/>
      <c r="BK453" s="111"/>
      <c r="BL453" s="111"/>
      <c r="BM453" s="111"/>
      <c r="BN453" s="111"/>
      <c r="BO453" s="111"/>
      <c r="BP453" s="111"/>
      <c r="BQ453" s="111"/>
      <c r="BR453" s="111"/>
      <c r="BS453" s="111"/>
      <c r="BT453" s="111"/>
      <c r="BU453" s="111"/>
      <c r="BV453" s="111"/>
    </row>
    <row r="454" spans="1:74" s="50" customFormat="1" ht="15" hidden="1" customHeight="1">
      <c r="A454" s="109">
        <v>450</v>
      </c>
      <c r="B454" s="26" t="s">
        <v>907</v>
      </c>
      <c r="C454" s="27" t="s">
        <v>908</v>
      </c>
      <c r="D454" s="26" t="s">
        <v>21</v>
      </c>
      <c r="E454" s="109"/>
      <c r="F454" s="109"/>
      <c r="G454" s="110">
        <v>0</v>
      </c>
      <c r="H454" s="3">
        <f t="shared" si="21"/>
        <v>0</v>
      </c>
      <c r="I454" s="3">
        <f t="shared" si="22"/>
        <v>0</v>
      </c>
      <c r="J454" s="110">
        <f t="shared" si="23"/>
        <v>0</v>
      </c>
      <c r="K454" s="110"/>
      <c r="L454" s="110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  <c r="AJ454" s="111"/>
      <c r="AK454" s="111"/>
      <c r="AL454" s="111"/>
      <c r="AM454" s="111"/>
      <c r="AN454" s="111"/>
      <c r="AO454" s="111"/>
      <c r="AP454" s="111"/>
      <c r="AQ454" s="111"/>
      <c r="AR454" s="111"/>
      <c r="AS454" s="111"/>
      <c r="AT454" s="111"/>
      <c r="AU454" s="111"/>
      <c r="AV454" s="111"/>
      <c r="AW454" s="111"/>
      <c r="AX454" s="111"/>
      <c r="AY454" s="111"/>
      <c r="AZ454" s="111"/>
      <c r="BA454" s="111"/>
      <c r="BB454" s="111"/>
      <c r="BC454" s="111"/>
      <c r="BD454" s="111"/>
      <c r="BE454" s="111"/>
      <c r="BF454" s="111"/>
      <c r="BG454" s="111"/>
      <c r="BH454" s="111"/>
      <c r="BI454" s="111"/>
      <c r="BJ454" s="111"/>
      <c r="BK454" s="111"/>
      <c r="BL454" s="111"/>
      <c r="BM454" s="111"/>
      <c r="BN454" s="111"/>
      <c r="BO454" s="111"/>
      <c r="BP454" s="111"/>
      <c r="BQ454" s="111"/>
      <c r="BR454" s="111"/>
      <c r="BS454" s="111"/>
      <c r="BT454" s="111"/>
      <c r="BU454" s="111"/>
      <c r="BV454" s="111"/>
    </row>
    <row r="455" spans="1:74" s="50" customFormat="1" ht="15" hidden="1" customHeight="1">
      <c r="A455" s="109">
        <v>451</v>
      </c>
      <c r="B455" s="26" t="s">
        <v>909</v>
      </c>
      <c r="C455" s="27" t="s">
        <v>910</v>
      </c>
      <c r="D455" s="26" t="s">
        <v>21</v>
      </c>
      <c r="E455" s="109"/>
      <c r="F455" s="109"/>
      <c r="G455" s="110">
        <v>0</v>
      </c>
      <c r="H455" s="3">
        <f t="shared" si="21"/>
        <v>0</v>
      </c>
      <c r="I455" s="3">
        <f t="shared" si="22"/>
        <v>0</v>
      </c>
      <c r="J455" s="110">
        <f t="shared" si="23"/>
        <v>0</v>
      </c>
      <c r="K455" s="110"/>
      <c r="L455" s="110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AJ455" s="111"/>
      <c r="AK455" s="111"/>
      <c r="AL455" s="111"/>
      <c r="AM455" s="111"/>
      <c r="AN455" s="111"/>
      <c r="AO455" s="111"/>
      <c r="AP455" s="111"/>
      <c r="AQ455" s="111"/>
      <c r="AR455" s="111"/>
      <c r="AS455" s="111"/>
      <c r="AT455" s="111"/>
      <c r="AU455" s="111"/>
      <c r="AV455" s="111"/>
      <c r="AW455" s="111"/>
      <c r="AX455" s="111"/>
      <c r="AY455" s="111"/>
      <c r="AZ455" s="111"/>
      <c r="BA455" s="111"/>
      <c r="BB455" s="111"/>
      <c r="BC455" s="111"/>
      <c r="BD455" s="111"/>
      <c r="BE455" s="111"/>
      <c r="BF455" s="111"/>
      <c r="BG455" s="111"/>
      <c r="BH455" s="111"/>
      <c r="BI455" s="111"/>
      <c r="BJ455" s="111"/>
      <c r="BK455" s="111"/>
      <c r="BL455" s="111"/>
      <c r="BM455" s="111"/>
      <c r="BN455" s="111"/>
      <c r="BO455" s="111"/>
      <c r="BP455" s="111"/>
      <c r="BQ455" s="111"/>
      <c r="BR455" s="111"/>
      <c r="BS455" s="111"/>
      <c r="BT455" s="111"/>
      <c r="BU455" s="111"/>
      <c r="BV455" s="111"/>
    </row>
    <row r="456" spans="1:74" s="50" customFormat="1" ht="15" hidden="1" customHeight="1">
      <c r="A456" s="109">
        <v>452</v>
      </c>
      <c r="B456" s="26" t="s">
        <v>911</v>
      </c>
      <c r="C456" s="27" t="s">
        <v>912</v>
      </c>
      <c r="D456" s="26" t="s">
        <v>21</v>
      </c>
      <c r="E456" s="109"/>
      <c r="F456" s="109"/>
      <c r="G456" s="110">
        <v>7</v>
      </c>
      <c r="H456" s="3">
        <f t="shared" si="21"/>
        <v>0</v>
      </c>
      <c r="I456" s="3">
        <f t="shared" si="22"/>
        <v>0</v>
      </c>
      <c r="J456" s="110">
        <f t="shared" si="23"/>
        <v>7</v>
      </c>
      <c r="K456" s="110"/>
      <c r="L456" s="110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  <c r="AJ456" s="111"/>
      <c r="AK456" s="111"/>
      <c r="AL456" s="111"/>
      <c r="AM456" s="111"/>
      <c r="AN456" s="111"/>
      <c r="AO456" s="111"/>
      <c r="AP456" s="111"/>
      <c r="AQ456" s="111"/>
      <c r="AR456" s="111"/>
      <c r="AS456" s="111"/>
      <c r="AT456" s="111"/>
      <c r="AU456" s="111"/>
      <c r="AV456" s="111"/>
      <c r="AW456" s="111"/>
      <c r="AX456" s="111"/>
      <c r="AY456" s="111"/>
      <c r="AZ456" s="111"/>
      <c r="BA456" s="111"/>
      <c r="BB456" s="111"/>
      <c r="BC456" s="111"/>
      <c r="BD456" s="111"/>
      <c r="BE456" s="111"/>
      <c r="BF456" s="111"/>
      <c r="BG456" s="111"/>
      <c r="BH456" s="111"/>
      <c r="BI456" s="111"/>
      <c r="BJ456" s="111"/>
      <c r="BK456" s="111"/>
      <c r="BL456" s="111"/>
      <c r="BM456" s="111"/>
      <c r="BN456" s="111"/>
      <c r="BO456" s="111"/>
      <c r="BP456" s="111"/>
      <c r="BQ456" s="111"/>
      <c r="BR456" s="111"/>
      <c r="BS456" s="111"/>
      <c r="BT456" s="111"/>
      <c r="BU456" s="111"/>
      <c r="BV456" s="111"/>
    </row>
    <row r="457" spans="1:74" s="50" customFormat="1" ht="15" hidden="1" customHeight="1">
      <c r="A457" s="109">
        <v>453</v>
      </c>
      <c r="B457" s="26" t="s">
        <v>913</v>
      </c>
      <c r="C457" s="27" t="s">
        <v>914</v>
      </c>
      <c r="D457" s="26" t="s">
        <v>21</v>
      </c>
      <c r="E457" s="109"/>
      <c r="F457" s="109"/>
      <c r="G457" s="110">
        <v>12</v>
      </c>
      <c r="H457" s="3">
        <f t="shared" si="21"/>
        <v>0</v>
      </c>
      <c r="I457" s="3">
        <f t="shared" si="22"/>
        <v>0</v>
      </c>
      <c r="J457" s="110">
        <f t="shared" si="23"/>
        <v>12</v>
      </c>
      <c r="K457" s="110"/>
      <c r="L457" s="110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  <c r="AJ457" s="111"/>
      <c r="AK457" s="111"/>
      <c r="AL457" s="111"/>
      <c r="AM457" s="111"/>
      <c r="AN457" s="111"/>
      <c r="AO457" s="111"/>
      <c r="AP457" s="111"/>
      <c r="AQ457" s="111"/>
      <c r="AR457" s="111"/>
      <c r="AS457" s="111"/>
      <c r="AT457" s="111"/>
      <c r="AU457" s="111"/>
      <c r="AV457" s="111"/>
      <c r="AW457" s="111"/>
      <c r="AX457" s="111"/>
      <c r="AY457" s="111"/>
      <c r="AZ457" s="111"/>
      <c r="BA457" s="111"/>
      <c r="BB457" s="111"/>
      <c r="BC457" s="111"/>
      <c r="BD457" s="111"/>
      <c r="BE457" s="111"/>
      <c r="BF457" s="111"/>
      <c r="BG457" s="111"/>
      <c r="BH457" s="111"/>
      <c r="BI457" s="111"/>
      <c r="BJ457" s="111"/>
      <c r="BK457" s="111"/>
      <c r="BL457" s="111"/>
      <c r="BM457" s="111"/>
      <c r="BN457" s="111"/>
      <c r="BO457" s="111"/>
      <c r="BP457" s="111"/>
      <c r="BQ457" s="111"/>
      <c r="BR457" s="111"/>
      <c r="BS457" s="111"/>
      <c r="BT457" s="111"/>
      <c r="BU457" s="111"/>
      <c r="BV457" s="111"/>
    </row>
    <row r="458" spans="1:74" s="50" customFormat="1" ht="15" hidden="1" customHeight="1">
      <c r="A458" s="109">
        <v>454</v>
      </c>
      <c r="B458" s="26" t="s">
        <v>915</v>
      </c>
      <c r="C458" s="27" t="s">
        <v>916</v>
      </c>
      <c r="D458" s="26" t="s">
        <v>21</v>
      </c>
      <c r="E458" s="109"/>
      <c r="F458" s="109"/>
      <c r="G458" s="110">
        <v>5</v>
      </c>
      <c r="H458" s="3">
        <f t="shared" si="21"/>
        <v>0</v>
      </c>
      <c r="I458" s="3">
        <f t="shared" si="22"/>
        <v>0</v>
      </c>
      <c r="J458" s="110">
        <f t="shared" si="23"/>
        <v>5</v>
      </c>
      <c r="K458" s="110"/>
      <c r="L458" s="110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  <c r="AJ458" s="111"/>
      <c r="AK458" s="111"/>
      <c r="AL458" s="111"/>
      <c r="AM458" s="111"/>
      <c r="AN458" s="111"/>
      <c r="AO458" s="111"/>
      <c r="AP458" s="111"/>
      <c r="AQ458" s="111"/>
      <c r="AR458" s="111"/>
      <c r="AS458" s="111"/>
      <c r="AT458" s="111"/>
      <c r="AU458" s="111"/>
      <c r="AV458" s="111"/>
      <c r="AW458" s="111"/>
      <c r="AX458" s="111"/>
      <c r="AY458" s="111"/>
      <c r="AZ458" s="111"/>
      <c r="BA458" s="111"/>
      <c r="BB458" s="111"/>
      <c r="BC458" s="111"/>
      <c r="BD458" s="111"/>
      <c r="BE458" s="111"/>
      <c r="BF458" s="111"/>
      <c r="BG458" s="111"/>
      <c r="BH458" s="111"/>
      <c r="BI458" s="111"/>
      <c r="BJ458" s="111"/>
      <c r="BK458" s="111"/>
      <c r="BL458" s="111"/>
      <c r="BM458" s="111"/>
      <c r="BN458" s="111"/>
      <c r="BO458" s="111"/>
      <c r="BP458" s="111"/>
      <c r="BQ458" s="111"/>
      <c r="BR458" s="111"/>
      <c r="BS458" s="111"/>
      <c r="BT458" s="111"/>
      <c r="BU458" s="111"/>
      <c r="BV458" s="111"/>
    </row>
    <row r="459" spans="1:74" s="50" customFormat="1" ht="15" hidden="1" customHeight="1">
      <c r="A459" s="109">
        <v>455</v>
      </c>
      <c r="B459" s="26" t="s">
        <v>917</v>
      </c>
      <c r="C459" s="27" t="s">
        <v>918</v>
      </c>
      <c r="D459" s="26" t="s">
        <v>21</v>
      </c>
      <c r="E459" s="109"/>
      <c r="F459" s="109"/>
      <c r="G459" s="110">
        <v>176</v>
      </c>
      <c r="H459" s="3">
        <f t="shared" si="21"/>
        <v>0</v>
      </c>
      <c r="I459" s="3">
        <f t="shared" si="22"/>
        <v>0</v>
      </c>
      <c r="J459" s="110">
        <f t="shared" si="23"/>
        <v>176</v>
      </c>
      <c r="K459" s="110"/>
      <c r="L459" s="110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  <c r="AJ459" s="111"/>
      <c r="AK459" s="111"/>
      <c r="AL459" s="111"/>
      <c r="AM459" s="111"/>
      <c r="AN459" s="111"/>
      <c r="AO459" s="111"/>
      <c r="AP459" s="111"/>
      <c r="AQ459" s="111"/>
      <c r="AR459" s="111"/>
      <c r="AS459" s="111"/>
      <c r="AT459" s="111"/>
      <c r="AU459" s="111"/>
      <c r="AV459" s="111"/>
      <c r="AW459" s="111"/>
      <c r="AX459" s="111"/>
      <c r="AY459" s="111"/>
      <c r="AZ459" s="111"/>
      <c r="BA459" s="111"/>
      <c r="BB459" s="111"/>
      <c r="BC459" s="111"/>
      <c r="BD459" s="111"/>
      <c r="BE459" s="111"/>
      <c r="BF459" s="111"/>
      <c r="BG459" s="111"/>
      <c r="BH459" s="111"/>
      <c r="BI459" s="111"/>
      <c r="BJ459" s="111"/>
      <c r="BK459" s="111"/>
      <c r="BL459" s="111"/>
      <c r="BM459" s="111"/>
      <c r="BN459" s="111"/>
      <c r="BO459" s="111"/>
      <c r="BP459" s="111"/>
      <c r="BQ459" s="111"/>
      <c r="BR459" s="111"/>
      <c r="BS459" s="111"/>
      <c r="BT459" s="111"/>
      <c r="BU459" s="111"/>
      <c r="BV459" s="111"/>
    </row>
    <row r="460" spans="1:74" s="50" customFormat="1" ht="15" hidden="1" customHeight="1">
      <c r="A460" s="142">
        <v>456</v>
      </c>
      <c r="B460" s="143" t="s">
        <v>919</v>
      </c>
      <c r="C460" s="144" t="s">
        <v>920</v>
      </c>
      <c r="D460" s="143" t="s">
        <v>21</v>
      </c>
      <c r="E460" s="109"/>
      <c r="F460" s="109"/>
      <c r="G460" s="110">
        <v>127</v>
      </c>
      <c r="H460" s="3">
        <f t="shared" si="21"/>
        <v>0</v>
      </c>
      <c r="I460" s="3">
        <f t="shared" si="22"/>
        <v>0</v>
      </c>
      <c r="J460" s="110">
        <f t="shared" si="23"/>
        <v>127</v>
      </c>
      <c r="K460" s="110"/>
      <c r="L460" s="110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  <c r="AJ460" s="111"/>
      <c r="AK460" s="111"/>
      <c r="AL460" s="111"/>
      <c r="AM460" s="111"/>
      <c r="AN460" s="111"/>
      <c r="AO460" s="111"/>
      <c r="AP460" s="111"/>
      <c r="AQ460" s="111"/>
      <c r="AR460" s="111"/>
      <c r="AS460" s="111"/>
      <c r="AT460" s="111"/>
      <c r="AU460" s="111"/>
      <c r="AV460" s="111"/>
      <c r="AW460" s="111"/>
      <c r="AX460" s="111"/>
      <c r="AY460" s="111"/>
      <c r="AZ460" s="111"/>
      <c r="BA460" s="111"/>
      <c r="BB460" s="111"/>
      <c r="BC460" s="111"/>
      <c r="BD460" s="111"/>
      <c r="BE460" s="111"/>
      <c r="BF460" s="111"/>
      <c r="BG460" s="111"/>
      <c r="BH460" s="111"/>
      <c r="BI460" s="111"/>
      <c r="BJ460" s="111"/>
      <c r="BK460" s="111"/>
      <c r="BL460" s="111"/>
      <c r="BM460" s="111"/>
      <c r="BN460" s="111"/>
      <c r="BO460" s="111"/>
      <c r="BP460" s="111"/>
      <c r="BQ460" s="111"/>
      <c r="BR460" s="111"/>
      <c r="BS460" s="111"/>
      <c r="BT460" s="111"/>
      <c r="BU460" s="111"/>
      <c r="BV460" s="111"/>
    </row>
    <row r="461" spans="1:74" s="50" customFormat="1" ht="15" hidden="1" customHeight="1">
      <c r="A461" s="142">
        <v>457</v>
      </c>
      <c r="B461" s="143" t="s">
        <v>921</v>
      </c>
      <c r="C461" s="144" t="s">
        <v>922</v>
      </c>
      <c r="D461" s="143" t="s">
        <v>21</v>
      </c>
      <c r="E461" s="109"/>
      <c r="F461" s="109"/>
      <c r="G461" s="110">
        <v>30</v>
      </c>
      <c r="H461" s="3">
        <f t="shared" si="21"/>
        <v>0</v>
      </c>
      <c r="I461" s="3">
        <f t="shared" si="22"/>
        <v>0</v>
      </c>
      <c r="J461" s="110">
        <f t="shared" si="23"/>
        <v>30</v>
      </c>
      <c r="K461" s="110"/>
      <c r="L461" s="110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  <c r="AJ461" s="111"/>
      <c r="AK461" s="111"/>
      <c r="AL461" s="111"/>
      <c r="AM461" s="111"/>
      <c r="AN461" s="111"/>
      <c r="AO461" s="111"/>
      <c r="AP461" s="111"/>
      <c r="AQ461" s="111"/>
      <c r="AR461" s="111"/>
      <c r="AS461" s="111"/>
      <c r="AT461" s="111"/>
      <c r="AU461" s="111"/>
      <c r="AV461" s="111"/>
      <c r="AW461" s="111"/>
      <c r="AX461" s="111"/>
      <c r="AY461" s="111"/>
      <c r="AZ461" s="111"/>
      <c r="BA461" s="111"/>
      <c r="BB461" s="111"/>
      <c r="BC461" s="111"/>
      <c r="BD461" s="111"/>
      <c r="BE461" s="111"/>
      <c r="BF461" s="111"/>
      <c r="BG461" s="111"/>
      <c r="BH461" s="111"/>
      <c r="BI461" s="111"/>
      <c r="BJ461" s="111"/>
      <c r="BK461" s="111"/>
      <c r="BL461" s="111"/>
      <c r="BM461" s="111"/>
      <c r="BN461" s="111"/>
      <c r="BO461" s="111"/>
      <c r="BP461" s="111"/>
      <c r="BQ461" s="111"/>
      <c r="BR461" s="111"/>
      <c r="BS461" s="111"/>
      <c r="BT461" s="111"/>
      <c r="BU461" s="111"/>
      <c r="BV461" s="111"/>
    </row>
    <row r="462" spans="1:74" s="50" customFormat="1" ht="17.25" hidden="1" customHeight="1">
      <c r="A462" s="109">
        <v>458</v>
      </c>
      <c r="B462" s="26" t="s">
        <v>923</v>
      </c>
      <c r="C462" s="27" t="s">
        <v>924</v>
      </c>
      <c r="D462" s="26" t="s">
        <v>21</v>
      </c>
      <c r="E462" s="109"/>
      <c r="F462" s="109"/>
      <c r="G462" s="110">
        <v>73</v>
      </c>
      <c r="H462" s="3">
        <f t="shared" si="21"/>
        <v>0</v>
      </c>
      <c r="I462" s="3">
        <f t="shared" si="22"/>
        <v>0</v>
      </c>
      <c r="J462" s="110">
        <f t="shared" si="23"/>
        <v>73</v>
      </c>
      <c r="K462" s="110"/>
      <c r="L462" s="110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  <c r="AJ462" s="111"/>
      <c r="AK462" s="111"/>
      <c r="AL462" s="111"/>
      <c r="AM462" s="111"/>
      <c r="AN462" s="111"/>
      <c r="AO462" s="111"/>
      <c r="AP462" s="111"/>
      <c r="AQ462" s="111"/>
      <c r="AR462" s="111"/>
      <c r="AS462" s="111"/>
      <c r="AT462" s="111"/>
      <c r="AU462" s="111"/>
      <c r="AV462" s="111"/>
      <c r="AW462" s="111"/>
      <c r="AX462" s="111"/>
      <c r="AY462" s="111"/>
      <c r="AZ462" s="111"/>
      <c r="BA462" s="111"/>
      <c r="BB462" s="111"/>
      <c r="BC462" s="111"/>
      <c r="BD462" s="111"/>
      <c r="BE462" s="111"/>
      <c r="BF462" s="111"/>
      <c r="BG462" s="111"/>
      <c r="BH462" s="111"/>
      <c r="BI462" s="111"/>
      <c r="BJ462" s="111"/>
      <c r="BK462" s="111"/>
      <c r="BL462" s="111"/>
      <c r="BM462" s="111"/>
      <c r="BN462" s="111"/>
      <c r="BO462" s="111"/>
      <c r="BP462" s="111"/>
      <c r="BQ462" s="111"/>
      <c r="BR462" s="111"/>
      <c r="BS462" s="111"/>
      <c r="BT462" s="111"/>
      <c r="BU462" s="111"/>
      <c r="BV462" s="111"/>
    </row>
    <row r="463" spans="1:74" s="50" customFormat="1" ht="15" hidden="1" customHeight="1">
      <c r="A463" s="109">
        <v>459</v>
      </c>
      <c r="B463" s="26" t="s">
        <v>925</v>
      </c>
      <c r="C463" s="27" t="s">
        <v>926</v>
      </c>
      <c r="D463" s="26" t="s">
        <v>21</v>
      </c>
      <c r="E463" s="109"/>
      <c r="F463" s="109"/>
      <c r="G463" s="110">
        <v>772</v>
      </c>
      <c r="H463" s="3">
        <f t="shared" si="21"/>
        <v>0</v>
      </c>
      <c r="I463" s="3">
        <f t="shared" si="22"/>
        <v>0</v>
      </c>
      <c r="J463" s="110">
        <f t="shared" si="23"/>
        <v>772</v>
      </c>
      <c r="K463" s="110"/>
      <c r="L463" s="110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1"/>
      <c r="AK463" s="111"/>
      <c r="AL463" s="111"/>
      <c r="AM463" s="111"/>
      <c r="AN463" s="111"/>
      <c r="AO463" s="111"/>
      <c r="AP463" s="111"/>
      <c r="AQ463" s="111"/>
      <c r="AR463" s="111"/>
      <c r="AS463" s="111"/>
      <c r="AT463" s="111"/>
      <c r="AU463" s="111"/>
      <c r="AV463" s="111"/>
      <c r="AW463" s="111"/>
      <c r="AX463" s="111"/>
      <c r="AY463" s="111"/>
      <c r="AZ463" s="111"/>
      <c r="BA463" s="111"/>
      <c r="BB463" s="111"/>
      <c r="BC463" s="111"/>
      <c r="BD463" s="111"/>
      <c r="BE463" s="111"/>
      <c r="BF463" s="111"/>
      <c r="BG463" s="111"/>
      <c r="BH463" s="111"/>
      <c r="BI463" s="111"/>
      <c r="BJ463" s="111"/>
      <c r="BK463" s="111"/>
      <c r="BL463" s="111"/>
      <c r="BM463" s="111"/>
      <c r="BN463" s="111"/>
      <c r="BO463" s="111"/>
      <c r="BP463" s="111"/>
      <c r="BQ463" s="111"/>
      <c r="BR463" s="111"/>
      <c r="BS463" s="111"/>
      <c r="BT463" s="111"/>
      <c r="BU463" s="111"/>
      <c r="BV463" s="111"/>
    </row>
    <row r="464" spans="1:74" s="50" customFormat="1" ht="15" hidden="1" customHeight="1">
      <c r="A464" s="142">
        <v>460</v>
      </c>
      <c r="B464" s="143" t="s">
        <v>927</v>
      </c>
      <c r="C464" s="144" t="s">
        <v>928</v>
      </c>
      <c r="D464" s="143" t="s">
        <v>21</v>
      </c>
      <c r="E464" s="109"/>
      <c r="F464" s="109"/>
      <c r="G464" s="110">
        <v>46</v>
      </c>
      <c r="H464" s="3">
        <f t="shared" si="21"/>
        <v>0</v>
      </c>
      <c r="I464" s="3">
        <f t="shared" si="22"/>
        <v>0</v>
      </c>
      <c r="J464" s="110">
        <f t="shared" si="23"/>
        <v>46</v>
      </c>
      <c r="K464" s="110"/>
      <c r="L464" s="110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  <c r="AJ464" s="111"/>
      <c r="AK464" s="111"/>
      <c r="AL464" s="111"/>
      <c r="AM464" s="111"/>
      <c r="AN464" s="111"/>
      <c r="AO464" s="111"/>
      <c r="AP464" s="111"/>
      <c r="AQ464" s="111"/>
      <c r="AR464" s="111"/>
      <c r="AS464" s="111"/>
      <c r="AT464" s="111"/>
      <c r="AU464" s="111"/>
      <c r="AV464" s="111"/>
      <c r="AW464" s="111"/>
      <c r="AX464" s="111"/>
      <c r="AY464" s="111"/>
      <c r="AZ464" s="111"/>
      <c r="BA464" s="111"/>
      <c r="BB464" s="111"/>
      <c r="BC464" s="111"/>
      <c r="BD464" s="111"/>
      <c r="BE464" s="111"/>
      <c r="BF464" s="111"/>
      <c r="BG464" s="111"/>
      <c r="BH464" s="111"/>
      <c r="BI464" s="111"/>
      <c r="BJ464" s="111"/>
      <c r="BK464" s="111"/>
      <c r="BL464" s="111"/>
      <c r="BM464" s="111"/>
      <c r="BN464" s="111"/>
      <c r="BO464" s="111"/>
      <c r="BP464" s="111"/>
      <c r="BQ464" s="111"/>
      <c r="BR464" s="111"/>
      <c r="BS464" s="111"/>
      <c r="BT464" s="111"/>
      <c r="BU464" s="111"/>
      <c r="BV464" s="111"/>
    </row>
    <row r="465" spans="1:74" s="50" customFormat="1" ht="15" hidden="1" customHeight="1">
      <c r="A465" s="142">
        <v>461</v>
      </c>
      <c r="B465" s="143" t="s">
        <v>929</v>
      </c>
      <c r="C465" s="144" t="s">
        <v>930</v>
      </c>
      <c r="D465" s="143" t="s">
        <v>21</v>
      </c>
      <c r="E465" s="109"/>
      <c r="F465" s="109"/>
      <c r="G465" s="110">
        <v>505</v>
      </c>
      <c r="H465" s="3">
        <f t="shared" si="21"/>
        <v>0</v>
      </c>
      <c r="I465" s="3">
        <f t="shared" si="22"/>
        <v>0</v>
      </c>
      <c r="J465" s="110">
        <f t="shared" si="23"/>
        <v>505</v>
      </c>
      <c r="K465" s="110"/>
      <c r="L465" s="110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  <c r="AJ465" s="111"/>
      <c r="AK465" s="111"/>
      <c r="AL465" s="111"/>
      <c r="AM465" s="111"/>
      <c r="AN465" s="111"/>
      <c r="AO465" s="111"/>
      <c r="AP465" s="111"/>
      <c r="AQ465" s="111"/>
      <c r="AR465" s="111"/>
      <c r="AS465" s="111"/>
      <c r="AT465" s="111"/>
      <c r="AU465" s="111"/>
      <c r="AV465" s="111"/>
      <c r="AW465" s="111"/>
      <c r="AX465" s="111"/>
      <c r="AY465" s="111"/>
      <c r="AZ465" s="111"/>
      <c r="BA465" s="111"/>
      <c r="BB465" s="111"/>
      <c r="BC465" s="111"/>
      <c r="BD465" s="111"/>
      <c r="BE465" s="111"/>
      <c r="BF465" s="111"/>
      <c r="BG465" s="111"/>
      <c r="BH465" s="111"/>
      <c r="BI465" s="111"/>
      <c r="BJ465" s="111"/>
      <c r="BK465" s="111"/>
      <c r="BL465" s="111"/>
      <c r="BM465" s="111"/>
      <c r="BN465" s="111"/>
      <c r="BO465" s="111"/>
      <c r="BP465" s="111"/>
      <c r="BQ465" s="111"/>
      <c r="BR465" s="111"/>
      <c r="BS465" s="111"/>
      <c r="BT465" s="111"/>
      <c r="BU465" s="111"/>
      <c r="BV465" s="111"/>
    </row>
    <row r="466" spans="1:74" s="50" customFormat="1" ht="15" hidden="1" customHeight="1">
      <c r="A466" s="109">
        <v>462</v>
      </c>
      <c r="B466" s="112" t="s">
        <v>931</v>
      </c>
      <c r="C466" s="27" t="s">
        <v>932</v>
      </c>
      <c r="D466" s="26" t="s">
        <v>21</v>
      </c>
      <c r="E466" s="109"/>
      <c r="F466" s="109"/>
      <c r="G466" s="110">
        <v>62</v>
      </c>
      <c r="H466" s="3">
        <f t="shared" si="21"/>
        <v>0</v>
      </c>
      <c r="I466" s="3">
        <f t="shared" si="22"/>
        <v>0</v>
      </c>
      <c r="J466" s="110">
        <f t="shared" si="23"/>
        <v>62</v>
      </c>
      <c r="K466" s="110"/>
      <c r="L466" s="110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  <c r="AJ466" s="111"/>
      <c r="AK466" s="111"/>
      <c r="AL466" s="111"/>
      <c r="AM466" s="111"/>
      <c r="AN466" s="111"/>
      <c r="AO466" s="111"/>
      <c r="AP466" s="111"/>
      <c r="AQ466" s="111"/>
      <c r="AR466" s="111"/>
      <c r="AS466" s="111"/>
      <c r="AT466" s="111"/>
      <c r="AU466" s="111"/>
      <c r="AV466" s="111"/>
      <c r="AW466" s="111"/>
      <c r="AX466" s="111"/>
      <c r="AY466" s="111"/>
      <c r="AZ466" s="111"/>
      <c r="BA466" s="111"/>
      <c r="BB466" s="111"/>
      <c r="BC466" s="111"/>
      <c r="BD466" s="111"/>
      <c r="BE466" s="111"/>
      <c r="BF466" s="111"/>
      <c r="BG466" s="111"/>
      <c r="BH466" s="111"/>
      <c r="BI466" s="111"/>
      <c r="BJ466" s="111"/>
      <c r="BK466" s="111"/>
      <c r="BL466" s="111"/>
      <c r="BM466" s="111"/>
      <c r="BN466" s="111"/>
      <c r="BO466" s="111"/>
      <c r="BP466" s="111"/>
      <c r="BQ466" s="111"/>
      <c r="BR466" s="111"/>
      <c r="BS466" s="111"/>
      <c r="BT466" s="111"/>
      <c r="BU466" s="111"/>
      <c r="BV466" s="111"/>
    </row>
    <row r="467" spans="1:74" s="50" customFormat="1" ht="15" hidden="1" customHeight="1">
      <c r="A467" s="142">
        <v>463</v>
      </c>
      <c r="B467" s="143" t="s">
        <v>933</v>
      </c>
      <c r="C467" s="144" t="s">
        <v>934</v>
      </c>
      <c r="D467" s="143" t="s">
        <v>21</v>
      </c>
      <c r="E467" s="109"/>
      <c r="F467" s="109"/>
      <c r="G467" s="110">
        <v>12</v>
      </c>
      <c r="H467" s="3">
        <f t="shared" si="21"/>
        <v>0</v>
      </c>
      <c r="I467" s="3">
        <f t="shared" si="22"/>
        <v>0</v>
      </c>
      <c r="J467" s="110">
        <f t="shared" si="23"/>
        <v>12</v>
      </c>
      <c r="K467" s="110"/>
      <c r="L467" s="110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  <c r="AJ467" s="111"/>
      <c r="AK467" s="111"/>
      <c r="AL467" s="111"/>
      <c r="AM467" s="111"/>
      <c r="AN467" s="111"/>
      <c r="AO467" s="111"/>
      <c r="AP467" s="111"/>
      <c r="AQ467" s="111"/>
      <c r="AR467" s="111"/>
      <c r="AS467" s="111"/>
      <c r="AT467" s="111"/>
      <c r="AU467" s="111"/>
      <c r="AV467" s="111"/>
      <c r="AW467" s="111"/>
      <c r="AX467" s="111"/>
      <c r="AY467" s="111"/>
      <c r="AZ467" s="111"/>
      <c r="BA467" s="111"/>
      <c r="BB467" s="111"/>
      <c r="BC467" s="111"/>
      <c r="BD467" s="111"/>
      <c r="BE467" s="111"/>
      <c r="BF467" s="111"/>
      <c r="BG467" s="111"/>
      <c r="BH467" s="111"/>
      <c r="BI467" s="111"/>
      <c r="BJ467" s="111"/>
      <c r="BK467" s="111"/>
      <c r="BL467" s="111"/>
      <c r="BM467" s="111"/>
      <c r="BN467" s="111"/>
      <c r="BO467" s="111"/>
      <c r="BP467" s="111"/>
      <c r="BQ467" s="111"/>
      <c r="BR467" s="111"/>
      <c r="BS467" s="111"/>
      <c r="BT467" s="111"/>
      <c r="BU467" s="111"/>
      <c r="BV467" s="111"/>
    </row>
    <row r="468" spans="1:74" s="50" customFormat="1" ht="15" hidden="1" customHeight="1">
      <c r="A468" s="142">
        <v>464</v>
      </c>
      <c r="B468" s="143" t="s">
        <v>935</v>
      </c>
      <c r="C468" s="144" t="s">
        <v>936</v>
      </c>
      <c r="D468" s="143" t="s">
        <v>21</v>
      </c>
      <c r="E468" s="109"/>
      <c r="F468" s="109"/>
      <c r="G468" s="110">
        <v>21</v>
      </c>
      <c r="H468" s="3">
        <f t="shared" si="21"/>
        <v>0</v>
      </c>
      <c r="I468" s="3">
        <f t="shared" si="22"/>
        <v>0</v>
      </c>
      <c r="J468" s="110">
        <f t="shared" si="23"/>
        <v>21</v>
      </c>
      <c r="K468" s="110"/>
      <c r="L468" s="110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  <c r="AJ468" s="111"/>
      <c r="AK468" s="111"/>
      <c r="AL468" s="111"/>
      <c r="AM468" s="111"/>
      <c r="AN468" s="111"/>
      <c r="AO468" s="111"/>
      <c r="AP468" s="111"/>
      <c r="AQ468" s="111"/>
      <c r="AR468" s="111"/>
      <c r="AS468" s="111"/>
      <c r="AT468" s="111"/>
      <c r="AU468" s="111"/>
      <c r="AV468" s="111"/>
      <c r="AW468" s="111"/>
      <c r="AX468" s="111"/>
      <c r="AY468" s="111"/>
      <c r="AZ468" s="111"/>
      <c r="BA468" s="111"/>
      <c r="BB468" s="111"/>
      <c r="BC468" s="111"/>
      <c r="BD468" s="111"/>
      <c r="BE468" s="111"/>
      <c r="BF468" s="111"/>
      <c r="BG468" s="111"/>
      <c r="BH468" s="111"/>
      <c r="BI468" s="111"/>
      <c r="BJ468" s="111"/>
      <c r="BK468" s="111"/>
      <c r="BL468" s="111"/>
      <c r="BM468" s="111"/>
      <c r="BN468" s="111"/>
      <c r="BO468" s="111"/>
      <c r="BP468" s="111"/>
      <c r="BQ468" s="111"/>
      <c r="BR468" s="111"/>
      <c r="BS468" s="111"/>
      <c r="BT468" s="111"/>
      <c r="BU468" s="111"/>
      <c r="BV468" s="111"/>
    </row>
    <row r="469" spans="1:74" s="50" customFormat="1" ht="15" hidden="1" customHeight="1">
      <c r="A469" s="109">
        <v>465</v>
      </c>
      <c r="B469" s="26" t="s">
        <v>937</v>
      </c>
      <c r="C469" s="27" t="s">
        <v>938</v>
      </c>
      <c r="D469" s="26" t="s">
        <v>21</v>
      </c>
      <c r="E469" s="109"/>
      <c r="F469" s="109"/>
      <c r="G469" s="110">
        <v>0</v>
      </c>
      <c r="H469" s="3">
        <f t="shared" si="21"/>
        <v>0</v>
      </c>
      <c r="I469" s="3">
        <f t="shared" si="22"/>
        <v>0</v>
      </c>
      <c r="J469" s="110">
        <f t="shared" si="23"/>
        <v>0</v>
      </c>
      <c r="K469" s="110"/>
      <c r="L469" s="110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  <c r="AJ469" s="111"/>
      <c r="AK469" s="111"/>
      <c r="AL469" s="111"/>
      <c r="AM469" s="111"/>
      <c r="AN469" s="111"/>
      <c r="AO469" s="111"/>
      <c r="AP469" s="111"/>
      <c r="AQ469" s="111"/>
      <c r="AR469" s="111"/>
      <c r="AS469" s="111"/>
      <c r="AT469" s="111"/>
      <c r="AU469" s="111"/>
      <c r="AV469" s="111"/>
      <c r="AW469" s="111"/>
      <c r="AX469" s="111"/>
      <c r="AY469" s="111"/>
      <c r="AZ469" s="111"/>
      <c r="BA469" s="111"/>
      <c r="BB469" s="111"/>
      <c r="BC469" s="111"/>
      <c r="BD469" s="111"/>
      <c r="BE469" s="111"/>
      <c r="BF469" s="111"/>
      <c r="BG469" s="111"/>
      <c r="BH469" s="111"/>
      <c r="BI469" s="111"/>
      <c r="BJ469" s="111"/>
      <c r="BK469" s="111"/>
      <c r="BL469" s="111"/>
      <c r="BM469" s="111"/>
      <c r="BN469" s="111"/>
      <c r="BO469" s="111"/>
      <c r="BP469" s="111"/>
      <c r="BQ469" s="111"/>
      <c r="BR469" s="111"/>
      <c r="BS469" s="111"/>
      <c r="BT469" s="111"/>
      <c r="BU469" s="111"/>
      <c r="BV469" s="111"/>
    </row>
    <row r="470" spans="1:74" s="50" customFormat="1" ht="15" hidden="1" customHeight="1">
      <c r="A470" s="142">
        <v>466</v>
      </c>
      <c r="B470" s="143" t="s">
        <v>939</v>
      </c>
      <c r="C470" s="144" t="s">
        <v>940</v>
      </c>
      <c r="D470" s="143" t="s">
        <v>21</v>
      </c>
      <c r="E470" s="109"/>
      <c r="F470" s="109"/>
      <c r="G470" s="110">
        <v>80</v>
      </c>
      <c r="H470" s="3">
        <f t="shared" si="21"/>
        <v>0</v>
      </c>
      <c r="I470" s="3">
        <f t="shared" si="22"/>
        <v>0</v>
      </c>
      <c r="J470" s="110">
        <f t="shared" si="23"/>
        <v>80</v>
      </c>
      <c r="K470" s="110"/>
      <c r="L470" s="110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  <c r="AJ470" s="111"/>
      <c r="AK470" s="111"/>
      <c r="AL470" s="111"/>
      <c r="AM470" s="111"/>
      <c r="AN470" s="111"/>
      <c r="AO470" s="111"/>
      <c r="AP470" s="111"/>
      <c r="AQ470" s="111"/>
      <c r="AR470" s="111"/>
      <c r="AS470" s="111"/>
      <c r="AT470" s="111"/>
      <c r="AU470" s="111"/>
      <c r="AV470" s="111"/>
      <c r="AW470" s="111"/>
      <c r="AX470" s="111"/>
      <c r="AY470" s="111"/>
      <c r="AZ470" s="111"/>
      <c r="BA470" s="111"/>
      <c r="BB470" s="111"/>
      <c r="BC470" s="111"/>
      <c r="BD470" s="111"/>
      <c r="BE470" s="111"/>
      <c r="BF470" s="111"/>
      <c r="BG470" s="111"/>
      <c r="BH470" s="111"/>
      <c r="BI470" s="111"/>
      <c r="BJ470" s="111"/>
      <c r="BK470" s="111"/>
      <c r="BL470" s="111"/>
      <c r="BM470" s="111"/>
      <c r="BN470" s="111"/>
      <c r="BO470" s="111"/>
      <c r="BP470" s="111"/>
      <c r="BQ470" s="111"/>
      <c r="BR470" s="111"/>
      <c r="BS470" s="111"/>
      <c r="BT470" s="111"/>
      <c r="BU470" s="111"/>
      <c r="BV470" s="111"/>
    </row>
    <row r="471" spans="1:74" s="50" customFormat="1" ht="15" hidden="1" customHeight="1">
      <c r="A471" s="142">
        <v>467</v>
      </c>
      <c r="B471" s="143" t="s">
        <v>941</v>
      </c>
      <c r="C471" s="144" t="s">
        <v>942</v>
      </c>
      <c r="D471" s="143" t="s">
        <v>21</v>
      </c>
      <c r="E471" s="109"/>
      <c r="F471" s="109"/>
      <c r="G471" s="110">
        <v>0</v>
      </c>
      <c r="H471" s="3">
        <f t="shared" si="21"/>
        <v>16</v>
      </c>
      <c r="I471" s="3">
        <f t="shared" si="22"/>
        <v>0</v>
      </c>
      <c r="J471" s="110">
        <f t="shared" si="23"/>
        <v>16</v>
      </c>
      <c r="K471" s="110"/>
      <c r="L471" s="110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>
        <v>16</v>
      </c>
      <c r="AF471" s="111"/>
      <c r="AG471" s="111"/>
      <c r="AH471" s="111"/>
      <c r="AI471" s="111"/>
      <c r="AJ471" s="111"/>
      <c r="AK471" s="111"/>
      <c r="AL471" s="111"/>
      <c r="AM471" s="111"/>
      <c r="AN471" s="111"/>
      <c r="AO471" s="111"/>
      <c r="AP471" s="111"/>
      <c r="AQ471" s="111"/>
      <c r="AR471" s="111"/>
      <c r="AS471" s="111"/>
      <c r="AT471" s="111"/>
      <c r="AU471" s="111"/>
      <c r="AV471" s="111"/>
      <c r="AW471" s="111"/>
      <c r="AX471" s="111"/>
      <c r="AY471" s="111"/>
      <c r="AZ471" s="111"/>
      <c r="BA471" s="111"/>
      <c r="BB471" s="111"/>
      <c r="BC471" s="111"/>
      <c r="BD471" s="111"/>
      <c r="BE471" s="111"/>
      <c r="BF471" s="111"/>
      <c r="BG471" s="111"/>
      <c r="BH471" s="111"/>
      <c r="BI471" s="111"/>
      <c r="BJ471" s="111"/>
      <c r="BK471" s="111"/>
      <c r="BL471" s="111"/>
      <c r="BM471" s="111"/>
      <c r="BN471" s="111"/>
      <c r="BO471" s="111"/>
      <c r="BP471" s="111"/>
      <c r="BQ471" s="111"/>
      <c r="BR471" s="111"/>
      <c r="BS471" s="111"/>
      <c r="BT471" s="111"/>
      <c r="BU471" s="111"/>
      <c r="BV471" s="111"/>
    </row>
    <row r="472" spans="1:74" s="50" customFormat="1" ht="15" hidden="1" customHeight="1">
      <c r="A472" s="142">
        <v>468</v>
      </c>
      <c r="B472" s="143" t="s">
        <v>943</v>
      </c>
      <c r="C472" s="144" t="s">
        <v>944</v>
      </c>
      <c r="D472" s="143" t="s">
        <v>21</v>
      </c>
      <c r="E472" s="109"/>
      <c r="F472" s="109"/>
      <c r="G472" s="110">
        <v>5</v>
      </c>
      <c r="H472" s="3">
        <f t="shared" si="21"/>
        <v>0</v>
      </c>
      <c r="I472" s="3">
        <f t="shared" si="22"/>
        <v>0</v>
      </c>
      <c r="J472" s="110">
        <f t="shared" si="23"/>
        <v>5</v>
      </c>
      <c r="K472" s="110"/>
      <c r="L472" s="110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  <c r="AJ472" s="111"/>
      <c r="AK472" s="111"/>
      <c r="AL472" s="111"/>
      <c r="AM472" s="111"/>
      <c r="AN472" s="111"/>
      <c r="AO472" s="111"/>
      <c r="AP472" s="111"/>
      <c r="AQ472" s="111"/>
      <c r="AR472" s="111"/>
      <c r="AS472" s="111"/>
      <c r="AT472" s="111"/>
      <c r="AU472" s="111"/>
      <c r="AV472" s="111"/>
      <c r="AW472" s="111"/>
      <c r="AX472" s="111"/>
      <c r="AY472" s="111"/>
      <c r="AZ472" s="111"/>
      <c r="BA472" s="111"/>
      <c r="BB472" s="111"/>
      <c r="BC472" s="111"/>
      <c r="BD472" s="111"/>
      <c r="BE472" s="111"/>
      <c r="BF472" s="111"/>
      <c r="BG472" s="111"/>
      <c r="BH472" s="111"/>
      <c r="BI472" s="111"/>
      <c r="BJ472" s="111"/>
      <c r="BK472" s="111"/>
      <c r="BL472" s="111"/>
      <c r="BM472" s="111"/>
      <c r="BN472" s="111"/>
      <c r="BO472" s="111"/>
      <c r="BP472" s="111"/>
      <c r="BQ472" s="111"/>
      <c r="BR472" s="111"/>
      <c r="BS472" s="111"/>
      <c r="BT472" s="111"/>
      <c r="BU472" s="111"/>
      <c r="BV472" s="111"/>
    </row>
    <row r="473" spans="1:74" s="50" customFormat="1" ht="15" hidden="1" customHeight="1">
      <c r="A473" s="142">
        <v>469</v>
      </c>
      <c r="B473" s="143" t="s">
        <v>945</v>
      </c>
      <c r="C473" s="144" t="s">
        <v>946</v>
      </c>
      <c r="D473" s="143" t="s">
        <v>21</v>
      </c>
      <c r="E473" s="109"/>
      <c r="F473" s="109"/>
      <c r="G473" s="110">
        <v>5</v>
      </c>
      <c r="H473" s="3">
        <f t="shared" si="21"/>
        <v>0</v>
      </c>
      <c r="I473" s="3">
        <f t="shared" si="22"/>
        <v>0</v>
      </c>
      <c r="J473" s="110">
        <f t="shared" si="23"/>
        <v>5</v>
      </c>
      <c r="K473" s="110"/>
      <c r="L473" s="110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  <c r="AR473" s="111"/>
      <c r="AS473" s="111"/>
      <c r="AT473" s="111"/>
      <c r="AU473" s="111"/>
      <c r="AV473" s="111"/>
      <c r="AW473" s="111"/>
      <c r="AX473" s="111"/>
      <c r="AY473" s="111"/>
      <c r="AZ473" s="111"/>
      <c r="BA473" s="111"/>
      <c r="BB473" s="111"/>
      <c r="BC473" s="111"/>
      <c r="BD473" s="111"/>
      <c r="BE473" s="111"/>
      <c r="BF473" s="111"/>
      <c r="BG473" s="111"/>
      <c r="BH473" s="111"/>
      <c r="BI473" s="111"/>
      <c r="BJ473" s="111"/>
      <c r="BK473" s="111"/>
      <c r="BL473" s="111"/>
      <c r="BM473" s="111"/>
      <c r="BN473" s="111"/>
      <c r="BO473" s="111"/>
      <c r="BP473" s="111"/>
      <c r="BQ473" s="111"/>
      <c r="BR473" s="111"/>
      <c r="BS473" s="111"/>
      <c r="BT473" s="111"/>
      <c r="BU473" s="111"/>
      <c r="BV473" s="111"/>
    </row>
    <row r="474" spans="1:74" s="50" customFormat="1" ht="15" hidden="1" customHeight="1">
      <c r="A474" s="142">
        <v>470</v>
      </c>
      <c r="B474" s="143" t="s">
        <v>947</v>
      </c>
      <c r="C474" s="144" t="s">
        <v>948</v>
      </c>
      <c r="D474" s="143" t="s">
        <v>21</v>
      </c>
      <c r="E474" s="109"/>
      <c r="F474" s="109"/>
      <c r="G474" s="110">
        <v>303</v>
      </c>
      <c r="H474" s="3">
        <f t="shared" si="21"/>
        <v>0</v>
      </c>
      <c r="I474" s="3">
        <f t="shared" si="22"/>
        <v>0</v>
      </c>
      <c r="J474" s="110">
        <f t="shared" si="23"/>
        <v>303</v>
      </c>
      <c r="K474" s="110"/>
      <c r="L474" s="110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  <c r="AR474" s="111"/>
      <c r="AS474" s="111"/>
      <c r="AT474" s="111"/>
      <c r="AU474" s="111"/>
      <c r="AV474" s="111"/>
      <c r="AW474" s="111"/>
      <c r="AX474" s="111"/>
      <c r="AY474" s="111"/>
      <c r="AZ474" s="111"/>
      <c r="BA474" s="111"/>
      <c r="BB474" s="111"/>
      <c r="BC474" s="111"/>
      <c r="BD474" s="111"/>
      <c r="BE474" s="111"/>
      <c r="BF474" s="111"/>
      <c r="BG474" s="111"/>
      <c r="BH474" s="111"/>
      <c r="BI474" s="111"/>
      <c r="BJ474" s="111"/>
      <c r="BK474" s="111"/>
      <c r="BL474" s="111"/>
      <c r="BM474" s="111"/>
      <c r="BN474" s="111"/>
      <c r="BO474" s="111"/>
      <c r="BP474" s="111"/>
      <c r="BQ474" s="111"/>
      <c r="BR474" s="111"/>
      <c r="BS474" s="111"/>
      <c r="BT474" s="111"/>
      <c r="BU474" s="111"/>
      <c r="BV474" s="111"/>
    </row>
    <row r="475" spans="1:74" s="50" customFormat="1" ht="15" hidden="1" customHeight="1">
      <c r="A475" s="109">
        <v>471</v>
      </c>
      <c r="B475" s="26" t="s">
        <v>949</v>
      </c>
      <c r="C475" s="27" t="s">
        <v>950</v>
      </c>
      <c r="D475" s="26" t="s">
        <v>21</v>
      </c>
      <c r="E475" s="109"/>
      <c r="F475" s="109"/>
      <c r="G475" s="110">
        <v>2</v>
      </c>
      <c r="H475" s="3">
        <f t="shared" si="21"/>
        <v>0</v>
      </c>
      <c r="I475" s="3">
        <f t="shared" si="22"/>
        <v>0</v>
      </c>
      <c r="J475" s="110">
        <f t="shared" si="23"/>
        <v>2</v>
      </c>
      <c r="K475" s="110"/>
      <c r="L475" s="110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  <c r="AJ475" s="111"/>
      <c r="AK475" s="111"/>
      <c r="AL475" s="111"/>
      <c r="AM475" s="111"/>
      <c r="AN475" s="111"/>
      <c r="AO475" s="111"/>
      <c r="AP475" s="111"/>
      <c r="AQ475" s="111"/>
      <c r="AR475" s="111"/>
      <c r="AS475" s="111"/>
      <c r="AT475" s="111"/>
      <c r="AU475" s="111"/>
      <c r="AV475" s="111"/>
      <c r="AW475" s="111"/>
      <c r="AX475" s="111"/>
      <c r="AY475" s="111"/>
      <c r="AZ475" s="111"/>
      <c r="BA475" s="111"/>
      <c r="BB475" s="111"/>
      <c r="BC475" s="111"/>
      <c r="BD475" s="111"/>
      <c r="BE475" s="111"/>
      <c r="BF475" s="111"/>
      <c r="BG475" s="111"/>
      <c r="BH475" s="111"/>
      <c r="BI475" s="111"/>
      <c r="BJ475" s="111"/>
      <c r="BK475" s="111"/>
      <c r="BL475" s="111"/>
      <c r="BM475" s="111"/>
      <c r="BN475" s="111"/>
      <c r="BO475" s="111"/>
      <c r="BP475" s="111"/>
      <c r="BQ475" s="111"/>
      <c r="BR475" s="111"/>
      <c r="BS475" s="111"/>
      <c r="BT475" s="111"/>
      <c r="BU475" s="111"/>
      <c r="BV475" s="111"/>
    </row>
    <row r="476" spans="1:74" s="50" customFormat="1" ht="15" hidden="1" customHeight="1">
      <c r="A476" s="142">
        <v>472</v>
      </c>
      <c r="B476" s="143" t="s">
        <v>951</v>
      </c>
      <c r="C476" s="144" t="s">
        <v>952</v>
      </c>
      <c r="D476" s="143" t="s">
        <v>21</v>
      </c>
      <c r="E476" s="109"/>
      <c r="F476" s="109"/>
      <c r="G476" s="110">
        <v>17</v>
      </c>
      <c r="H476" s="3">
        <f t="shared" si="21"/>
        <v>0</v>
      </c>
      <c r="I476" s="3">
        <f t="shared" si="22"/>
        <v>12</v>
      </c>
      <c r="J476" s="110">
        <v>5</v>
      </c>
      <c r="K476" s="110"/>
      <c r="L476" s="110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>
        <v>12</v>
      </c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  <c r="AJ476" s="111"/>
      <c r="AK476" s="111"/>
      <c r="AL476" s="111"/>
      <c r="AM476" s="111"/>
      <c r="AN476" s="111"/>
      <c r="AO476" s="111"/>
      <c r="AP476" s="111"/>
      <c r="AQ476" s="111"/>
      <c r="AR476" s="111"/>
      <c r="AS476" s="111"/>
      <c r="AT476" s="111"/>
      <c r="AU476" s="111"/>
      <c r="AV476" s="111"/>
      <c r="AW476" s="111"/>
      <c r="AX476" s="111"/>
      <c r="AY476" s="111"/>
      <c r="AZ476" s="111"/>
      <c r="BA476" s="111"/>
      <c r="BB476" s="111"/>
      <c r="BC476" s="111"/>
      <c r="BD476" s="111"/>
      <c r="BE476" s="111"/>
      <c r="BF476" s="111"/>
      <c r="BG476" s="111"/>
      <c r="BH476" s="111"/>
      <c r="BI476" s="111"/>
      <c r="BJ476" s="111"/>
      <c r="BK476" s="111"/>
      <c r="BL476" s="111"/>
      <c r="BM476" s="111"/>
      <c r="BN476" s="111"/>
      <c r="BO476" s="111"/>
      <c r="BP476" s="111"/>
      <c r="BQ476" s="111"/>
      <c r="BR476" s="111"/>
      <c r="BS476" s="111"/>
      <c r="BT476" s="111"/>
      <c r="BU476" s="111"/>
      <c r="BV476" s="111"/>
    </row>
    <row r="477" spans="1:74" s="50" customFormat="1" ht="15" hidden="1" customHeight="1">
      <c r="A477" s="142">
        <v>473</v>
      </c>
      <c r="B477" s="143" t="s">
        <v>953</v>
      </c>
      <c r="C477" s="144" t="s">
        <v>954</v>
      </c>
      <c r="D477" s="143" t="s">
        <v>21</v>
      </c>
      <c r="E477" s="109"/>
      <c r="F477" s="109"/>
      <c r="G477" s="110">
        <v>17</v>
      </c>
      <c r="H477" s="3">
        <f t="shared" si="21"/>
        <v>0</v>
      </c>
      <c r="I477" s="3">
        <f t="shared" si="22"/>
        <v>12</v>
      </c>
      <c r="J477" s="110">
        <v>5</v>
      </c>
      <c r="K477" s="110"/>
      <c r="L477" s="110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>
        <v>12</v>
      </c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  <c r="AJ477" s="111"/>
      <c r="AK477" s="111"/>
      <c r="AL477" s="111"/>
      <c r="AM477" s="111"/>
      <c r="AN477" s="111"/>
      <c r="AO477" s="111"/>
      <c r="AP477" s="111"/>
      <c r="AQ477" s="111"/>
      <c r="AR477" s="111"/>
      <c r="AS477" s="111"/>
      <c r="AT477" s="111"/>
      <c r="AU477" s="111"/>
      <c r="AV477" s="111"/>
      <c r="AW477" s="111"/>
      <c r="AX477" s="111"/>
      <c r="AY477" s="111"/>
      <c r="AZ477" s="111"/>
      <c r="BA477" s="111"/>
      <c r="BB477" s="111"/>
      <c r="BC477" s="111"/>
      <c r="BD477" s="111"/>
      <c r="BE477" s="111"/>
      <c r="BF477" s="111"/>
      <c r="BG477" s="111"/>
      <c r="BH477" s="111"/>
      <c r="BI477" s="111"/>
      <c r="BJ477" s="111"/>
      <c r="BK477" s="111"/>
      <c r="BL477" s="111"/>
      <c r="BM477" s="111"/>
      <c r="BN477" s="111"/>
      <c r="BO477" s="111"/>
      <c r="BP477" s="111"/>
      <c r="BQ477" s="111"/>
      <c r="BR477" s="111"/>
      <c r="BS477" s="111"/>
      <c r="BT477" s="111"/>
      <c r="BU477" s="111"/>
      <c r="BV477" s="111"/>
    </row>
    <row r="478" spans="1:74" s="50" customFormat="1" ht="15" hidden="1" customHeight="1">
      <c r="A478" s="142">
        <v>474</v>
      </c>
      <c r="B478" s="319" t="s">
        <v>955</v>
      </c>
      <c r="C478" s="268" t="s">
        <v>956</v>
      </c>
      <c r="D478" s="143" t="s">
        <v>21</v>
      </c>
      <c r="E478" s="109"/>
      <c r="F478" s="109"/>
      <c r="G478" s="110">
        <v>11</v>
      </c>
      <c r="H478" s="3">
        <f t="shared" si="21"/>
        <v>0</v>
      </c>
      <c r="I478" s="3">
        <f t="shared" si="22"/>
        <v>0</v>
      </c>
      <c r="J478" s="110">
        <f t="shared" si="23"/>
        <v>11</v>
      </c>
      <c r="K478" s="110"/>
      <c r="L478" s="110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  <c r="AJ478" s="111"/>
      <c r="AK478" s="111"/>
      <c r="AL478" s="111"/>
      <c r="AM478" s="111"/>
      <c r="AN478" s="111"/>
      <c r="AO478" s="111"/>
      <c r="AP478" s="111"/>
      <c r="AQ478" s="111"/>
      <c r="AR478" s="111"/>
      <c r="AS478" s="111"/>
      <c r="AT478" s="111"/>
      <c r="AU478" s="111"/>
      <c r="AV478" s="111"/>
      <c r="AW478" s="111"/>
      <c r="AX478" s="111"/>
      <c r="AY478" s="111"/>
      <c r="AZ478" s="111"/>
      <c r="BA478" s="111"/>
      <c r="BB478" s="111"/>
      <c r="BC478" s="111"/>
      <c r="BD478" s="111"/>
      <c r="BE478" s="111"/>
      <c r="BF478" s="111"/>
      <c r="BG478" s="111"/>
      <c r="BH478" s="111"/>
      <c r="BI478" s="111"/>
      <c r="BJ478" s="111"/>
      <c r="BK478" s="111"/>
      <c r="BL478" s="111"/>
      <c r="BM478" s="111"/>
      <c r="BN478" s="111"/>
      <c r="BO478" s="111"/>
      <c r="BP478" s="111"/>
      <c r="BQ478" s="111"/>
      <c r="BR478" s="111"/>
      <c r="BS478" s="111"/>
      <c r="BT478" s="111"/>
      <c r="BU478" s="111"/>
      <c r="BV478" s="111"/>
    </row>
    <row r="479" spans="1:74" s="50" customFormat="1" ht="15" hidden="1" customHeight="1">
      <c r="A479" s="142">
        <v>475</v>
      </c>
      <c r="B479" s="143" t="s">
        <v>957</v>
      </c>
      <c r="C479" s="144" t="s">
        <v>958</v>
      </c>
      <c r="D479" s="143" t="s">
        <v>21</v>
      </c>
      <c r="E479" s="109"/>
      <c r="F479" s="109"/>
      <c r="G479" s="110">
        <v>0</v>
      </c>
      <c r="H479" s="3">
        <f t="shared" si="21"/>
        <v>0</v>
      </c>
      <c r="I479" s="3">
        <f t="shared" si="22"/>
        <v>0</v>
      </c>
      <c r="J479" s="110">
        <f t="shared" si="23"/>
        <v>0</v>
      </c>
      <c r="K479" s="110"/>
      <c r="L479" s="110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  <c r="AJ479" s="111"/>
      <c r="AK479" s="111"/>
      <c r="AL479" s="111"/>
      <c r="AM479" s="111"/>
      <c r="AN479" s="111"/>
      <c r="AO479" s="111"/>
      <c r="AP479" s="111"/>
      <c r="AQ479" s="111"/>
      <c r="AR479" s="111"/>
      <c r="AS479" s="111"/>
      <c r="AT479" s="111"/>
      <c r="AU479" s="111"/>
      <c r="AV479" s="111"/>
      <c r="AW479" s="111"/>
      <c r="AX479" s="111"/>
      <c r="AY479" s="111"/>
      <c r="AZ479" s="111"/>
      <c r="BA479" s="111"/>
      <c r="BB479" s="111"/>
      <c r="BC479" s="111"/>
      <c r="BD479" s="111"/>
      <c r="BE479" s="111"/>
      <c r="BF479" s="111"/>
      <c r="BG479" s="111"/>
      <c r="BH479" s="111"/>
      <c r="BI479" s="111"/>
      <c r="BJ479" s="111"/>
      <c r="BK479" s="111"/>
      <c r="BL479" s="111"/>
      <c r="BM479" s="111"/>
      <c r="BN479" s="111"/>
      <c r="BO479" s="111"/>
      <c r="BP479" s="111"/>
      <c r="BQ479" s="111"/>
      <c r="BR479" s="111"/>
      <c r="BS479" s="111"/>
      <c r="BT479" s="111"/>
      <c r="BU479" s="111"/>
      <c r="BV479" s="111"/>
    </row>
    <row r="480" spans="1:74" s="50" customFormat="1" ht="15" hidden="1" customHeight="1">
      <c r="A480" s="142">
        <v>476</v>
      </c>
      <c r="B480" s="143" t="s">
        <v>959</v>
      </c>
      <c r="C480" s="144" t="s">
        <v>960</v>
      </c>
      <c r="D480" s="143" t="s">
        <v>21</v>
      </c>
      <c r="E480" s="109"/>
      <c r="F480" s="109"/>
      <c r="G480" s="110">
        <v>5</v>
      </c>
      <c r="H480" s="3">
        <f t="shared" si="21"/>
        <v>0</v>
      </c>
      <c r="I480" s="3">
        <f t="shared" si="22"/>
        <v>0</v>
      </c>
      <c r="J480" s="110">
        <f t="shared" si="23"/>
        <v>5</v>
      </c>
      <c r="K480" s="110"/>
      <c r="L480" s="110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/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/>
      <c r="BP480" s="111"/>
      <c r="BQ480" s="111"/>
      <c r="BR480" s="111"/>
      <c r="BS480" s="111"/>
      <c r="BT480" s="111"/>
      <c r="BU480" s="111"/>
      <c r="BV480" s="111"/>
    </row>
    <row r="481" spans="1:74" s="50" customFormat="1" ht="14.25" hidden="1" customHeight="1">
      <c r="A481" s="142">
        <v>477</v>
      </c>
      <c r="B481" s="143" t="s">
        <v>961</v>
      </c>
      <c r="C481" s="144" t="s">
        <v>962</v>
      </c>
      <c r="D481" s="143" t="s">
        <v>21</v>
      </c>
      <c r="E481" s="109"/>
      <c r="F481" s="109"/>
      <c r="G481" s="110">
        <v>16</v>
      </c>
      <c r="H481" s="3">
        <f t="shared" si="21"/>
        <v>0</v>
      </c>
      <c r="I481" s="3">
        <f t="shared" si="22"/>
        <v>0</v>
      </c>
      <c r="J481" s="110">
        <f t="shared" si="23"/>
        <v>16</v>
      </c>
      <c r="K481" s="110"/>
      <c r="L481" s="110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/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/>
      <c r="BP481" s="111"/>
      <c r="BQ481" s="111"/>
      <c r="BR481" s="111"/>
      <c r="BS481" s="111"/>
      <c r="BT481" s="111"/>
      <c r="BU481" s="111"/>
      <c r="BV481" s="111"/>
    </row>
    <row r="482" spans="1:74" s="50" customFormat="1" ht="15" hidden="1" customHeight="1">
      <c r="A482" s="142">
        <v>478</v>
      </c>
      <c r="B482" s="143" t="s">
        <v>963</v>
      </c>
      <c r="C482" s="144" t="s">
        <v>964</v>
      </c>
      <c r="D482" s="143" t="s">
        <v>21</v>
      </c>
      <c r="E482" s="109"/>
      <c r="F482" s="109"/>
      <c r="G482" s="110">
        <v>2</v>
      </c>
      <c r="H482" s="3">
        <f t="shared" si="21"/>
        <v>0</v>
      </c>
      <c r="I482" s="3">
        <f t="shared" si="22"/>
        <v>0</v>
      </c>
      <c r="J482" s="110">
        <f t="shared" si="23"/>
        <v>2</v>
      </c>
      <c r="K482" s="110"/>
      <c r="L482" s="110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  <c r="AJ482" s="111"/>
      <c r="AK482" s="111"/>
      <c r="AL482" s="111"/>
      <c r="AM482" s="111"/>
      <c r="AN482" s="111"/>
      <c r="AO482" s="111"/>
      <c r="AP482" s="111"/>
      <c r="AQ482" s="111"/>
      <c r="AR482" s="111"/>
      <c r="AS482" s="111"/>
      <c r="AT482" s="111"/>
      <c r="AU482" s="111"/>
      <c r="AV482" s="111"/>
      <c r="AW482" s="111"/>
      <c r="AX482" s="111"/>
      <c r="AY482" s="111"/>
      <c r="AZ482" s="111"/>
      <c r="BA482" s="111"/>
      <c r="BB482" s="111"/>
      <c r="BC482" s="111"/>
      <c r="BD482" s="111"/>
      <c r="BE482" s="111"/>
      <c r="BF482" s="111"/>
      <c r="BG482" s="111"/>
      <c r="BH482" s="111"/>
      <c r="BI482" s="111"/>
      <c r="BJ482" s="111"/>
      <c r="BK482" s="111"/>
      <c r="BL482" s="111"/>
      <c r="BM482" s="111"/>
      <c r="BN482" s="111"/>
      <c r="BO482" s="111"/>
      <c r="BP482" s="111"/>
      <c r="BQ482" s="111"/>
      <c r="BR482" s="111"/>
      <c r="BS482" s="111"/>
      <c r="BT482" s="111"/>
      <c r="BU482" s="111"/>
      <c r="BV482" s="111"/>
    </row>
    <row r="483" spans="1:74" s="50" customFormat="1" ht="15" hidden="1" customHeight="1">
      <c r="A483" s="109">
        <v>479</v>
      </c>
      <c r="B483" s="31" t="s">
        <v>965</v>
      </c>
      <c r="C483" s="27" t="s">
        <v>966</v>
      </c>
      <c r="D483" s="26" t="s">
        <v>21</v>
      </c>
      <c r="E483" s="109"/>
      <c r="F483" s="109"/>
      <c r="G483" s="110">
        <v>0</v>
      </c>
      <c r="H483" s="3">
        <f t="shared" si="21"/>
        <v>0</v>
      </c>
      <c r="I483" s="3">
        <f t="shared" si="22"/>
        <v>0</v>
      </c>
      <c r="J483" s="110">
        <f t="shared" si="23"/>
        <v>0</v>
      </c>
      <c r="K483" s="110"/>
      <c r="L483" s="110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/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/>
      <c r="BP483" s="111"/>
      <c r="BQ483" s="111"/>
      <c r="BR483" s="111"/>
      <c r="BS483" s="111"/>
      <c r="BT483" s="111"/>
      <c r="BU483" s="111"/>
      <c r="BV483" s="111"/>
    </row>
    <row r="484" spans="1:74" s="50" customFormat="1" ht="15" hidden="1" customHeight="1">
      <c r="A484" s="142">
        <v>480</v>
      </c>
      <c r="B484" s="143" t="s">
        <v>967</v>
      </c>
      <c r="C484" s="144" t="s">
        <v>968</v>
      </c>
      <c r="D484" s="143" t="s">
        <v>21</v>
      </c>
      <c r="E484" s="109"/>
      <c r="F484" s="109"/>
      <c r="G484" s="110">
        <v>4</v>
      </c>
      <c r="H484" s="3">
        <f t="shared" si="21"/>
        <v>0</v>
      </c>
      <c r="I484" s="3">
        <f t="shared" si="22"/>
        <v>0</v>
      </c>
      <c r="J484" s="110">
        <f t="shared" si="23"/>
        <v>4</v>
      </c>
      <c r="K484" s="110"/>
      <c r="L484" s="110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  <c r="AJ484" s="111"/>
      <c r="AK484" s="111"/>
      <c r="AL484" s="111"/>
      <c r="AM484" s="111"/>
      <c r="AN484" s="111"/>
      <c r="AO484" s="111"/>
      <c r="AP484" s="111"/>
      <c r="AQ484" s="111"/>
      <c r="AR484" s="111"/>
      <c r="AS484" s="111"/>
      <c r="AT484" s="111"/>
      <c r="AU484" s="111"/>
      <c r="AV484" s="111"/>
      <c r="AW484" s="111"/>
      <c r="AX484" s="111"/>
      <c r="AY484" s="111"/>
      <c r="AZ484" s="111"/>
      <c r="BA484" s="111"/>
      <c r="BB484" s="111"/>
      <c r="BC484" s="111"/>
      <c r="BD484" s="111"/>
      <c r="BE484" s="111"/>
      <c r="BF484" s="111"/>
      <c r="BG484" s="111"/>
      <c r="BH484" s="111"/>
      <c r="BI484" s="111"/>
      <c r="BJ484" s="111"/>
      <c r="BK484" s="111"/>
      <c r="BL484" s="111"/>
      <c r="BM484" s="111"/>
      <c r="BN484" s="111"/>
      <c r="BO484" s="111"/>
      <c r="BP484" s="111"/>
      <c r="BQ484" s="111"/>
      <c r="BR484" s="111"/>
      <c r="BS484" s="111"/>
      <c r="BT484" s="111"/>
      <c r="BU484" s="111"/>
      <c r="BV484" s="111"/>
    </row>
    <row r="485" spans="1:74" s="50" customFormat="1" ht="15" hidden="1" customHeight="1">
      <c r="A485" s="142">
        <v>481</v>
      </c>
      <c r="B485" s="143" t="s">
        <v>969</v>
      </c>
      <c r="C485" s="144" t="s">
        <v>970</v>
      </c>
      <c r="D485" s="143" t="s">
        <v>21</v>
      </c>
      <c r="E485" s="109"/>
      <c r="F485" s="109"/>
      <c r="G485" s="110">
        <v>8</v>
      </c>
      <c r="H485" s="3">
        <f t="shared" si="21"/>
        <v>0</v>
      </c>
      <c r="I485" s="3">
        <f t="shared" si="22"/>
        <v>0</v>
      </c>
      <c r="J485" s="110">
        <f t="shared" si="23"/>
        <v>8</v>
      </c>
      <c r="K485" s="110"/>
      <c r="L485" s="110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  <c r="AJ485" s="111"/>
      <c r="AK485" s="111"/>
      <c r="AL485" s="111"/>
      <c r="AM485" s="111"/>
      <c r="AN485" s="111"/>
      <c r="AO485" s="111"/>
      <c r="AP485" s="111"/>
      <c r="AQ485" s="111"/>
      <c r="AR485" s="111"/>
      <c r="AS485" s="111"/>
      <c r="AT485" s="111"/>
      <c r="AU485" s="111"/>
      <c r="AV485" s="111"/>
      <c r="AW485" s="111"/>
      <c r="AX485" s="111"/>
      <c r="AY485" s="111"/>
      <c r="AZ485" s="111"/>
      <c r="BA485" s="111"/>
      <c r="BB485" s="111"/>
      <c r="BC485" s="111"/>
      <c r="BD485" s="111"/>
      <c r="BE485" s="111"/>
      <c r="BF485" s="111"/>
      <c r="BG485" s="111"/>
      <c r="BH485" s="111"/>
      <c r="BI485" s="111"/>
      <c r="BJ485" s="111"/>
      <c r="BK485" s="111"/>
      <c r="BL485" s="111"/>
      <c r="BM485" s="111"/>
      <c r="BN485" s="111"/>
      <c r="BO485" s="111"/>
      <c r="BP485" s="111"/>
      <c r="BQ485" s="111"/>
      <c r="BR485" s="111"/>
      <c r="BS485" s="111"/>
      <c r="BT485" s="111"/>
      <c r="BU485" s="111"/>
      <c r="BV485" s="111"/>
    </row>
    <row r="486" spans="1:74" s="50" customFormat="1" ht="15" hidden="1" customHeight="1">
      <c r="A486" s="109">
        <v>482</v>
      </c>
      <c r="B486" s="26" t="s">
        <v>971</v>
      </c>
      <c r="C486" s="27" t="s">
        <v>972</v>
      </c>
      <c r="D486" s="26" t="s">
        <v>21</v>
      </c>
      <c r="E486" s="109"/>
      <c r="F486" s="109"/>
      <c r="G486" s="110">
        <v>159</v>
      </c>
      <c r="H486" s="3">
        <f t="shared" si="21"/>
        <v>0</v>
      </c>
      <c r="I486" s="3">
        <f t="shared" si="22"/>
        <v>0</v>
      </c>
      <c r="J486" s="110">
        <f t="shared" si="23"/>
        <v>159</v>
      </c>
      <c r="K486" s="110"/>
      <c r="L486" s="110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  <c r="AJ486" s="111"/>
      <c r="AK486" s="111"/>
      <c r="AL486" s="111"/>
      <c r="AM486" s="111"/>
      <c r="AN486" s="111"/>
      <c r="AO486" s="111"/>
      <c r="AP486" s="111"/>
      <c r="AQ486" s="111"/>
      <c r="AR486" s="111"/>
      <c r="AS486" s="111"/>
      <c r="AT486" s="111"/>
      <c r="AU486" s="111"/>
      <c r="AV486" s="111"/>
      <c r="AW486" s="111"/>
      <c r="AX486" s="111"/>
      <c r="AY486" s="111"/>
      <c r="AZ486" s="111"/>
      <c r="BA486" s="111"/>
      <c r="BB486" s="111"/>
      <c r="BC486" s="111"/>
      <c r="BD486" s="111"/>
      <c r="BE486" s="111"/>
      <c r="BF486" s="111"/>
      <c r="BG486" s="111"/>
      <c r="BH486" s="111"/>
      <c r="BI486" s="111"/>
      <c r="BJ486" s="111"/>
      <c r="BK486" s="111"/>
      <c r="BL486" s="111"/>
      <c r="BM486" s="111"/>
      <c r="BN486" s="111"/>
      <c r="BO486" s="111"/>
      <c r="BP486" s="111"/>
      <c r="BQ486" s="111"/>
      <c r="BR486" s="111"/>
      <c r="BS486" s="111"/>
      <c r="BT486" s="111"/>
      <c r="BU486" s="111"/>
      <c r="BV486" s="111"/>
    </row>
    <row r="487" spans="1:74" s="50" customFormat="1" ht="15" hidden="1" customHeight="1">
      <c r="A487" s="142">
        <v>483</v>
      </c>
      <c r="B487" s="143" t="s">
        <v>973</v>
      </c>
      <c r="C487" s="144" t="s">
        <v>974</v>
      </c>
      <c r="D487" s="143" t="s">
        <v>21</v>
      </c>
      <c r="E487" s="109"/>
      <c r="F487" s="109"/>
      <c r="G487" s="110">
        <v>7</v>
      </c>
      <c r="H487" s="3">
        <f t="shared" si="21"/>
        <v>0</v>
      </c>
      <c r="I487" s="3">
        <f t="shared" si="22"/>
        <v>0</v>
      </c>
      <c r="J487" s="110">
        <f t="shared" si="23"/>
        <v>7</v>
      </c>
      <c r="K487" s="110"/>
      <c r="L487" s="110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  <c r="AJ487" s="111"/>
      <c r="AK487" s="111"/>
      <c r="AL487" s="111"/>
      <c r="AM487" s="111"/>
      <c r="AN487" s="111"/>
      <c r="AO487" s="111"/>
      <c r="AP487" s="111"/>
      <c r="AQ487" s="111"/>
      <c r="AR487" s="111"/>
      <c r="AS487" s="111"/>
      <c r="AT487" s="111"/>
      <c r="AU487" s="111"/>
      <c r="AV487" s="111"/>
      <c r="AW487" s="111"/>
      <c r="AX487" s="111"/>
      <c r="AY487" s="111"/>
      <c r="AZ487" s="111"/>
      <c r="BA487" s="111"/>
      <c r="BB487" s="111"/>
      <c r="BC487" s="111"/>
      <c r="BD487" s="111"/>
      <c r="BE487" s="111"/>
      <c r="BF487" s="111"/>
      <c r="BG487" s="111"/>
      <c r="BH487" s="111"/>
      <c r="BI487" s="111"/>
      <c r="BJ487" s="111"/>
      <c r="BK487" s="111"/>
      <c r="BL487" s="111"/>
      <c r="BM487" s="111"/>
      <c r="BN487" s="111"/>
      <c r="BO487" s="111"/>
      <c r="BP487" s="111"/>
      <c r="BQ487" s="111"/>
      <c r="BR487" s="111"/>
      <c r="BS487" s="111"/>
      <c r="BT487" s="111"/>
      <c r="BU487" s="111"/>
      <c r="BV487" s="111"/>
    </row>
    <row r="488" spans="1:74" s="50" customFormat="1" ht="15" hidden="1" customHeight="1">
      <c r="A488" s="109">
        <v>484</v>
      </c>
      <c r="B488" s="26" t="s">
        <v>975</v>
      </c>
      <c r="C488" s="27" t="s">
        <v>976</v>
      </c>
      <c r="D488" s="26" t="s">
        <v>21</v>
      </c>
      <c r="E488" s="109"/>
      <c r="F488" s="109"/>
      <c r="G488" s="110">
        <v>0</v>
      </c>
      <c r="H488" s="3">
        <f t="shared" si="21"/>
        <v>0</v>
      </c>
      <c r="I488" s="3">
        <f t="shared" si="22"/>
        <v>0</v>
      </c>
      <c r="J488" s="110">
        <f t="shared" si="23"/>
        <v>0</v>
      </c>
      <c r="K488" s="110"/>
      <c r="L488" s="110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  <c r="AJ488" s="111"/>
      <c r="AK488" s="111"/>
      <c r="AL488" s="111"/>
      <c r="AM488" s="111"/>
      <c r="AN488" s="111"/>
      <c r="AO488" s="111"/>
      <c r="AP488" s="111"/>
      <c r="AQ488" s="111"/>
      <c r="AR488" s="111"/>
      <c r="AS488" s="111"/>
      <c r="AT488" s="111"/>
      <c r="AU488" s="111"/>
      <c r="AV488" s="111"/>
      <c r="AW488" s="111"/>
      <c r="AX488" s="111"/>
      <c r="AY488" s="111"/>
      <c r="AZ488" s="111"/>
      <c r="BA488" s="111"/>
      <c r="BB488" s="111"/>
      <c r="BC488" s="111"/>
      <c r="BD488" s="111"/>
      <c r="BE488" s="111"/>
      <c r="BF488" s="111"/>
      <c r="BG488" s="111"/>
      <c r="BH488" s="111"/>
      <c r="BI488" s="111"/>
      <c r="BJ488" s="111"/>
      <c r="BK488" s="111"/>
      <c r="BL488" s="111"/>
      <c r="BM488" s="111"/>
      <c r="BN488" s="111"/>
      <c r="BO488" s="111"/>
      <c r="BP488" s="111"/>
      <c r="BQ488" s="111"/>
      <c r="BR488" s="111"/>
      <c r="BS488" s="111"/>
      <c r="BT488" s="111"/>
      <c r="BU488" s="111"/>
      <c r="BV488" s="111"/>
    </row>
    <row r="489" spans="1:74" s="50" customFormat="1" ht="15" hidden="1" customHeight="1">
      <c r="A489" s="109">
        <v>485</v>
      </c>
      <c r="B489" s="26" t="s">
        <v>977</v>
      </c>
      <c r="C489" s="27" t="s">
        <v>978</v>
      </c>
      <c r="D489" s="26" t="s">
        <v>21</v>
      </c>
      <c r="E489" s="109"/>
      <c r="F489" s="109"/>
      <c r="G489" s="110">
        <v>86</v>
      </c>
      <c r="H489" s="3">
        <f t="shared" si="21"/>
        <v>0</v>
      </c>
      <c r="I489" s="3">
        <f t="shared" si="22"/>
        <v>0</v>
      </c>
      <c r="J489" s="110">
        <f t="shared" si="23"/>
        <v>86</v>
      </c>
      <c r="K489" s="110"/>
      <c r="L489" s="110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  <c r="AJ489" s="111"/>
      <c r="AK489" s="111"/>
      <c r="AL489" s="111"/>
      <c r="AM489" s="111"/>
      <c r="AN489" s="111"/>
      <c r="AO489" s="111"/>
      <c r="AP489" s="111"/>
      <c r="AQ489" s="111"/>
      <c r="AR489" s="111"/>
      <c r="AS489" s="111"/>
      <c r="AT489" s="111"/>
      <c r="AU489" s="111"/>
      <c r="AV489" s="111"/>
      <c r="AW489" s="111"/>
      <c r="AX489" s="111"/>
      <c r="AY489" s="111"/>
      <c r="AZ489" s="111"/>
      <c r="BA489" s="111"/>
      <c r="BB489" s="111"/>
      <c r="BC489" s="111"/>
      <c r="BD489" s="111"/>
      <c r="BE489" s="111"/>
      <c r="BF489" s="111"/>
      <c r="BG489" s="111"/>
      <c r="BH489" s="111"/>
      <c r="BI489" s="111"/>
      <c r="BJ489" s="111"/>
      <c r="BK489" s="111"/>
      <c r="BL489" s="111"/>
      <c r="BM489" s="111"/>
      <c r="BN489" s="111"/>
      <c r="BO489" s="111"/>
      <c r="BP489" s="111"/>
      <c r="BQ489" s="111"/>
      <c r="BR489" s="111"/>
      <c r="BS489" s="111"/>
      <c r="BT489" s="111"/>
      <c r="BU489" s="111"/>
      <c r="BV489" s="111"/>
    </row>
    <row r="490" spans="1:74" s="50" customFormat="1" ht="15.75" hidden="1" customHeight="1">
      <c r="A490" s="142">
        <v>486</v>
      </c>
      <c r="B490" s="249" t="s">
        <v>979</v>
      </c>
      <c r="C490" s="144" t="s">
        <v>980</v>
      </c>
      <c r="D490" s="143" t="s">
        <v>21</v>
      </c>
      <c r="E490" s="109"/>
      <c r="F490" s="109"/>
      <c r="G490" s="110">
        <v>0</v>
      </c>
      <c r="H490" s="3">
        <f t="shared" si="21"/>
        <v>0</v>
      </c>
      <c r="I490" s="3">
        <f t="shared" si="22"/>
        <v>0</v>
      </c>
      <c r="J490" s="110">
        <f t="shared" si="23"/>
        <v>0</v>
      </c>
      <c r="K490" s="110"/>
      <c r="L490" s="110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  <c r="AJ490" s="111"/>
      <c r="AK490" s="111"/>
      <c r="AL490" s="111"/>
      <c r="AM490" s="111"/>
      <c r="AN490" s="111"/>
      <c r="AO490" s="111"/>
      <c r="AP490" s="111"/>
      <c r="AQ490" s="111"/>
      <c r="AR490" s="111"/>
      <c r="AS490" s="111"/>
      <c r="AT490" s="111"/>
      <c r="AU490" s="111"/>
      <c r="AV490" s="111"/>
      <c r="AW490" s="111"/>
      <c r="AX490" s="111"/>
      <c r="AY490" s="111"/>
      <c r="AZ490" s="111"/>
      <c r="BA490" s="111"/>
      <c r="BB490" s="111"/>
      <c r="BC490" s="111"/>
      <c r="BD490" s="111"/>
      <c r="BE490" s="111"/>
      <c r="BF490" s="111"/>
      <c r="BG490" s="111"/>
      <c r="BH490" s="111"/>
      <c r="BI490" s="111"/>
      <c r="BJ490" s="111"/>
      <c r="BK490" s="111"/>
      <c r="BL490" s="111"/>
      <c r="BM490" s="111"/>
      <c r="BN490" s="111"/>
      <c r="BO490" s="111"/>
      <c r="BP490" s="111"/>
      <c r="BQ490" s="111"/>
      <c r="BR490" s="111"/>
      <c r="BS490" s="111"/>
      <c r="BT490" s="111"/>
      <c r="BU490" s="111"/>
      <c r="BV490" s="111"/>
    </row>
    <row r="491" spans="1:74" s="50" customFormat="1" ht="15.75" hidden="1" customHeight="1">
      <c r="A491" s="109">
        <v>487</v>
      </c>
      <c r="B491" s="26" t="s">
        <v>981</v>
      </c>
      <c r="C491" s="27" t="s">
        <v>982</v>
      </c>
      <c r="D491" s="26" t="s">
        <v>21</v>
      </c>
      <c r="E491" s="109"/>
      <c r="F491" s="109"/>
      <c r="G491" s="110">
        <v>0</v>
      </c>
      <c r="H491" s="3">
        <f t="shared" si="21"/>
        <v>0</v>
      </c>
      <c r="I491" s="3">
        <f t="shared" si="22"/>
        <v>0</v>
      </c>
      <c r="J491" s="110">
        <f t="shared" si="23"/>
        <v>0</v>
      </c>
      <c r="K491" s="110"/>
      <c r="L491" s="110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  <c r="AJ491" s="111"/>
      <c r="AK491" s="111"/>
      <c r="AL491" s="111"/>
      <c r="AM491" s="111"/>
      <c r="AN491" s="111"/>
      <c r="AO491" s="111"/>
      <c r="AP491" s="111"/>
      <c r="AQ491" s="111"/>
      <c r="AR491" s="111"/>
      <c r="AS491" s="111"/>
      <c r="AT491" s="111"/>
      <c r="AU491" s="111"/>
      <c r="AV491" s="111"/>
      <c r="AW491" s="111"/>
      <c r="AX491" s="111"/>
      <c r="AY491" s="111"/>
      <c r="AZ491" s="111"/>
      <c r="BA491" s="111"/>
      <c r="BB491" s="111"/>
      <c r="BC491" s="111"/>
      <c r="BD491" s="111"/>
      <c r="BE491" s="111"/>
      <c r="BF491" s="111"/>
      <c r="BG491" s="111"/>
      <c r="BH491" s="111"/>
      <c r="BI491" s="111"/>
      <c r="BJ491" s="111"/>
      <c r="BK491" s="111"/>
      <c r="BL491" s="111"/>
      <c r="BM491" s="111"/>
      <c r="BN491" s="111"/>
      <c r="BO491" s="111"/>
      <c r="BP491" s="111"/>
      <c r="BQ491" s="111"/>
      <c r="BR491" s="111"/>
      <c r="BS491" s="111"/>
      <c r="BT491" s="111"/>
      <c r="BU491" s="111"/>
      <c r="BV491" s="111"/>
    </row>
    <row r="492" spans="1:74" s="50" customFormat="1" ht="15.75" hidden="1" customHeight="1">
      <c r="A492" s="142">
        <v>488</v>
      </c>
      <c r="B492" s="143" t="s">
        <v>983</v>
      </c>
      <c r="C492" s="144" t="s">
        <v>984</v>
      </c>
      <c r="D492" s="143" t="s">
        <v>21</v>
      </c>
      <c r="E492" s="109"/>
      <c r="F492" s="109"/>
      <c r="G492" s="110">
        <v>45</v>
      </c>
      <c r="H492" s="3">
        <f t="shared" si="21"/>
        <v>0</v>
      </c>
      <c r="I492" s="3">
        <f t="shared" si="22"/>
        <v>16</v>
      </c>
      <c r="J492" s="110">
        <f t="shared" si="23"/>
        <v>29</v>
      </c>
      <c r="K492" s="110"/>
      <c r="L492" s="110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>
        <v>16</v>
      </c>
      <c r="AG492" s="111"/>
      <c r="AH492" s="111"/>
      <c r="AI492" s="111"/>
      <c r="AJ492" s="111"/>
      <c r="AK492" s="111"/>
      <c r="AL492" s="111"/>
      <c r="AM492" s="111"/>
      <c r="AN492" s="111"/>
      <c r="AO492" s="111"/>
      <c r="AP492" s="111"/>
      <c r="AQ492" s="111"/>
      <c r="AR492" s="111"/>
      <c r="AS492" s="111"/>
      <c r="AT492" s="111"/>
      <c r="AU492" s="111"/>
      <c r="AV492" s="111"/>
      <c r="AW492" s="111"/>
      <c r="AX492" s="111"/>
      <c r="AY492" s="111"/>
      <c r="AZ492" s="111"/>
      <c r="BA492" s="111"/>
      <c r="BB492" s="111"/>
      <c r="BC492" s="111"/>
      <c r="BD492" s="111"/>
      <c r="BE492" s="111"/>
      <c r="BF492" s="111"/>
      <c r="BG492" s="111"/>
      <c r="BH492" s="111"/>
      <c r="BI492" s="111"/>
      <c r="BJ492" s="111"/>
      <c r="BK492" s="111"/>
      <c r="BL492" s="111"/>
      <c r="BM492" s="111"/>
      <c r="BN492" s="111"/>
      <c r="BO492" s="111"/>
      <c r="BP492" s="111"/>
      <c r="BQ492" s="111"/>
      <c r="BR492" s="111"/>
      <c r="BS492" s="111"/>
      <c r="BT492" s="111"/>
      <c r="BU492" s="111"/>
      <c r="BV492" s="111"/>
    </row>
    <row r="493" spans="1:74" s="50" customFormat="1" ht="15.75" hidden="1" customHeight="1">
      <c r="A493" s="142">
        <v>489</v>
      </c>
      <c r="B493" s="143" t="s">
        <v>985</v>
      </c>
      <c r="C493" s="144" t="s">
        <v>986</v>
      </c>
      <c r="D493" s="143" t="s">
        <v>21</v>
      </c>
      <c r="E493" s="109"/>
      <c r="F493" s="109"/>
      <c r="G493" s="110">
        <v>2</v>
      </c>
      <c r="H493" s="3">
        <f t="shared" si="21"/>
        <v>0</v>
      </c>
      <c r="I493" s="3">
        <f t="shared" si="22"/>
        <v>0</v>
      </c>
      <c r="J493" s="110">
        <f t="shared" si="23"/>
        <v>2</v>
      </c>
      <c r="K493" s="110"/>
      <c r="L493" s="110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  <c r="AJ493" s="111"/>
      <c r="AK493" s="111"/>
      <c r="AL493" s="111"/>
      <c r="AM493" s="111"/>
      <c r="AN493" s="111"/>
      <c r="AO493" s="111"/>
      <c r="AP493" s="111"/>
      <c r="AQ493" s="111"/>
      <c r="AR493" s="111"/>
      <c r="AS493" s="111"/>
      <c r="AT493" s="111"/>
      <c r="AU493" s="111"/>
      <c r="AV493" s="111"/>
      <c r="AW493" s="111"/>
      <c r="AX493" s="111"/>
      <c r="AY493" s="111"/>
      <c r="AZ493" s="111"/>
      <c r="BA493" s="111"/>
      <c r="BB493" s="111"/>
      <c r="BC493" s="111"/>
      <c r="BD493" s="111"/>
      <c r="BE493" s="111"/>
      <c r="BF493" s="111"/>
      <c r="BG493" s="111"/>
      <c r="BH493" s="111"/>
      <c r="BI493" s="111"/>
      <c r="BJ493" s="111"/>
      <c r="BK493" s="111"/>
      <c r="BL493" s="111"/>
      <c r="BM493" s="111"/>
      <c r="BN493" s="111"/>
      <c r="BO493" s="111"/>
      <c r="BP493" s="111"/>
      <c r="BQ493" s="111"/>
      <c r="BR493" s="111"/>
      <c r="BS493" s="111"/>
      <c r="BT493" s="111"/>
      <c r="BU493" s="111"/>
      <c r="BV493" s="111"/>
    </row>
    <row r="494" spans="1:74" s="50" customFormat="1" ht="12" hidden="1" customHeight="1">
      <c r="A494" s="109">
        <v>490</v>
      </c>
      <c r="B494" s="26" t="s">
        <v>987</v>
      </c>
      <c r="C494" s="27" t="s">
        <v>988</v>
      </c>
      <c r="D494" s="26" t="s">
        <v>21</v>
      </c>
      <c r="E494" s="109"/>
      <c r="F494" s="109"/>
      <c r="G494" s="110">
        <v>28</v>
      </c>
      <c r="H494" s="3">
        <f t="shared" si="21"/>
        <v>0</v>
      </c>
      <c r="I494" s="3">
        <f t="shared" si="22"/>
        <v>0</v>
      </c>
      <c r="J494" s="110">
        <f t="shared" si="23"/>
        <v>28</v>
      </c>
      <c r="K494" s="110"/>
      <c r="L494" s="110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  <c r="AJ494" s="111"/>
      <c r="AK494" s="111"/>
      <c r="AL494" s="111"/>
      <c r="AM494" s="111"/>
      <c r="AN494" s="111"/>
      <c r="AO494" s="111"/>
      <c r="AP494" s="111"/>
      <c r="AQ494" s="111"/>
      <c r="AR494" s="111"/>
      <c r="AS494" s="111"/>
      <c r="AT494" s="111"/>
      <c r="AU494" s="111"/>
      <c r="AV494" s="111"/>
      <c r="AW494" s="111"/>
      <c r="AX494" s="111"/>
      <c r="AY494" s="111"/>
      <c r="AZ494" s="111"/>
      <c r="BA494" s="111"/>
      <c r="BB494" s="111"/>
      <c r="BC494" s="111"/>
      <c r="BD494" s="111"/>
      <c r="BE494" s="111"/>
      <c r="BF494" s="111"/>
      <c r="BG494" s="111"/>
      <c r="BH494" s="111"/>
      <c r="BI494" s="111"/>
      <c r="BJ494" s="111"/>
      <c r="BK494" s="111"/>
      <c r="BL494" s="111"/>
      <c r="BM494" s="111"/>
      <c r="BN494" s="111"/>
      <c r="BO494" s="111"/>
      <c r="BP494" s="111"/>
      <c r="BQ494" s="111"/>
      <c r="BR494" s="111"/>
      <c r="BS494" s="111"/>
      <c r="BT494" s="111"/>
      <c r="BU494" s="111"/>
      <c r="BV494" s="111"/>
    </row>
    <row r="495" spans="1:74" s="50" customFormat="1" ht="15" hidden="1" customHeight="1">
      <c r="A495" s="109">
        <v>491</v>
      </c>
      <c r="B495" s="26" t="s">
        <v>989</v>
      </c>
      <c r="C495" s="27" t="s">
        <v>990</v>
      </c>
      <c r="D495" s="26" t="s">
        <v>21</v>
      </c>
      <c r="E495" s="109"/>
      <c r="F495" s="109"/>
      <c r="G495" s="110">
        <v>8</v>
      </c>
      <c r="H495" s="3">
        <f t="shared" si="21"/>
        <v>0</v>
      </c>
      <c r="I495" s="3">
        <f t="shared" si="22"/>
        <v>0</v>
      </c>
      <c r="J495" s="110">
        <f t="shared" si="23"/>
        <v>8</v>
      </c>
      <c r="K495" s="110"/>
      <c r="L495" s="110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  <c r="AJ495" s="111"/>
      <c r="AK495" s="111"/>
      <c r="AL495" s="111"/>
      <c r="AM495" s="111"/>
      <c r="AN495" s="111"/>
      <c r="AO495" s="111"/>
      <c r="AP495" s="111"/>
      <c r="AQ495" s="111"/>
      <c r="AR495" s="111"/>
      <c r="AS495" s="111"/>
      <c r="AT495" s="111"/>
      <c r="AU495" s="111"/>
      <c r="AV495" s="111"/>
      <c r="AW495" s="111"/>
      <c r="AX495" s="111"/>
      <c r="AY495" s="111"/>
      <c r="AZ495" s="111"/>
      <c r="BA495" s="111"/>
      <c r="BB495" s="111"/>
      <c r="BC495" s="111"/>
      <c r="BD495" s="111"/>
      <c r="BE495" s="111"/>
      <c r="BF495" s="111"/>
      <c r="BG495" s="111"/>
      <c r="BH495" s="111"/>
      <c r="BI495" s="111"/>
      <c r="BJ495" s="111"/>
      <c r="BK495" s="111"/>
      <c r="BL495" s="111"/>
      <c r="BM495" s="111"/>
      <c r="BN495" s="111"/>
      <c r="BO495" s="111"/>
      <c r="BP495" s="111"/>
      <c r="BQ495" s="111"/>
      <c r="BR495" s="111"/>
      <c r="BS495" s="111"/>
      <c r="BT495" s="111"/>
      <c r="BU495" s="111"/>
      <c r="BV495" s="111"/>
    </row>
    <row r="496" spans="1:74" s="50" customFormat="1" ht="15" hidden="1" customHeight="1">
      <c r="A496" s="142">
        <v>492</v>
      </c>
      <c r="B496" s="143" t="s">
        <v>991</v>
      </c>
      <c r="C496" s="144" t="s">
        <v>992</v>
      </c>
      <c r="D496" s="143" t="s">
        <v>21</v>
      </c>
      <c r="E496" s="109"/>
      <c r="F496" s="109"/>
      <c r="G496" s="110">
        <v>1</v>
      </c>
      <c r="H496" s="3">
        <f t="shared" si="21"/>
        <v>0</v>
      </c>
      <c r="I496" s="3">
        <f t="shared" si="22"/>
        <v>0</v>
      </c>
      <c r="J496" s="110">
        <f t="shared" si="23"/>
        <v>1</v>
      </c>
      <c r="K496" s="110"/>
      <c r="L496" s="110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  <c r="AJ496" s="111"/>
      <c r="AK496" s="111"/>
      <c r="AL496" s="111"/>
      <c r="AM496" s="111"/>
      <c r="AN496" s="111"/>
      <c r="AO496" s="111"/>
      <c r="AP496" s="111"/>
      <c r="AQ496" s="111"/>
      <c r="AR496" s="111"/>
      <c r="AS496" s="111"/>
      <c r="AT496" s="111"/>
      <c r="AU496" s="111"/>
      <c r="AV496" s="111"/>
      <c r="AW496" s="111"/>
      <c r="AX496" s="111"/>
      <c r="AY496" s="111"/>
      <c r="AZ496" s="111"/>
      <c r="BA496" s="111"/>
      <c r="BB496" s="111"/>
      <c r="BC496" s="111"/>
      <c r="BD496" s="111"/>
      <c r="BE496" s="111"/>
      <c r="BF496" s="111"/>
      <c r="BG496" s="111"/>
      <c r="BH496" s="111"/>
      <c r="BI496" s="111"/>
      <c r="BJ496" s="111"/>
      <c r="BK496" s="111"/>
      <c r="BL496" s="111"/>
      <c r="BM496" s="111"/>
      <c r="BN496" s="111"/>
      <c r="BO496" s="111"/>
      <c r="BP496" s="111"/>
      <c r="BQ496" s="111"/>
      <c r="BR496" s="111"/>
      <c r="BS496" s="111"/>
      <c r="BT496" s="111"/>
      <c r="BU496" s="111"/>
      <c r="BV496" s="111"/>
    </row>
    <row r="497" spans="1:74" s="50" customFormat="1" ht="15" hidden="1" customHeight="1">
      <c r="A497" s="142">
        <v>493</v>
      </c>
      <c r="B497" s="143" t="s">
        <v>993</v>
      </c>
      <c r="C497" s="144" t="s">
        <v>994</v>
      </c>
      <c r="D497" s="143" t="s">
        <v>21</v>
      </c>
      <c r="E497" s="109"/>
      <c r="F497" s="109"/>
      <c r="G497" s="110">
        <v>85</v>
      </c>
      <c r="H497" s="3">
        <f t="shared" si="21"/>
        <v>0</v>
      </c>
      <c r="I497" s="3">
        <f t="shared" si="22"/>
        <v>0</v>
      </c>
      <c r="J497" s="110">
        <f t="shared" si="23"/>
        <v>85</v>
      </c>
      <c r="K497" s="110"/>
      <c r="L497" s="110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  <c r="AJ497" s="111"/>
      <c r="AK497" s="111"/>
      <c r="AL497" s="111"/>
      <c r="AM497" s="111"/>
      <c r="AN497" s="111"/>
      <c r="AO497" s="111"/>
      <c r="AP497" s="111"/>
      <c r="AQ497" s="111"/>
      <c r="AR497" s="111"/>
      <c r="AS497" s="111"/>
      <c r="AT497" s="111"/>
      <c r="AU497" s="111"/>
      <c r="AV497" s="111"/>
      <c r="AW497" s="111"/>
      <c r="AX497" s="111"/>
      <c r="AY497" s="111"/>
      <c r="AZ497" s="111"/>
      <c r="BA497" s="111"/>
      <c r="BB497" s="111"/>
      <c r="BC497" s="111"/>
      <c r="BD497" s="111"/>
      <c r="BE497" s="111"/>
      <c r="BF497" s="111"/>
      <c r="BG497" s="111"/>
      <c r="BH497" s="111"/>
      <c r="BI497" s="111"/>
      <c r="BJ497" s="111"/>
      <c r="BK497" s="111"/>
      <c r="BL497" s="111"/>
      <c r="BM497" s="111"/>
      <c r="BN497" s="111"/>
      <c r="BO497" s="111"/>
      <c r="BP497" s="111"/>
      <c r="BQ497" s="111"/>
      <c r="BR497" s="111"/>
      <c r="BS497" s="111"/>
      <c r="BT497" s="111"/>
      <c r="BU497" s="111"/>
      <c r="BV497" s="111"/>
    </row>
    <row r="498" spans="1:74" s="50" customFormat="1" ht="15" hidden="1" customHeight="1">
      <c r="A498" s="142">
        <v>494</v>
      </c>
      <c r="B498" s="143" t="s">
        <v>995</v>
      </c>
      <c r="C498" s="144" t="s">
        <v>996</v>
      </c>
      <c r="D498" s="143" t="s">
        <v>21</v>
      </c>
      <c r="E498" s="109"/>
      <c r="F498" s="109"/>
      <c r="G498" s="110">
        <v>151</v>
      </c>
      <c r="H498" s="3">
        <f t="shared" si="21"/>
        <v>0</v>
      </c>
      <c r="I498" s="3">
        <f t="shared" si="22"/>
        <v>0</v>
      </c>
      <c r="J498" s="110">
        <f t="shared" si="23"/>
        <v>151</v>
      </c>
      <c r="K498" s="110"/>
      <c r="L498" s="110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  <c r="AJ498" s="111"/>
      <c r="AK498" s="111"/>
      <c r="AL498" s="111"/>
      <c r="AM498" s="111"/>
      <c r="AN498" s="111"/>
      <c r="AO498" s="111"/>
      <c r="AP498" s="111"/>
      <c r="AQ498" s="111"/>
      <c r="AR498" s="111"/>
      <c r="AS498" s="111"/>
      <c r="AT498" s="111"/>
      <c r="AU498" s="111"/>
      <c r="AV498" s="111"/>
      <c r="AW498" s="111"/>
      <c r="AX498" s="111"/>
      <c r="AY498" s="111"/>
      <c r="AZ498" s="111"/>
      <c r="BA498" s="111"/>
      <c r="BB498" s="111"/>
      <c r="BC498" s="111"/>
      <c r="BD498" s="111"/>
      <c r="BE498" s="111"/>
      <c r="BF498" s="111"/>
      <c r="BG498" s="111"/>
      <c r="BH498" s="111"/>
      <c r="BI498" s="111"/>
      <c r="BJ498" s="111"/>
      <c r="BK498" s="111"/>
      <c r="BL498" s="111"/>
      <c r="BM498" s="111"/>
      <c r="BN498" s="111"/>
      <c r="BO498" s="111"/>
      <c r="BP498" s="111"/>
      <c r="BQ498" s="111"/>
      <c r="BR498" s="111"/>
      <c r="BS498" s="111"/>
      <c r="BT498" s="111"/>
      <c r="BU498" s="111"/>
      <c r="BV498" s="111"/>
    </row>
    <row r="499" spans="1:74" s="50" customFormat="1" ht="15" hidden="1" customHeight="1">
      <c r="A499" s="142">
        <v>495</v>
      </c>
      <c r="B499" s="143" t="s">
        <v>997</v>
      </c>
      <c r="C499" s="144" t="s">
        <v>998</v>
      </c>
      <c r="D499" s="143" t="s">
        <v>21</v>
      </c>
      <c r="E499" s="109"/>
      <c r="F499" s="109"/>
      <c r="G499" s="110">
        <v>4</v>
      </c>
      <c r="H499" s="3">
        <f t="shared" si="21"/>
        <v>0</v>
      </c>
      <c r="I499" s="3">
        <f t="shared" si="22"/>
        <v>0</v>
      </c>
      <c r="J499" s="110">
        <f t="shared" si="23"/>
        <v>4</v>
      </c>
      <c r="K499" s="110"/>
      <c r="L499" s="110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  <c r="AJ499" s="111"/>
      <c r="AK499" s="111"/>
      <c r="AL499" s="111"/>
      <c r="AM499" s="111"/>
      <c r="AN499" s="111"/>
      <c r="AO499" s="111"/>
      <c r="AP499" s="111"/>
      <c r="AQ499" s="111"/>
      <c r="AR499" s="111"/>
      <c r="AS499" s="111"/>
      <c r="AT499" s="111"/>
      <c r="AU499" s="111"/>
      <c r="AV499" s="111"/>
      <c r="AW499" s="111"/>
      <c r="AX499" s="111"/>
      <c r="AY499" s="111"/>
      <c r="AZ499" s="111"/>
      <c r="BA499" s="111"/>
      <c r="BB499" s="111"/>
      <c r="BC499" s="111"/>
      <c r="BD499" s="111"/>
      <c r="BE499" s="111"/>
      <c r="BF499" s="111"/>
      <c r="BG499" s="111"/>
      <c r="BH499" s="111"/>
      <c r="BI499" s="111"/>
      <c r="BJ499" s="111"/>
      <c r="BK499" s="111"/>
      <c r="BL499" s="111"/>
      <c r="BM499" s="111"/>
      <c r="BN499" s="111"/>
      <c r="BO499" s="111"/>
      <c r="BP499" s="111"/>
      <c r="BQ499" s="111"/>
      <c r="BR499" s="111"/>
      <c r="BS499" s="111"/>
      <c r="BT499" s="111"/>
      <c r="BU499" s="111"/>
      <c r="BV499" s="111"/>
    </row>
    <row r="500" spans="1:74" s="50" customFormat="1" ht="15" hidden="1" customHeight="1">
      <c r="A500" s="142">
        <v>496</v>
      </c>
      <c r="B500" s="143" t="s">
        <v>999</v>
      </c>
      <c r="C500" s="144" t="s">
        <v>1000</v>
      </c>
      <c r="D500" s="143" t="s">
        <v>21</v>
      </c>
      <c r="E500" s="109"/>
      <c r="F500" s="109"/>
      <c r="G500" s="110">
        <v>62</v>
      </c>
      <c r="H500" s="3">
        <f t="shared" si="21"/>
        <v>0</v>
      </c>
      <c r="I500" s="3">
        <f t="shared" si="22"/>
        <v>0</v>
      </c>
      <c r="J500" s="110">
        <f t="shared" si="23"/>
        <v>62</v>
      </c>
      <c r="K500" s="110"/>
      <c r="L500" s="110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  <c r="AJ500" s="111"/>
      <c r="AK500" s="111"/>
      <c r="AL500" s="111"/>
      <c r="AM500" s="111"/>
      <c r="AN500" s="111"/>
      <c r="AO500" s="111"/>
      <c r="AP500" s="111"/>
      <c r="AQ500" s="111"/>
      <c r="AR500" s="111"/>
      <c r="AS500" s="111"/>
      <c r="AT500" s="111"/>
      <c r="AU500" s="111"/>
      <c r="AV500" s="111"/>
      <c r="AW500" s="111"/>
      <c r="AX500" s="111"/>
      <c r="AY500" s="111"/>
      <c r="AZ500" s="111"/>
      <c r="BA500" s="111"/>
      <c r="BB500" s="111"/>
      <c r="BC500" s="111"/>
      <c r="BD500" s="111"/>
      <c r="BE500" s="111"/>
      <c r="BF500" s="111"/>
      <c r="BG500" s="111"/>
      <c r="BH500" s="111"/>
      <c r="BI500" s="111"/>
      <c r="BJ500" s="111"/>
      <c r="BK500" s="111"/>
      <c r="BL500" s="111"/>
      <c r="BM500" s="111"/>
      <c r="BN500" s="111"/>
      <c r="BO500" s="111"/>
      <c r="BP500" s="111"/>
      <c r="BQ500" s="111"/>
      <c r="BR500" s="111"/>
      <c r="BS500" s="111"/>
      <c r="BT500" s="111"/>
      <c r="BU500" s="111"/>
      <c r="BV500" s="111"/>
    </row>
    <row r="501" spans="1:74" s="50" customFormat="1" ht="15" hidden="1" customHeight="1">
      <c r="A501" s="109">
        <v>497</v>
      </c>
      <c r="B501" s="26" t="s">
        <v>1001</v>
      </c>
      <c r="C501" s="27" t="s">
        <v>1002</v>
      </c>
      <c r="D501" s="26" t="s">
        <v>21</v>
      </c>
      <c r="E501" s="109"/>
      <c r="F501" s="109"/>
      <c r="G501" s="110">
        <v>11</v>
      </c>
      <c r="H501" s="3">
        <f t="shared" si="21"/>
        <v>0</v>
      </c>
      <c r="I501" s="3">
        <f t="shared" si="22"/>
        <v>0</v>
      </c>
      <c r="J501" s="110">
        <f t="shared" si="23"/>
        <v>11</v>
      </c>
      <c r="K501" s="110"/>
      <c r="L501" s="110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  <c r="AJ501" s="111"/>
      <c r="AK501" s="111"/>
      <c r="AL501" s="111"/>
      <c r="AM501" s="111"/>
      <c r="AN501" s="111"/>
      <c r="AO501" s="111"/>
      <c r="AP501" s="111"/>
      <c r="AQ501" s="111"/>
      <c r="AR501" s="111"/>
      <c r="AS501" s="111"/>
      <c r="AT501" s="111"/>
      <c r="AU501" s="111"/>
      <c r="AV501" s="111"/>
      <c r="AW501" s="111"/>
      <c r="AX501" s="111"/>
      <c r="AY501" s="111"/>
      <c r="AZ501" s="111"/>
      <c r="BA501" s="111"/>
      <c r="BB501" s="111"/>
      <c r="BC501" s="111"/>
      <c r="BD501" s="111"/>
      <c r="BE501" s="111"/>
      <c r="BF501" s="111"/>
      <c r="BG501" s="111"/>
      <c r="BH501" s="111"/>
      <c r="BI501" s="111"/>
      <c r="BJ501" s="111"/>
      <c r="BK501" s="111"/>
      <c r="BL501" s="111"/>
      <c r="BM501" s="111"/>
      <c r="BN501" s="111"/>
      <c r="BO501" s="111"/>
      <c r="BP501" s="111"/>
      <c r="BQ501" s="111"/>
      <c r="BR501" s="111"/>
      <c r="BS501" s="111"/>
      <c r="BT501" s="111"/>
      <c r="BU501" s="111"/>
      <c r="BV501" s="111"/>
    </row>
    <row r="502" spans="1:74" s="50" customFormat="1" ht="15" hidden="1" customHeight="1">
      <c r="A502" s="109">
        <v>498</v>
      </c>
      <c r="B502" s="26" t="s">
        <v>1003</v>
      </c>
      <c r="C502" s="27" t="s">
        <v>1004</v>
      </c>
      <c r="D502" s="26" t="s">
        <v>21</v>
      </c>
      <c r="E502" s="109"/>
      <c r="F502" s="109"/>
      <c r="G502" s="110">
        <v>38</v>
      </c>
      <c r="H502" s="3">
        <f t="shared" si="21"/>
        <v>0</v>
      </c>
      <c r="I502" s="3">
        <f t="shared" si="22"/>
        <v>0</v>
      </c>
      <c r="J502" s="110">
        <f t="shared" si="23"/>
        <v>38</v>
      </c>
      <c r="K502" s="110"/>
      <c r="L502" s="110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  <c r="AR502" s="111"/>
      <c r="AS502" s="111"/>
      <c r="AT502" s="111"/>
      <c r="AU502" s="111"/>
      <c r="AV502" s="111"/>
      <c r="AW502" s="111"/>
      <c r="AX502" s="111"/>
      <c r="AY502" s="111"/>
      <c r="AZ502" s="111"/>
      <c r="BA502" s="111"/>
      <c r="BB502" s="111"/>
      <c r="BC502" s="111"/>
      <c r="BD502" s="111"/>
      <c r="BE502" s="111"/>
      <c r="BF502" s="111"/>
      <c r="BG502" s="111"/>
      <c r="BH502" s="111"/>
      <c r="BI502" s="111"/>
      <c r="BJ502" s="111"/>
      <c r="BK502" s="111"/>
      <c r="BL502" s="111"/>
      <c r="BM502" s="111"/>
      <c r="BN502" s="111"/>
      <c r="BO502" s="111"/>
      <c r="BP502" s="111"/>
      <c r="BQ502" s="111"/>
      <c r="BR502" s="111"/>
      <c r="BS502" s="111"/>
      <c r="BT502" s="111"/>
      <c r="BU502" s="111"/>
      <c r="BV502" s="111"/>
    </row>
    <row r="503" spans="1:74" s="50" customFormat="1" ht="15" hidden="1" customHeight="1">
      <c r="A503" s="109">
        <v>499</v>
      </c>
      <c r="B503" s="119" t="s">
        <v>1005</v>
      </c>
      <c r="C503" s="120" t="s">
        <v>1006</v>
      </c>
      <c r="D503" s="26" t="s">
        <v>21</v>
      </c>
      <c r="E503" s="109"/>
      <c r="F503" s="109"/>
      <c r="G503" s="110">
        <v>10</v>
      </c>
      <c r="H503" s="3">
        <f t="shared" ref="H503:H566" si="24">SUM(M503+O503+Q503+S503+U503+W503+Y503+AA503+AC503+AE503+AG503+AI503+AK503+AM503+AO503+AQ503+AS503+AU503+AW503+AY503+BA503+BC503+BE503+BG503+BI503+BK503+BM503+BO503+BQ503+BS503+BU503)</f>
        <v>0</v>
      </c>
      <c r="I503" s="3">
        <f t="shared" ref="I503:I566" si="25">SUM(N503+P503+R503+T503+V503+X503+Z503+AB503+AD503+AF503+AH503+AJ503+AL503+AN503+AP503+AR503+AT503+AV503+AX503+AZ503+BB503+BD503+BF503+BH503+BJ503+BL503+BN503+BP503+BR503+BT503+BV503)</f>
        <v>0</v>
      </c>
      <c r="J503" s="110">
        <f t="shared" ref="J503:J566" si="26">G503+H503-I503</f>
        <v>10</v>
      </c>
      <c r="K503" s="110"/>
      <c r="L503" s="110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  <c r="AJ503" s="111"/>
      <c r="AK503" s="111"/>
      <c r="AL503" s="111"/>
      <c r="AM503" s="111"/>
      <c r="AN503" s="111"/>
      <c r="AO503" s="111"/>
      <c r="AP503" s="111"/>
      <c r="AQ503" s="111"/>
      <c r="AR503" s="111"/>
      <c r="AS503" s="111"/>
      <c r="AT503" s="111"/>
      <c r="AU503" s="111"/>
      <c r="AV503" s="111"/>
      <c r="AW503" s="111"/>
      <c r="AX503" s="111"/>
      <c r="AY503" s="111"/>
      <c r="AZ503" s="111"/>
      <c r="BA503" s="111"/>
      <c r="BB503" s="111"/>
      <c r="BC503" s="111"/>
      <c r="BD503" s="111"/>
      <c r="BE503" s="111"/>
      <c r="BF503" s="111"/>
      <c r="BG503" s="111"/>
      <c r="BH503" s="111"/>
      <c r="BI503" s="111"/>
      <c r="BJ503" s="111"/>
      <c r="BK503" s="111"/>
      <c r="BL503" s="111"/>
      <c r="BM503" s="111"/>
      <c r="BN503" s="111"/>
      <c r="BO503" s="111"/>
      <c r="BP503" s="111"/>
      <c r="BQ503" s="111"/>
      <c r="BR503" s="111"/>
      <c r="BS503" s="111"/>
      <c r="BT503" s="111"/>
      <c r="BU503" s="111"/>
      <c r="BV503" s="111"/>
    </row>
    <row r="504" spans="1:74" s="50" customFormat="1" ht="15" hidden="1" customHeight="1">
      <c r="A504" s="109">
        <v>500</v>
      </c>
      <c r="B504" s="26" t="s">
        <v>1007</v>
      </c>
      <c r="C504" s="27" t="s">
        <v>1008</v>
      </c>
      <c r="D504" s="26" t="s">
        <v>21</v>
      </c>
      <c r="E504" s="109"/>
      <c r="F504" s="109"/>
      <c r="G504" s="110">
        <v>121</v>
      </c>
      <c r="H504" s="3">
        <f t="shared" si="24"/>
        <v>0</v>
      </c>
      <c r="I504" s="3">
        <f t="shared" si="25"/>
        <v>0</v>
      </c>
      <c r="J504" s="110">
        <f t="shared" si="26"/>
        <v>121</v>
      </c>
      <c r="K504" s="110"/>
      <c r="L504" s="110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  <c r="AJ504" s="111"/>
      <c r="AK504" s="111"/>
      <c r="AL504" s="111"/>
      <c r="AM504" s="111"/>
      <c r="AN504" s="111"/>
      <c r="AO504" s="111"/>
      <c r="AP504" s="111"/>
      <c r="AQ504" s="111"/>
      <c r="AR504" s="111"/>
      <c r="AS504" s="111"/>
      <c r="AT504" s="111"/>
      <c r="AU504" s="111"/>
      <c r="AV504" s="111"/>
      <c r="AW504" s="111"/>
      <c r="AX504" s="111"/>
      <c r="AY504" s="111"/>
      <c r="AZ504" s="111"/>
      <c r="BA504" s="111"/>
      <c r="BB504" s="111"/>
      <c r="BC504" s="111"/>
      <c r="BD504" s="111"/>
      <c r="BE504" s="111"/>
      <c r="BF504" s="111"/>
      <c r="BG504" s="111"/>
      <c r="BH504" s="111"/>
      <c r="BI504" s="111"/>
      <c r="BJ504" s="111"/>
      <c r="BK504" s="111"/>
      <c r="BL504" s="111"/>
      <c r="BM504" s="111"/>
      <c r="BN504" s="111"/>
      <c r="BO504" s="111"/>
      <c r="BP504" s="111"/>
      <c r="BQ504" s="111"/>
      <c r="BR504" s="111"/>
      <c r="BS504" s="111"/>
      <c r="BT504" s="111"/>
      <c r="BU504" s="111"/>
      <c r="BV504" s="111"/>
    </row>
    <row r="505" spans="1:74" s="50" customFormat="1" ht="15" hidden="1" customHeight="1">
      <c r="A505" s="109">
        <v>501</v>
      </c>
      <c r="B505" s="26" t="s">
        <v>1009</v>
      </c>
      <c r="C505" s="27" t="s">
        <v>1010</v>
      </c>
      <c r="D505" s="26" t="s">
        <v>21</v>
      </c>
      <c r="E505" s="109"/>
      <c r="F505" s="109"/>
      <c r="G505" s="110">
        <v>46</v>
      </c>
      <c r="H505" s="3">
        <f t="shared" si="24"/>
        <v>0</v>
      </c>
      <c r="I505" s="3">
        <f t="shared" si="25"/>
        <v>0</v>
      </c>
      <c r="J505" s="110">
        <f t="shared" si="26"/>
        <v>46</v>
      </c>
      <c r="K505" s="110"/>
      <c r="L505" s="110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  <c r="AR505" s="111"/>
      <c r="AS505" s="111"/>
      <c r="AT505" s="111"/>
      <c r="AU505" s="111"/>
      <c r="AV505" s="111"/>
      <c r="AW505" s="111"/>
      <c r="AX505" s="111"/>
      <c r="AY505" s="111"/>
      <c r="AZ505" s="111"/>
      <c r="BA505" s="111"/>
      <c r="BB505" s="111"/>
      <c r="BC505" s="111"/>
      <c r="BD505" s="111"/>
      <c r="BE505" s="111"/>
      <c r="BF505" s="111"/>
      <c r="BG505" s="111"/>
      <c r="BH505" s="111"/>
      <c r="BI505" s="111"/>
      <c r="BJ505" s="111"/>
      <c r="BK505" s="111"/>
      <c r="BL505" s="111"/>
      <c r="BM505" s="111"/>
      <c r="BN505" s="111"/>
      <c r="BO505" s="111"/>
      <c r="BP505" s="111"/>
      <c r="BQ505" s="111"/>
      <c r="BR505" s="111"/>
      <c r="BS505" s="111"/>
      <c r="BT505" s="111"/>
      <c r="BU505" s="111"/>
      <c r="BV505" s="111"/>
    </row>
    <row r="506" spans="1:74" s="50" customFormat="1" ht="15" hidden="1" customHeight="1">
      <c r="A506" s="142">
        <v>502</v>
      </c>
      <c r="B506" s="143" t="s">
        <v>1011</v>
      </c>
      <c r="C506" s="144" t="s">
        <v>1012</v>
      </c>
      <c r="D506" s="143" t="s">
        <v>21</v>
      </c>
      <c r="E506" s="109"/>
      <c r="F506" s="109"/>
      <c r="G506" s="110">
        <v>982</v>
      </c>
      <c r="H506" s="3">
        <f t="shared" si="24"/>
        <v>0</v>
      </c>
      <c r="I506" s="3">
        <f t="shared" si="25"/>
        <v>0</v>
      </c>
      <c r="J506" s="110">
        <f t="shared" si="26"/>
        <v>982</v>
      </c>
      <c r="K506" s="110"/>
      <c r="L506" s="110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  <c r="AR506" s="111"/>
      <c r="AS506" s="111"/>
      <c r="AT506" s="111"/>
      <c r="AU506" s="111"/>
      <c r="AV506" s="111"/>
      <c r="AW506" s="111"/>
      <c r="AX506" s="111"/>
      <c r="AY506" s="111"/>
      <c r="AZ506" s="111"/>
      <c r="BA506" s="111"/>
      <c r="BB506" s="111"/>
      <c r="BC506" s="111"/>
      <c r="BD506" s="111"/>
      <c r="BE506" s="111"/>
      <c r="BF506" s="111"/>
      <c r="BG506" s="111"/>
      <c r="BH506" s="111"/>
      <c r="BI506" s="111"/>
      <c r="BJ506" s="111"/>
      <c r="BK506" s="111"/>
      <c r="BL506" s="111"/>
      <c r="BM506" s="111"/>
      <c r="BN506" s="111"/>
      <c r="BO506" s="111"/>
      <c r="BP506" s="111"/>
      <c r="BQ506" s="111"/>
      <c r="BR506" s="111"/>
      <c r="BS506" s="111"/>
      <c r="BT506" s="111"/>
      <c r="BU506" s="111"/>
      <c r="BV506" s="111"/>
    </row>
    <row r="507" spans="1:74" s="50" customFormat="1" ht="15" hidden="1" customHeight="1">
      <c r="A507" s="142">
        <v>503</v>
      </c>
      <c r="B507" s="143" t="s">
        <v>1013</v>
      </c>
      <c r="C507" s="144" t="s">
        <v>1014</v>
      </c>
      <c r="D507" s="143" t="s">
        <v>21</v>
      </c>
      <c r="E507" s="109"/>
      <c r="F507" s="109"/>
      <c r="G507" s="110">
        <v>4</v>
      </c>
      <c r="H507" s="3">
        <f t="shared" si="24"/>
        <v>0</v>
      </c>
      <c r="I507" s="3">
        <f t="shared" si="25"/>
        <v>0</v>
      </c>
      <c r="J507" s="110">
        <f t="shared" si="26"/>
        <v>4</v>
      </c>
      <c r="K507" s="110"/>
      <c r="L507" s="110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  <c r="AJ507" s="111"/>
      <c r="AK507" s="111"/>
      <c r="AL507" s="111"/>
      <c r="AM507" s="111"/>
      <c r="AN507" s="111"/>
      <c r="AO507" s="111"/>
      <c r="AP507" s="111"/>
      <c r="AQ507" s="111"/>
      <c r="AR507" s="111"/>
      <c r="AS507" s="111"/>
      <c r="AT507" s="111"/>
      <c r="AU507" s="111"/>
      <c r="AV507" s="111"/>
      <c r="AW507" s="111"/>
      <c r="AX507" s="111"/>
      <c r="AY507" s="111"/>
      <c r="AZ507" s="111"/>
      <c r="BA507" s="111"/>
      <c r="BB507" s="111"/>
      <c r="BC507" s="111"/>
      <c r="BD507" s="111"/>
      <c r="BE507" s="111"/>
      <c r="BF507" s="111"/>
      <c r="BG507" s="111"/>
      <c r="BH507" s="111"/>
      <c r="BI507" s="111"/>
      <c r="BJ507" s="111"/>
      <c r="BK507" s="111"/>
      <c r="BL507" s="111"/>
      <c r="BM507" s="111"/>
      <c r="BN507" s="111"/>
      <c r="BO507" s="111"/>
      <c r="BP507" s="111"/>
      <c r="BQ507" s="111"/>
      <c r="BR507" s="111"/>
      <c r="BS507" s="111"/>
      <c r="BT507" s="111"/>
      <c r="BU507" s="111"/>
      <c r="BV507" s="111"/>
    </row>
    <row r="508" spans="1:74" s="92" customFormat="1" ht="15" hidden="1" customHeight="1">
      <c r="A508" s="109">
        <v>504</v>
      </c>
      <c r="B508" s="26" t="s">
        <v>1015</v>
      </c>
      <c r="C508" s="27" t="s">
        <v>1016</v>
      </c>
      <c r="D508" s="26" t="s">
        <v>21</v>
      </c>
      <c r="E508" s="109"/>
      <c r="F508" s="109"/>
      <c r="G508" s="108">
        <v>2000</v>
      </c>
      <c r="H508" s="26">
        <f t="shared" si="24"/>
        <v>0</v>
      </c>
      <c r="I508" s="26">
        <f t="shared" si="25"/>
        <v>0</v>
      </c>
      <c r="J508" s="108">
        <f t="shared" si="26"/>
        <v>2000</v>
      </c>
      <c r="K508" s="108"/>
      <c r="L508" s="108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  <c r="AO508" s="109"/>
      <c r="AP508" s="109"/>
      <c r="AQ508" s="109"/>
      <c r="AR508" s="109"/>
      <c r="AS508" s="109"/>
      <c r="AT508" s="109"/>
      <c r="AU508" s="109"/>
      <c r="AV508" s="109"/>
      <c r="AW508" s="109"/>
      <c r="AX508" s="109"/>
      <c r="AY508" s="109"/>
      <c r="AZ508" s="109"/>
      <c r="BA508" s="109"/>
      <c r="BB508" s="109"/>
      <c r="BC508" s="109"/>
      <c r="BD508" s="109"/>
      <c r="BE508" s="109"/>
      <c r="BF508" s="109"/>
      <c r="BG508" s="109"/>
      <c r="BH508" s="109"/>
      <c r="BI508" s="109"/>
      <c r="BJ508" s="109"/>
      <c r="BK508" s="109"/>
      <c r="BL508" s="109"/>
      <c r="BM508" s="109"/>
      <c r="BN508" s="109"/>
      <c r="BO508" s="109"/>
      <c r="BP508" s="109"/>
      <c r="BQ508" s="109"/>
      <c r="BR508" s="109"/>
      <c r="BS508" s="109"/>
      <c r="BT508" s="109"/>
      <c r="BU508" s="109"/>
      <c r="BV508" s="109"/>
    </row>
    <row r="509" spans="1:74" s="50" customFormat="1" ht="15" hidden="1" customHeight="1">
      <c r="A509" s="142">
        <v>505</v>
      </c>
      <c r="B509" s="143" t="s">
        <v>1017</v>
      </c>
      <c r="C509" s="144" t="s">
        <v>1018</v>
      </c>
      <c r="D509" s="143" t="s">
        <v>21</v>
      </c>
      <c r="E509" s="109"/>
      <c r="F509" s="109"/>
      <c r="G509" s="108">
        <v>195</v>
      </c>
      <c r="H509" s="26">
        <f t="shared" si="24"/>
        <v>0</v>
      </c>
      <c r="I509" s="26">
        <f t="shared" si="25"/>
        <v>0</v>
      </c>
      <c r="J509" s="108">
        <f t="shared" si="26"/>
        <v>195</v>
      </c>
      <c r="K509" s="108"/>
      <c r="L509" s="108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  <c r="AR509" s="111"/>
      <c r="AS509" s="111"/>
      <c r="AT509" s="111"/>
      <c r="AU509" s="111"/>
      <c r="AV509" s="111"/>
      <c r="AW509" s="111"/>
      <c r="AX509" s="111"/>
      <c r="AY509" s="111"/>
      <c r="AZ509" s="111"/>
      <c r="BA509" s="111"/>
      <c r="BB509" s="111"/>
      <c r="BC509" s="111"/>
      <c r="BD509" s="111"/>
      <c r="BE509" s="111"/>
      <c r="BF509" s="111"/>
      <c r="BG509" s="111"/>
      <c r="BH509" s="111"/>
      <c r="BI509" s="111"/>
      <c r="BJ509" s="111"/>
      <c r="BK509" s="111"/>
      <c r="BL509" s="111"/>
      <c r="BM509" s="111"/>
      <c r="BN509" s="111"/>
      <c r="BO509" s="111"/>
      <c r="BP509" s="111"/>
      <c r="BQ509" s="111"/>
      <c r="BR509" s="111"/>
      <c r="BS509" s="111"/>
      <c r="BT509" s="111"/>
      <c r="BU509" s="111"/>
      <c r="BV509" s="111"/>
    </row>
    <row r="510" spans="1:74" s="50" customFormat="1" ht="15" hidden="1" customHeight="1">
      <c r="A510" s="142">
        <v>506</v>
      </c>
      <c r="B510" s="143" t="s">
        <v>1019</v>
      </c>
      <c r="C510" s="144" t="s">
        <v>1020</v>
      </c>
      <c r="D510" s="143" t="s">
        <v>21</v>
      </c>
      <c r="E510" s="109"/>
      <c r="F510" s="109"/>
      <c r="G510" s="108">
        <v>31</v>
      </c>
      <c r="H510" s="26">
        <f t="shared" si="24"/>
        <v>0</v>
      </c>
      <c r="I510" s="26">
        <f t="shared" si="25"/>
        <v>0</v>
      </c>
      <c r="J510" s="108">
        <f t="shared" si="26"/>
        <v>31</v>
      </c>
      <c r="K510" s="108"/>
      <c r="L510" s="108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  <c r="AJ510" s="111"/>
      <c r="AK510" s="111"/>
      <c r="AL510" s="111"/>
      <c r="AM510" s="111"/>
      <c r="AN510" s="111"/>
      <c r="AO510" s="111"/>
      <c r="AP510" s="111"/>
      <c r="AQ510" s="111"/>
      <c r="AR510" s="111"/>
      <c r="AS510" s="111"/>
      <c r="AT510" s="111"/>
      <c r="AU510" s="111"/>
      <c r="AV510" s="111"/>
      <c r="AW510" s="111"/>
      <c r="AX510" s="111"/>
      <c r="AY510" s="111"/>
      <c r="AZ510" s="111"/>
      <c r="BA510" s="111"/>
      <c r="BB510" s="111"/>
      <c r="BC510" s="111"/>
      <c r="BD510" s="111"/>
      <c r="BE510" s="111"/>
      <c r="BF510" s="111"/>
      <c r="BG510" s="111"/>
      <c r="BH510" s="111"/>
      <c r="BI510" s="111"/>
      <c r="BJ510" s="111"/>
      <c r="BK510" s="111"/>
      <c r="BL510" s="111"/>
      <c r="BM510" s="111"/>
      <c r="BN510" s="111"/>
      <c r="BO510" s="111"/>
      <c r="BP510" s="111"/>
      <c r="BQ510" s="111"/>
      <c r="BR510" s="111"/>
      <c r="BS510" s="111"/>
      <c r="BT510" s="111"/>
      <c r="BU510" s="111"/>
      <c r="BV510" s="111"/>
    </row>
    <row r="511" spans="1:74" s="50" customFormat="1" ht="15" hidden="1" customHeight="1">
      <c r="A511" s="142">
        <v>507</v>
      </c>
      <c r="B511" s="143" t="s">
        <v>1021</v>
      </c>
      <c r="C511" s="144" t="s">
        <v>1022</v>
      </c>
      <c r="D511" s="143" t="s">
        <v>21</v>
      </c>
      <c r="E511" s="109"/>
      <c r="F511" s="109"/>
      <c r="G511" s="108">
        <v>101</v>
      </c>
      <c r="H511" s="26">
        <f t="shared" si="24"/>
        <v>0</v>
      </c>
      <c r="I511" s="26">
        <f t="shared" si="25"/>
        <v>0</v>
      </c>
      <c r="J511" s="108">
        <f t="shared" si="26"/>
        <v>101</v>
      </c>
      <c r="K511" s="108"/>
      <c r="L511" s="108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  <c r="AJ511" s="111"/>
      <c r="AK511" s="111"/>
      <c r="AL511" s="111"/>
      <c r="AM511" s="111"/>
      <c r="AN511" s="111"/>
      <c r="AO511" s="111"/>
      <c r="AP511" s="111"/>
      <c r="AQ511" s="111"/>
      <c r="AR511" s="111"/>
      <c r="AS511" s="111"/>
      <c r="AT511" s="111"/>
      <c r="AU511" s="111"/>
      <c r="AV511" s="111"/>
      <c r="AW511" s="111"/>
      <c r="AX511" s="111"/>
      <c r="AY511" s="111"/>
      <c r="AZ511" s="111"/>
      <c r="BA511" s="111"/>
      <c r="BB511" s="111"/>
      <c r="BC511" s="111"/>
      <c r="BD511" s="111"/>
      <c r="BE511" s="111"/>
      <c r="BF511" s="111"/>
      <c r="BG511" s="111"/>
      <c r="BH511" s="111"/>
      <c r="BI511" s="111"/>
      <c r="BJ511" s="111"/>
      <c r="BK511" s="111"/>
      <c r="BL511" s="111"/>
      <c r="BM511" s="111"/>
      <c r="BN511" s="111"/>
      <c r="BO511" s="111"/>
      <c r="BP511" s="111"/>
      <c r="BQ511" s="111"/>
      <c r="BR511" s="111"/>
      <c r="BS511" s="111"/>
      <c r="BT511" s="111"/>
      <c r="BU511" s="111"/>
      <c r="BV511" s="111"/>
    </row>
    <row r="512" spans="1:74" s="50" customFormat="1" ht="15" hidden="1" customHeight="1">
      <c r="A512" s="142">
        <v>508</v>
      </c>
      <c r="B512" s="143" t="s">
        <v>1023</v>
      </c>
      <c r="C512" s="144" t="s">
        <v>1024</v>
      </c>
      <c r="D512" s="143" t="s">
        <v>21</v>
      </c>
      <c r="E512" s="109"/>
      <c r="F512" s="109"/>
      <c r="G512" s="108">
        <v>164</v>
      </c>
      <c r="H512" s="26">
        <f t="shared" si="24"/>
        <v>0</v>
      </c>
      <c r="I512" s="26">
        <f t="shared" si="25"/>
        <v>0</v>
      </c>
      <c r="J512" s="108">
        <f t="shared" si="26"/>
        <v>164</v>
      </c>
      <c r="K512" s="108"/>
      <c r="L512" s="108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  <c r="AJ512" s="111"/>
      <c r="AK512" s="111"/>
      <c r="AL512" s="111"/>
      <c r="AM512" s="111"/>
      <c r="AN512" s="111"/>
      <c r="AO512" s="111"/>
      <c r="AP512" s="111"/>
      <c r="AQ512" s="111"/>
      <c r="AR512" s="111"/>
      <c r="AS512" s="111"/>
      <c r="AT512" s="111"/>
      <c r="AU512" s="111"/>
      <c r="AV512" s="111"/>
      <c r="AW512" s="111"/>
      <c r="AX512" s="111"/>
      <c r="AY512" s="111"/>
      <c r="AZ512" s="111"/>
      <c r="BA512" s="111"/>
      <c r="BB512" s="111"/>
      <c r="BC512" s="111"/>
      <c r="BD512" s="111"/>
      <c r="BE512" s="111"/>
      <c r="BF512" s="111"/>
      <c r="BG512" s="111"/>
      <c r="BH512" s="111"/>
      <c r="BI512" s="111"/>
      <c r="BJ512" s="111"/>
      <c r="BK512" s="111"/>
      <c r="BL512" s="111"/>
      <c r="BM512" s="111"/>
      <c r="BN512" s="111"/>
      <c r="BO512" s="111"/>
      <c r="BP512" s="111"/>
      <c r="BQ512" s="111"/>
      <c r="BR512" s="111"/>
      <c r="BS512" s="111"/>
      <c r="BT512" s="111"/>
      <c r="BU512" s="111"/>
      <c r="BV512" s="111"/>
    </row>
    <row r="513" spans="1:74" s="50" customFormat="1" ht="15" hidden="1" customHeight="1">
      <c r="A513" s="142">
        <v>509</v>
      </c>
      <c r="B513" s="143" t="s">
        <v>1025</v>
      </c>
      <c r="C513" s="144" t="s">
        <v>1026</v>
      </c>
      <c r="D513" s="143" t="s">
        <v>21</v>
      </c>
      <c r="E513" s="109"/>
      <c r="F513" s="109"/>
      <c r="G513" s="108">
        <v>4</v>
      </c>
      <c r="H513" s="26">
        <f t="shared" si="24"/>
        <v>0</v>
      </c>
      <c r="I513" s="26">
        <f t="shared" si="25"/>
        <v>0</v>
      </c>
      <c r="J513" s="108">
        <f t="shared" si="26"/>
        <v>4</v>
      </c>
      <c r="K513" s="108"/>
      <c r="L513" s="108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  <c r="AJ513" s="111"/>
      <c r="AK513" s="111"/>
      <c r="AL513" s="111"/>
      <c r="AM513" s="111"/>
      <c r="AN513" s="111"/>
      <c r="AO513" s="111"/>
      <c r="AP513" s="111"/>
      <c r="AQ513" s="111"/>
      <c r="AR513" s="111"/>
      <c r="AS513" s="111"/>
      <c r="AT513" s="111"/>
      <c r="AU513" s="111"/>
      <c r="AV513" s="111"/>
      <c r="AW513" s="111"/>
      <c r="AX513" s="111"/>
      <c r="AY513" s="111"/>
      <c r="AZ513" s="111"/>
      <c r="BA513" s="111"/>
      <c r="BB513" s="111"/>
      <c r="BC513" s="111"/>
      <c r="BD513" s="111"/>
      <c r="BE513" s="111"/>
      <c r="BF513" s="111"/>
      <c r="BG513" s="111"/>
      <c r="BH513" s="111"/>
      <c r="BI513" s="111"/>
      <c r="BJ513" s="111"/>
      <c r="BK513" s="111"/>
      <c r="BL513" s="111"/>
      <c r="BM513" s="111"/>
      <c r="BN513" s="111"/>
      <c r="BO513" s="111"/>
      <c r="BP513" s="111"/>
      <c r="BQ513" s="111"/>
      <c r="BR513" s="111"/>
      <c r="BS513" s="111"/>
      <c r="BT513" s="111"/>
      <c r="BU513" s="111"/>
      <c r="BV513" s="111"/>
    </row>
    <row r="514" spans="1:74" s="50" customFormat="1" ht="15" hidden="1" customHeight="1">
      <c r="A514" s="142">
        <v>510</v>
      </c>
      <c r="B514" s="143" t="s">
        <v>1027</v>
      </c>
      <c r="C514" s="144" t="s">
        <v>1028</v>
      </c>
      <c r="D514" s="143" t="s">
        <v>21</v>
      </c>
      <c r="E514" s="109"/>
      <c r="F514" s="109"/>
      <c r="G514" s="108">
        <v>12</v>
      </c>
      <c r="H514" s="26">
        <f t="shared" si="24"/>
        <v>0</v>
      </c>
      <c r="I514" s="26">
        <f t="shared" si="25"/>
        <v>0</v>
      </c>
      <c r="J514" s="108">
        <f t="shared" si="26"/>
        <v>12</v>
      </c>
      <c r="K514" s="108"/>
      <c r="L514" s="108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  <c r="AJ514" s="111"/>
      <c r="AK514" s="111"/>
      <c r="AL514" s="111"/>
      <c r="AM514" s="111"/>
      <c r="AN514" s="111"/>
      <c r="AO514" s="111"/>
      <c r="AP514" s="111"/>
      <c r="AQ514" s="111"/>
      <c r="AR514" s="111"/>
      <c r="AS514" s="111"/>
      <c r="AT514" s="111"/>
      <c r="AU514" s="111"/>
      <c r="AV514" s="111"/>
      <c r="AW514" s="111"/>
      <c r="AX514" s="111"/>
      <c r="AY514" s="111"/>
      <c r="AZ514" s="111"/>
      <c r="BA514" s="111"/>
      <c r="BB514" s="111"/>
      <c r="BC514" s="111"/>
      <c r="BD514" s="111"/>
      <c r="BE514" s="111"/>
      <c r="BF514" s="111"/>
      <c r="BG514" s="111"/>
      <c r="BH514" s="111"/>
      <c r="BI514" s="111"/>
      <c r="BJ514" s="111"/>
      <c r="BK514" s="111"/>
      <c r="BL514" s="111"/>
      <c r="BM514" s="111"/>
      <c r="BN514" s="111"/>
      <c r="BO514" s="111"/>
      <c r="BP514" s="111"/>
      <c r="BQ514" s="111"/>
      <c r="BR514" s="111"/>
      <c r="BS514" s="111"/>
      <c r="BT514" s="111"/>
      <c r="BU514" s="111"/>
      <c r="BV514" s="111"/>
    </row>
    <row r="515" spans="1:74" s="50" customFormat="1" ht="15" hidden="1" customHeight="1">
      <c r="A515" s="142">
        <v>511</v>
      </c>
      <c r="B515" s="143" t="s">
        <v>1029</v>
      </c>
      <c r="C515" s="251" t="s">
        <v>1030</v>
      </c>
      <c r="D515" s="143" t="s">
        <v>21</v>
      </c>
      <c r="E515" s="109"/>
      <c r="F515" s="109"/>
      <c r="G515" s="108">
        <v>36</v>
      </c>
      <c r="H515" s="26">
        <f t="shared" si="24"/>
        <v>0</v>
      </c>
      <c r="I515" s="26">
        <f t="shared" si="25"/>
        <v>0</v>
      </c>
      <c r="J515" s="108">
        <f t="shared" si="26"/>
        <v>36</v>
      </c>
      <c r="K515" s="108"/>
      <c r="L515" s="108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  <c r="AJ515" s="111"/>
      <c r="AK515" s="111"/>
      <c r="AL515" s="111"/>
      <c r="AM515" s="111"/>
      <c r="AN515" s="111"/>
      <c r="AO515" s="111"/>
      <c r="AP515" s="111"/>
      <c r="AQ515" s="111"/>
      <c r="AR515" s="111"/>
      <c r="AS515" s="111"/>
      <c r="AT515" s="111"/>
      <c r="AU515" s="111"/>
      <c r="AV515" s="111"/>
      <c r="AW515" s="111"/>
      <c r="AX515" s="111"/>
      <c r="AY515" s="111"/>
      <c r="AZ515" s="111"/>
      <c r="BA515" s="111"/>
      <c r="BB515" s="111"/>
      <c r="BC515" s="111"/>
      <c r="BD515" s="111"/>
      <c r="BE515" s="111"/>
      <c r="BF515" s="111"/>
      <c r="BG515" s="111"/>
      <c r="BH515" s="111"/>
      <c r="BI515" s="111"/>
      <c r="BJ515" s="111"/>
      <c r="BK515" s="111"/>
      <c r="BL515" s="111"/>
      <c r="BM515" s="111"/>
      <c r="BN515" s="111"/>
      <c r="BO515" s="111"/>
      <c r="BP515" s="111"/>
      <c r="BQ515" s="111"/>
      <c r="BR515" s="111"/>
      <c r="BS515" s="111"/>
      <c r="BT515" s="111"/>
      <c r="BU515" s="111"/>
      <c r="BV515" s="111"/>
    </row>
    <row r="516" spans="1:74" s="50" customFormat="1" ht="15" hidden="1" customHeight="1">
      <c r="A516" s="142">
        <v>512</v>
      </c>
      <c r="B516" s="250" t="s">
        <v>1031</v>
      </c>
      <c r="C516" s="144" t="s">
        <v>1032</v>
      </c>
      <c r="D516" s="143" t="s">
        <v>21</v>
      </c>
      <c r="E516" s="109"/>
      <c r="F516" s="109"/>
      <c r="G516" s="108">
        <v>2</v>
      </c>
      <c r="H516" s="26">
        <f t="shared" si="24"/>
        <v>0</v>
      </c>
      <c r="I516" s="26">
        <f t="shared" si="25"/>
        <v>0</v>
      </c>
      <c r="J516" s="108">
        <f t="shared" si="26"/>
        <v>2</v>
      </c>
      <c r="K516" s="108"/>
      <c r="L516" s="108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  <c r="AJ516" s="111"/>
      <c r="AK516" s="111"/>
      <c r="AL516" s="111"/>
      <c r="AM516" s="111"/>
      <c r="AN516" s="111"/>
      <c r="AO516" s="111"/>
      <c r="AP516" s="111"/>
      <c r="AQ516" s="111"/>
      <c r="AR516" s="111"/>
      <c r="AS516" s="111"/>
      <c r="AT516" s="111"/>
      <c r="AU516" s="111"/>
      <c r="AV516" s="111"/>
      <c r="AW516" s="111"/>
      <c r="AX516" s="111"/>
      <c r="AY516" s="111"/>
      <c r="AZ516" s="111"/>
      <c r="BA516" s="111"/>
      <c r="BB516" s="111"/>
      <c r="BC516" s="111"/>
      <c r="BD516" s="111"/>
      <c r="BE516" s="111"/>
      <c r="BF516" s="111"/>
      <c r="BG516" s="111"/>
      <c r="BH516" s="111"/>
      <c r="BI516" s="111"/>
      <c r="BJ516" s="111"/>
      <c r="BK516" s="111"/>
      <c r="BL516" s="111"/>
      <c r="BM516" s="111"/>
      <c r="BN516" s="111"/>
      <c r="BO516" s="111"/>
      <c r="BP516" s="111"/>
      <c r="BQ516" s="111"/>
      <c r="BR516" s="111"/>
      <c r="BS516" s="111"/>
      <c r="BT516" s="111"/>
      <c r="BU516" s="111"/>
      <c r="BV516" s="111"/>
    </row>
    <row r="517" spans="1:74" s="50" customFormat="1" ht="15" hidden="1" customHeight="1">
      <c r="A517" s="142">
        <v>513</v>
      </c>
      <c r="B517" s="250" t="s">
        <v>1033</v>
      </c>
      <c r="C517" s="144" t="s">
        <v>1034</v>
      </c>
      <c r="D517" s="143" t="s">
        <v>21</v>
      </c>
      <c r="E517" s="109"/>
      <c r="F517" s="109"/>
      <c r="G517" s="108">
        <v>87</v>
      </c>
      <c r="H517" s="26">
        <f t="shared" si="24"/>
        <v>0</v>
      </c>
      <c r="I517" s="26">
        <f t="shared" si="25"/>
        <v>0</v>
      </c>
      <c r="J517" s="108">
        <f t="shared" si="26"/>
        <v>87</v>
      </c>
      <c r="K517" s="108"/>
      <c r="L517" s="108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  <c r="AJ517" s="111"/>
      <c r="AK517" s="111"/>
      <c r="AL517" s="111"/>
      <c r="AM517" s="111"/>
      <c r="AN517" s="111"/>
      <c r="AO517" s="111"/>
      <c r="AP517" s="111"/>
      <c r="AQ517" s="111"/>
      <c r="AR517" s="111"/>
      <c r="AS517" s="111"/>
      <c r="AT517" s="111"/>
      <c r="AU517" s="111"/>
      <c r="AV517" s="111"/>
      <c r="AW517" s="111"/>
      <c r="AX517" s="111"/>
      <c r="AY517" s="111"/>
      <c r="AZ517" s="111"/>
      <c r="BA517" s="111"/>
      <c r="BB517" s="111"/>
      <c r="BC517" s="111"/>
      <c r="BD517" s="111"/>
      <c r="BE517" s="111"/>
      <c r="BF517" s="111"/>
      <c r="BG517" s="111"/>
      <c r="BH517" s="111"/>
      <c r="BI517" s="111"/>
      <c r="BJ517" s="111"/>
      <c r="BK517" s="111"/>
      <c r="BL517" s="111"/>
      <c r="BM517" s="111"/>
      <c r="BN517" s="111"/>
      <c r="BO517" s="111"/>
      <c r="BP517" s="111"/>
      <c r="BQ517" s="111"/>
      <c r="BR517" s="111"/>
      <c r="BS517" s="111"/>
      <c r="BT517" s="111"/>
      <c r="BU517" s="111"/>
      <c r="BV517" s="111"/>
    </row>
    <row r="518" spans="1:74" s="50" customFormat="1" ht="15" hidden="1" customHeight="1">
      <c r="A518" s="142">
        <v>514</v>
      </c>
      <c r="B518" s="143" t="s">
        <v>1035</v>
      </c>
      <c r="C518" s="144" t="s">
        <v>1036</v>
      </c>
      <c r="D518" s="143" t="s">
        <v>21</v>
      </c>
      <c r="E518" s="109"/>
      <c r="F518" s="109"/>
      <c r="G518" s="108">
        <v>6</v>
      </c>
      <c r="H518" s="26">
        <f t="shared" si="24"/>
        <v>0</v>
      </c>
      <c r="I518" s="26">
        <f t="shared" si="25"/>
        <v>0</v>
      </c>
      <c r="J518" s="108">
        <f t="shared" si="26"/>
        <v>6</v>
      </c>
      <c r="K518" s="108"/>
      <c r="L518" s="108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/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/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/>
      <c r="BP518" s="111"/>
      <c r="BQ518" s="111"/>
      <c r="BR518" s="111"/>
      <c r="BS518" s="111"/>
      <c r="BT518" s="111"/>
      <c r="BU518" s="111"/>
      <c r="BV518" s="111"/>
    </row>
    <row r="519" spans="1:74" s="50" customFormat="1" ht="15" hidden="1" customHeight="1">
      <c r="A519" s="142">
        <v>515</v>
      </c>
      <c r="B519" s="143" t="s">
        <v>1037</v>
      </c>
      <c r="C519" s="144" t="s">
        <v>1038</v>
      </c>
      <c r="D519" s="143" t="s">
        <v>21</v>
      </c>
      <c r="E519" s="109"/>
      <c r="F519" s="109"/>
      <c r="G519" s="108">
        <v>5</v>
      </c>
      <c r="H519" s="26">
        <f t="shared" si="24"/>
        <v>0</v>
      </c>
      <c r="I519" s="26">
        <f t="shared" si="25"/>
        <v>0</v>
      </c>
      <c r="J519" s="108">
        <f t="shared" si="26"/>
        <v>5</v>
      </c>
      <c r="K519" s="108"/>
      <c r="L519" s="108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/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/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/>
      <c r="BP519" s="111"/>
      <c r="BQ519" s="111"/>
      <c r="BR519" s="111"/>
      <c r="BS519" s="111"/>
      <c r="BT519" s="111"/>
      <c r="BU519" s="111"/>
      <c r="BV519" s="111"/>
    </row>
    <row r="520" spans="1:74" s="50" customFormat="1" ht="15" hidden="1" customHeight="1">
      <c r="A520" s="142">
        <v>516</v>
      </c>
      <c r="B520" s="143" t="s">
        <v>1039</v>
      </c>
      <c r="C520" s="286" t="s">
        <v>1040</v>
      </c>
      <c r="D520" s="143" t="s">
        <v>21</v>
      </c>
      <c r="E520" s="109"/>
      <c r="F520" s="109"/>
      <c r="G520" s="108">
        <v>18</v>
      </c>
      <c r="H520" s="26">
        <f t="shared" si="24"/>
        <v>0</v>
      </c>
      <c r="I520" s="26">
        <f t="shared" si="25"/>
        <v>0</v>
      </c>
      <c r="J520" s="108">
        <f t="shared" si="26"/>
        <v>18</v>
      </c>
      <c r="K520" s="108"/>
      <c r="L520" s="108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  <c r="AJ520" s="111"/>
      <c r="AK520" s="111"/>
      <c r="AL520" s="111"/>
      <c r="AM520" s="111"/>
      <c r="AN520" s="111"/>
      <c r="AO520" s="111"/>
      <c r="AP520" s="111"/>
      <c r="AQ520" s="111"/>
      <c r="AR520" s="111"/>
      <c r="AS520" s="111"/>
      <c r="AT520" s="111"/>
      <c r="AU520" s="111"/>
      <c r="AV520" s="111"/>
      <c r="AW520" s="111"/>
      <c r="AX520" s="111"/>
      <c r="AY520" s="111"/>
      <c r="AZ520" s="111"/>
      <c r="BA520" s="111"/>
      <c r="BB520" s="111"/>
      <c r="BC520" s="111"/>
      <c r="BD520" s="111"/>
      <c r="BE520" s="111"/>
      <c r="BF520" s="111"/>
      <c r="BG520" s="111"/>
      <c r="BH520" s="111"/>
      <c r="BI520" s="111"/>
      <c r="BJ520" s="111"/>
      <c r="BK520" s="111"/>
      <c r="BL520" s="111"/>
      <c r="BM520" s="111"/>
      <c r="BN520" s="111"/>
      <c r="BO520" s="111"/>
      <c r="BP520" s="111"/>
      <c r="BQ520" s="111"/>
      <c r="BR520" s="111"/>
      <c r="BS520" s="111"/>
      <c r="BT520" s="111"/>
      <c r="BU520" s="111"/>
      <c r="BV520" s="111"/>
    </row>
    <row r="521" spans="1:74" s="50" customFormat="1" ht="15" hidden="1" customHeight="1">
      <c r="A521" s="142">
        <v>517</v>
      </c>
      <c r="B521" s="143" t="s">
        <v>1041</v>
      </c>
      <c r="C521" s="144" t="s">
        <v>1042</v>
      </c>
      <c r="D521" s="143" t="s">
        <v>21</v>
      </c>
      <c r="E521" s="109"/>
      <c r="F521" s="109"/>
      <c r="G521" s="108">
        <v>946</v>
      </c>
      <c r="H521" s="26">
        <f t="shared" si="24"/>
        <v>0</v>
      </c>
      <c r="I521" s="26">
        <f t="shared" si="25"/>
        <v>0</v>
      </c>
      <c r="J521" s="108">
        <f t="shared" si="26"/>
        <v>946</v>
      </c>
      <c r="K521" s="108"/>
      <c r="L521" s="108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/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/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/>
      <c r="BP521" s="111"/>
      <c r="BQ521" s="111"/>
      <c r="BR521" s="111"/>
      <c r="BS521" s="111"/>
      <c r="BT521" s="111"/>
      <c r="BU521" s="111"/>
      <c r="BV521" s="111"/>
    </row>
    <row r="522" spans="1:74" s="50" customFormat="1" ht="15" hidden="1" customHeight="1">
      <c r="A522" s="142">
        <v>518</v>
      </c>
      <c r="B522" s="252" t="s">
        <v>1043</v>
      </c>
      <c r="C522" s="144" t="s">
        <v>1044</v>
      </c>
      <c r="D522" s="143" t="s">
        <v>21</v>
      </c>
      <c r="E522" s="109"/>
      <c r="F522" s="109"/>
      <c r="G522" s="108">
        <v>8</v>
      </c>
      <c r="H522" s="26">
        <f t="shared" si="24"/>
        <v>0</v>
      </c>
      <c r="I522" s="26">
        <f t="shared" si="25"/>
        <v>0</v>
      </c>
      <c r="J522" s="108">
        <f t="shared" si="26"/>
        <v>8</v>
      </c>
      <c r="K522" s="108"/>
      <c r="L522" s="108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  <c r="AJ522" s="111"/>
      <c r="AK522" s="111"/>
      <c r="AL522" s="111"/>
      <c r="AM522" s="111"/>
      <c r="AN522" s="111"/>
      <c r="AO522" s="111"/>
      <c r="AP522" s="111"/>
      <c r="AQ522" s="111"/>
      <c r="AR522" s="111"/>
      <c r="AS522" s="111"/>
      <c r="AT522" s="111"/>
      <c r="AU522" s="111"/>
      <c r="AV522" s="111"/>
      <c r="AW522" s="111"/>
      <c r="AX522" s="111"/>
      <c r="AY522" s="111"/>
      <c r="AZ522" s="111"/>
      <c r="BA522" s="111"/>
      <c r="BB522" s="111"/>
      <c r="BC522" s="111"/>
      <c r="BD522" s="111"/>
      <c r="BE522" s="111"/>
      <c r="BF522" s="111"/>
      <c r="BG522" s="111"/>
      <c r="BH522" s="111"/>
      <c r="BI522" s="111"/>
      <c r="BJ522" s="111"/>
      <c r="BK522" s="111"/>
      <c r="BL522" s="111"/>
      <c r="BM522" s="111"/>
      <c r="BN522" s="111"/>
      <c r="BO522" s="111"/>
      <c r="BP522" s="111"/>
      <c r="BQ522" s="111"/>
      <c r="BR522" s="111"/>
      <c r="BS522" s="111"/>
      <c r="BT522" s="111"/>
      <c r="BU522" s="111"/>
      <c r="BV522" s="111"/>
    </row>
    <row r="523" spans="1:74" s="50" customFormat="1" ht="15" hidden="1" customHeight="1">
      <c r="A523" s="142">
        <v>519</v>
      </c>
      <c r="B523" s="252" t="s">
        <v>1045</v>
      </c>
      <c r="C523" s="144" t="s">
        <v>1046</v>
      </c>
      <c r="D523" s="143" t="s">
        <v>21</v>
      </c>
      <c r="E523" s="109"/>
      <c r="F523" s="109"/>
      <c r="G523" s="108">
        <v>8</v>
      </c>
      <c r="H523" s="26">
        <f t="shared" si="24"/>
        <v>0</v>
      </c>
      <c r="I523" s="26">
        <f t="shared" si="25"/>
        <v>0</v>
      </c>
      <c r="J523" s="108">
        <f t="shared" si="26"/>
        <v>8</v>
      </c>
      <c r="K523" s="108"/>
      <c r="L523" s="108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  <c r="AJ523" s="111"/>
      <c r="AK523" s="111"/>
      <c r="AL523" s="111"/>
      <c r="AM523" s="111"/>
      <c r="AN523" s="111"/>
      <c r="AO523" s="111"/>
      <c r="AP523" s="111"/>
      <c r="AQ523" s="111"/>
      <c r="AR523" s="111"/>
      <c r="AS523" s="111"/>
      <c r="AT523" s="111"/>
      <c r="AU523" s="111"/>
      <c r="AV523" s="111"/>
      <c r="AW523" s="111"/>
      <c r="AX523" s="111"/>
      <c r="AY523" s="111"/>
      <c r="AZ523" s="111"/>
      <c r="BA523" s="111"/>
      <c r="BB523" s="111"/>
      <c r="BC523" s="111"/>
      <c r="BD523" s="111"/>
      <c r="BE523" s="111"/>
      <c r="BF523" s="111"/>
      <c r="BG523" s="111"/>
      <c r="BH523" s="111"/>
      <c r="BI523" s="111"/>
      <c r="BJ523" s="111"/>
      <c r="BK523" s="111"/>
      <c r="BL523" s="111"/>
      <c r="BM523" s="111"/>
      <c r="BN523" s="111"/>
      <c r="BO523" s="111"/>
      <c r="BP523" s="111"/>
      <c r="BQ523" s="111"/>
      <c r="BR523" s="111"/>
      <c r="BS523" s="111"/>
      <c r="BT523" s="111"/>
      <c r="BU523" s="111"/>
      <c r="BV523" s="111"/>
    </row>
    <row r="524" spans="1:74" s="50" customFormat="1" ht="15" hidden="1" customHeight="1">
      <c r="A524" s="142">
        <v>520</v>
      </c>
      <c r="B524" s="143" t="s">
        <v>1047</v>
      </c>
      <c r="C524" s="144" t="s">
        <v>1048</v>
      </c>
      <c r="D524" s="143" t="s">
        <v>21</v>
      </c>
      <c r="E524" s="109"/>
      <c r="F524" s="109"/>
      <c r="G524" s="108">
        <v>0</v>
      </c>
      <c r="H524" s="26">
        <f t="shared" si="24"/>
        <v>0</v>
      </c>
      <c r="I524" s="26">
        <f t="shared" si="25"/>
        <v>0</v>
      </c>
      <c r="J524" s="108">
        <f t="shared" si="26"/>
        <v>0</v>
      </c>
      <c r="K524" s="108"/>
      <c r="L524" s="108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  <c r="AJ524" s="111"/>
      <c r="AK524" s="111"/>
      <c r="AL524" s="111"/>
      <c r="AM524" s="111"/>
      <c r="AN524" s="111"/>
      <c r="AO524" s="111"/>
      <c r="AP524" s="111"/>
      <c r="AQ524" s="111"/>
      <c r="AR524" s="111"/>
      <c r="AS524" s="111"/>
      <c r="AT524" s="111"/>
      <c r="AU524" s="111"/>
      <c r="AV524" s="111"/>
      <c r="AW524" s="111"/>
      <c r="AX524" s="111"/>
      <c r="AY524" s="111"/>
      <c r="AZ524" s="111"/>
      <c r="BA524" s="111"/>
      <c r="BB524" s="111"/>
      <c r="BC524" s="111"/>
      <c r="BD524" s="111"/>
      <c r="BE524" s="111"/>
      <c r="BF524" s="111"/>
      <c r="BG524" s="111"/>
      <c r="BH524" s="111"/>
      <c r="BI524" s="111"/>
      <c r="BJ524" s="111"/>
      <c r="BK524" s="111"/>
      <c r="BL524" s="111"/>
      <c r="BM524" s="111"/>
      <c r="BN524" s="111"/>
      <c r="BO524" s="111"/>
      <c r="BP524" s="111"/>
      <c r="BQ524" s="111"/>
      <c r="BR524" s="111"/>
      <c r="BS524" s="111"/>
      <c r="BT524" s="111"/>
      <c r="BU524" s="111"/>
      <c r="BV524" s="111"/>
    </row>
    <row r="525" spans="1:74" s="50" customFormat="1" ht="15" hidden="1" customHeight="1">
      <c r="A525" s="142">
        <v>521</v>
      </c>
      <c r="B525" s="143" t="s">
        <v>1049</v>
      </c>
      <c r="C525" s="144" t="s">
        <v>1050</v>
      </c>
      <c r="D525" s="143" t="s">
        <v>21</v>
      </c>
      <c r="E525" s="109"/>
      <c r="F525" s="109"/>
      <c r="G525" s="110">
        <v>73</v>
      </c>
      <c r="H525" s="3">
        <f t="shared" si="24"/>
        <v>0</v>
      </c>
      <c r="I525" s="3">
        <f t="shared" si="25"/>
        <v>0</v>
      </c>
      <c r="J525" s="110">
        <f t="shared" si="26"/>
        <v>73</v>
      </c>
      <c r="K525" s="110"/>
      <c r="L525" s="110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  <c r="AJ525" s="111"/>
      <c r="AK525" s="111"/>
      <c r="AL525" s="111"/>
      <c r="AM525" s="111"/>
      <c r="AN525" s="111"/>
      <c r="AO525" s="111"/>
      <c r="AP525" s="111"/>
      <c r="AQ525" s="111"/>
      <c r="AR525" s="111"/>
      <c r="AS525" s="111"/>
      <c r="AT525" s="111"/>
      <c r="AU525" s="111"/>
      <c r="AV525" s="111"/>
      <c r="AW525" s="111"/>
      <c r="AX525" s="111"/>
      <c r="AY525" s="111"/>
      <c r="AZ525" s="111"/>
      <c r="BA525" s="111"/>
      <c r="BB525" s="111"/>
      <c r="BC525" s="111"/>
      <c r="BD525" s="111"/>
      <c r="BE525" s="111"/>
      <c r="BF525" s="111"/>
      <c r="BG525" s="111"/>
      <c r="BH525" s="111"/>
      <c r="BI525" s="111"/>
      <c r="BJ525" s="111"/>
      <c r="BK525" s="111"/>
      <c r="BL525" s="111"/>
      <c r="BM525" s="111"/>
      <c r="BN525" s="111"/>
      <c r="BO525" s="111"/>
      <c r="BP525" s="111"/>
      <c r="BQ525" s="111"/>
      <c r="BR525" s="111"/>
      <c r="BS525" s="111"/>
      <c r="BT525" s="111"/>
      <c r="BU525" s="111"/>
      <c r="BV525" s="111"/>
    </row>
    <row r="526" spans="1:74" s="50" customFormat="1" ht="15" hidden="1" customHeight="1">
      <c r="A526" s="142">
        <v>522</v>
      </c>
      <c r="B526" s="143" t="s">
        <v>1051</v>
      </c>
      <c r="C526" s="144" t="s">
        <v>1052</v>
      </c>
      <c r="D526" s="143" t="s">
        <v>21</v>
      </c>
      <c r="E526" s="109"/>
      <c r="F526" s="109"/>
      <c r="G526" s="110">
        <v>0</v>
      </c>
      <c r="H526" s="3">
        <f t="shared" si="24"/>
        <v>0</v>
      </c>
      <c r="I526" s="3">
        <f t="shared" si="25"/>
        <v>0</v>
      </c>
      <c r="J526" s="110">
        <f t="shared" si="26"/>
        <v>0</v>
      </c>
      <c r="K526" s="110"/>
      <c r="L526" s="110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  <c r="AJ526" s="111"/>
      <c r="AK526" s="111"/>
      <c r="AL526" s="111"/>
      <c r="AM526" s="111"/>
      <c r="AN526" s="111"/>
      <c r="AO526" s="111"/>
      <c r="AP526" s="111"/>
      <c r="AQ526" s="111"/>
      <c r="AR526" s="111"/>
      <c r="AS526" s="111"/>
      <c r="AT526" s="111"/>
      <c r="AU526" s="111"/>
      <c r="AV526" s="111"/>
      <c r="AW526" s="111"/>
      <c r="AX526" s="111"/>
      <c r="AY526" s="111"/>
      <c r="AZ526" s="111"/>
      <c r="BA526" s="111"/>
      <c r="BB526" s="111"/>
      <c r="BC526" s="111"/>
      <c r="BD526" s="111"/>
      <c r="BE526" s="111"/>
      <c r="BF526" s="111"/>
      <c r="BG526" s="111"/>
      <c r="BH526" s="111"/>
      <c r="BI526" s="111"/>
      <c r="BJ526" s="111"/>
      <c r="BK526" s="111"/>
      <c r="BL526" s="111"/>
      <c r="BM526" s="111"/>
      <c r="BN526" s="111"/>
      <c r="BO526" s="111"/>
      <c r="BP526" s="111"/>
      <c r="BQ526" s="111"/>
      <c r="BR526" s="111"/>
      <c r="BS526" s="111"/>
      <c r="BT526" s="111"/>
      <c r="BU526" s="111"/>
      <c r="BV526" s="111"/>
    </row>
    <row r="527" spans="1:74" s="50" customFormat="1" ht="14.25" hidden="1" customHeight="1">
      <c r="A527" s="142">
        <v>523</v>
      </c>
      <c r="B527" s="143" t="s">
        <v>1053</v>
      </c>
      <c r="C527" s="144" t="s">
        <v>1054</v>
      </c>
      <c r="D527" s="143" t="s">
        <v>21</v>
      </c>
      <c r="E527" s="109"/>
      <c r="F527" s="109"/>
      <c r="G527" s="110">
        <v>21</v>
      </c>
      <c r="H527" s="3">
        <f t="shared" si="24"/>
        <v>0</v>
      </c>
      <c r="I527" s="3">
        <f t="shared" si="25"/>
        <v>0</v>
      </c>
      <c r="J527" s="110">
        <f t="shared" si="26"/>
        <v>21</v>
      </c>
      <c r="K527" s="110"/>
      <c r="L527" s="110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  <c r="AJ527" s="111"/>
      <c r="AK527" s="111"/>
      <c r="AL527" s="111"/>
      <c r="AM527" s="111"/>
      <c r="AN527" s="111"/>
      <c r="AO527" s="111"/>
      <c r="AP527" s="111"/>
      <c r="AQ527" s="111"/>
      <c r="AR527" s="111"/>
      <c r="AS527" s="111"/>
      <c r="AT527" s="111"/>
      <c r="AU527" s="111"/>
      <c r="AV527" s="111"/>
      <c r="AW527" s="111"/>
      <c r="AX527" s="111"/>
      <c r="AY527" s="111"/>
      <c r="AZ527" s="111"/>
      <c r="BA527" s="111"/>
      <c r="BB527" s="111"/>
      <c r="BC527" s="111"/>
      <c r="BD527" s="111"/>
      <c r="BE527" s="111"/>
      <c r="BF527" s="111"/>
      <c r="BG527" s="111"/>
      <c r="BH527" s="111"/>
      <c r="BI527" s="111"/>
      <c r="BJ527" s="111"/>
      <c r="BK527" s="111"/>
      <c r="BL527" s="111"/>
      <c r="BM527" s="111"/>
      <c r="BN527" s="111"/>
      <c r="BO527" s="111"/>
      <c r="BP527" s="111"/>
      <c r="BQ527" s="111"/>
      <c r="BR527" s="111"/>
      <c r="BS527" s="111"/>
      <c r="BT527" s="111"/>
      <c r="BU527" s="111"/>
      <c r="BV527" s="111"/>
    </row>
    <row r="528" spans="1:74" s="50" customFormat="1" ht="15" hidden="1" customHeight="1">
      <c r="A528" s="142">
        <v>524</v>
      </c>
      <c r="B528" s="143" t="s">
        <v>1055</v>
      </c>
      <c r="C528" s="144" t="s">
        <v>1056</v>
      </c>
      <c r="D528" s="143" t="s">
        <v>21</v>
      </c>
      <c r="E528" s="109"/>
      <c r="F528" s="109"/>
      <c r="G528" s="110">
        <v>10</v>
      </c>
      <c r="H528" s="3">
        <f t="shared" si="24"/>
        <v>0</v>
      </c>
      <c r="I528" s="3">
        <f t="shared" si="25"/>
        <v>0</v>
      </c>
      <c r="J528" s="110">
        <f t="shared" si="26"/>
        <v>10</v>
      </c>
      <c r="K528" s="110"/>
      <c r="L528" s="110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  <c r="AJ528" s="111"/>
      <c r="AK528" s="111"/>
      <c r="AL528" s="111"/>
      <c r="AM528" s="111"/>
      <c r="AN528" s="111"/>
      <c r="AO528" s="111"/>
      <c r="AP528" s="111"/>
      <c r="AQ528" s="111"/>
      <c r="AR528" s="111"/>
      <c r="AS528" s="111"/>
      <c r="AT528" s="111"/>
      <c r="AU528" s="111"/>
      <c r="AV528" s="111"/>
      <c r="AW528" s="111"/>
      <c r="AX528" s="111"/>
      <c r="AY528" s="111"/>
      <c r="AZ528" s="111"/>
      <c r="BA528" s="111"/>
      <c r="BB528" s="111"/>
      <c r="BC528" s="111"/>
      <c r="BD528" s="111"/>
      <c r="BE528" s="111"/>
      <c r="BF528" s="111"/>
      <c r="BG528" s="111"/>
      <c r="BH528" s="111"/>
      <c r="BI528" s="111"/>
      <c r="BJ528" s="111"/>
      <c r="BK528" s="111"/>
      <c r="BL528" s="111"/>
      <c r="BM528" s="111"/>
      <c r="BN528" s="111"/>
      <c r="BO528" s="111"/>
      <c r="BP528" s="111"/>
      <c r="BQ528" s="111"/>
      <c r="BR528" s="111"/>
      <c r="BS528" s="111"/>
      <c r="BT528" s="111"/>
      <c r="BU528" s="111"/>
      <c r="BV528" s="111"/>
    </row>
    <row r="529" spans="1:74" s="50" customFormat="1" ht="15" hidden="1" customHeight="1">
      <c r="A529" s="142">
        <v>525</v>
      </c>
      <c r="B529" s="143" t="s">
        <v>1057</v>
      </c>
      <c r="C529" s="144" t="s">
        <v>1058</v>
      </c>
      <c r="D529" s="143" t="s">
        <v>21</v>
      </c>
      <c r="E529" s="109"/>
      <c r="F529" s="111"/>
      <c r="G529" s="110">
        <v>0</v>
      </c>
      <c r="H529" s="3">
        <f t="shared" si="24"/>
        <v>0</v>
      </c>
      <c r="I529" s="3">
        <f t="shared" si="25"/>
        <v>0</v>
      </c>
      <c r="J529" s="110">
        <f t="shared" si="26"/>
        <v>0</v>
      </c>
      <c r="K529" s="110"/>
      <c r="L529" s="110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  <c r="AJ529" s="111"/>
      <c r="AK529" s="111"/>
      <c r="AL529" s="111"/>
      <c r="AM529" s="111"/>
      <c r="AN529" s="111"/>
      <c r="AO529" s="111"/>
      <c r="AP529" s="111"/>
      <c r="AQ529" s="111"/>
      <c r="AR529" s="111"/>
      <c r="AS529" s="111"/>
      <c r="AT529" s="111"/>
      <c r="AU529" s="111"/>
      <c r="AV529" s="111"/>
      <c r="AW529" s="111"/>
      <c r="AX529" s="111"/>
      <c r="AY529" s="111"/>
      <c r="AZ529" s="111"/>
      <c r="BA529" s="111"/>
      <c r="BB529" s="111"/>
      <c r="BC529" s="111"/>
      <c r="BD529" s="111"/>
      <c r="BE529" s="111"/>
      <c r="BF529" s="111"/>
      <c r="BG529" s="111"/>
      <c r="BH529" s="111"/>
      <c r="BI529" s="111"/>
      <c r="BJ529" s="111"/>
      <c r="BK529" s="111"/>
      <c r="BL529" s="111"/>
      <c r="BM529" s="111"/>
      <c r="BN529" s="111"/>
      <c r="BO529" s="111"/>
      <c r="BP529" s="111"/>
      <c r="BQ529" s="111"/>
      <c r="BR529" s="111"/>
      <c r="BS529" s="111"/>
      <c r="BT529" s="111"/>
      <c r="BU529" s="111"/>
      <c r="BV529" s="111"/>
    </row>
    <row r="530" spans="1:74" s="50" customFormat="1" ht="15" hidden="1" customHeight="1">
      <c r="A530" s="142">
        <v>526</v>
      </c>
      <c r="B530" s="143" t="s">
        <v>1059</v>
      </c>
      <c r="C530" s="144" t="s">
        <v>1060</v>
      </c>
      <c r="D530" s="143" t="s">
        <v>21</v>
      </c>
      <c r="E530" s="109"/>
      <c r="F530" s="111"/>
      <c r="G530" s="110">
        <v>2</v>
      </c>
      <c r="H530" s="3">
        <f t="shared" si="24"/>
        <v>0</v>
      </c>
      <c r="I530" s="3">
        <f t="shared" si="25"/>
        <v>0</v>
      </c>
      <c r="J530" s="110">
        <f t="shared" si="26"/>
        <v>2</v>
      </c>
      <c r="K530" s="110"/>
      <c r="L530" s="110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111"/>
      <c r="AK530" s="111"/>
      <c r="AL530" s="111"/>
      <c r="AM530" s="111"/>
      <c r="AN530" s="111"/>
      <c r="AO530" s="111"/>
      <c r="AP530" s="111"/>
      <c r="AQ530" s="111"/>
      <c r="AR530" s="111"/>
      <c r="AS530" s="111"/>
      <c r="AT530" s="111"/>
      <c r="AU530" s="111"/>
      <c r="AV530" s="111"/>
      <c r="AW530" s="111"/>
      <c r="AX530" s="111"/>
      <c r="AY530" s="111"/>
      <c r="AZ530" s="111"/>
      <c r="BA530" s="111"/>
      <c r="BB530" s="111"/>
      <c r="BC530" s="111"/>
      <c r="BD530" s="111"/>
      <c r="BE530" s="111"/>
      <c r="BF530" s="111"/>
      <c r="BG530" s="111"/>
      <c r="BH530" s="111"/>
      <c r="BI530" s="111"/>
      <c r="BJ530" s="111"/>
      <c r="BK530" s="111"/>
      <c r="BL530" s="111"/>
      <c r="BM530" s="111"/>
      <c r="BN530" s="111"/>
      <c r="BO530" s="111"/>
      <c r="BP530" s="111"/>
      <c r="BQ530" s="111"/>
      <c r="BR530" s="111"/>
      <c r="BS530" s="111"/>
      <c r="BT530" s="111"/>
      <c r="BU530" s="111"/>
      <c r="BV530" s="111"/>
    </row>
    <row r="531" spans="1:74" s="50" customFormat="1" ht="15" hidden="1" customHeight="1">
      <c r="A531" s="142">
        <v>527</v>
      </c>
      <c r="B531" s="143" t="s">
        <v>1061</v>
      </c>
      <c r="C531" s="144" t="s">
        <v>1062</v>
      </c>
      <c r="D531" s="143" t="s">
        <v>21</v>
      </c>
      <c r="E531" s="109"/>
      <c r="F531" s="111"/>
      <c r="G531" s="110">
        <v>8</v>
      </c>
      <c r="H531" s="3">
        <f t="shared" si="24"/>
        <v>0</v>
      </c>
      <c r="I531" s="3">
        <f t="shared" si="25"/>
        <v>0</v>
      </c>
      <c r="J531" s="110">
        <f t="shared" si="26"/>
        <v>8</v>
      </c>
      <c r="K531" s="110"/>
      <c r="L531" s="110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  <c r="AJ531" s="111"/>
      <c r="AK531" s="111"/>
      <c r="AL531" s="111"/>
      <c r="AM531" s="111"/>
      <c r="AN531" s="111"/>
      <c r="AO531" s="111"/>
      <c r="AP531" s="111"/>
      <c r="AQ531" s="111"/>
      <c r="AR531" s="111"/>
      <c r="AS531" s="111"/>
      <c r="AT531" s="111"/>
      <c r="AU531" s="111"/>
      <c r="AV531" s="111"/>
      <c r="AW531" s="111"/>
      <c r="AX531" s="111"/>
      <c r="AY531" s="111"/>
      <c r="AZ531" s="111"/>
      <c r="BA531" s="111"/>
      <c r="BB531" s="111"/>
      <c r="BC531" s="111"/>
      <c r="BD531" s="111"/>
      <c r="BE531" s="111"/>
      <c r="BF531" s="111"/>
      <c r="BG531" s="111"/>
      <c r="BH531" s="111"/>
      <c r="BI531" s="111"/>
      <c r="BJ531" s="111"/>
      <c r="BK531" s="111"/>
      <c r="BL531" s="111"/>
      <c r="BM531" s="111"/>
      <c r="BN531" s="111"/>
      <c r="BO531" s="111"/>
      <c r="BP531" s="111"/>
      <c r="BQ531" s="111"/>
      <c r="BR531" s="111"/>
      <c r="BS531" s="111"/>
      <c r="BT531" s="111"/>
      <c r="BU531" s="111"/>
      <c r="BV531" s="111"/>
    </row>
    <row r="532" spans="1:74" s="50" customFormat="1" ht="15" hidden="1" customHeight="1">
      <c r="A532" s="142">
        <v>528</v>
      </c>
      <c r="B532" s="143" t="s">
        <v>1063</v>
      </c>
      <c r="C532" s="144" t="s">
        <v>1064</v>
      </c>
      <c r="D532" s="143" t="s">
        <v>21</v>
      </c>
      <c r="E532" s="109"/>
      <c r="F532" s="111"/>
      <c r="G532" s="110">
        <v>0</v>
      </c>
      <c r="H532" s="3">
        <f t="shared" si="24"/>
        <v>0</v>
      </c>
      <c r="I532" s="3">
        <f t="shared" si="25"/>
        <v>0</v>
      </c>
      <c r="J532" s="110">
        <f t="shared" si="26"/>
        <v>0</v>
      </c>
      <c r="K532" s="110"/>
      <c r="L532" s="110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  <c r="AJ532" s="111"/>
      <c r="AK532" s="111"/>
      <c r="AL532" s="111"/>
      <c r="AM532" s="111"/>
      <c r="AN532" s="111"/>
      <c r="AO532" s="111"/>
      <c r="AP532" s="111"/>
      <c r="AQ532" s="111"/>
      <c r="AR532" s="111"/>
      <c r="AS532" s="111"/>
      <c r="AT532" s="111"/>
      <c r="AU532" s="111"/>
      <c r="AV532" s="111"/>
      <c r="AW532" s="111"/>
      <c r="AX532" s="111"/>
      <c r="AY532" s="111"/>
      <c r="AZ532" s="111"/>
      <c r="BA532" s="111"/>
      <c r="BB532" s="111"/>
      <c r="BC532" s="111"/>
      <c r="BD532" s="111"/>
      <c r="BE532" s="111"/>
      <c r="BF532" s="111"/>
      <c r="BG532" s="111"/>
      <c r="BH532" s="111"/>
      <c r="BI532" s="111"/>
      <c r="BJ532" s="111"/>
      <c r="BK532" s="111"/>
      <c r="BL532" s="111"/>
      <c r="BM532" s="111"/>
      <c r="BN532" s="111"/>
      <c r="BO532" s="111"/>
      <c r="BP532" s="111"/>
      <c r="BQ532" s="111"/>
      <c r="BR532" s="111"/>
      <c r="BS532" s="111"/>
      <c r="BT532" s="111"/>
      <c r="BU532" s="111"/>
      <c r="BV532" s="111"/>
    </row>
    <row r="533" spans="1:74" s="50" customFormat="1" ht="15" hidden="1" customHeight="1">
      <c r="A533" s="142">
        <v>529</v>
      </c>
      <c r="B533" s="143" t="s">
        <v>1065</v>
      </c>
      <c r="C533" s="144" t="s">
        <v>1066</v>
      </c>
      <c r="D533" s="143" t="s">
        <v>21</v>
      </c>
      <c r="E533" s="109"/>
      <c r="F533" s="109"/>
      <c r="G533" s="110">
        <v>67</v>
      </c>
      <c r="H533" s="3">
        <f t="shared" si="24"/>
        <v>0</v>
      </c>
      <c r="I533" s="3">
        <f t="shared" si="25"/>
        <v>0</v>
      </c>
      <c r="J533" s="110">
        <f t="shared" si="26"/>
        <v>67</v>
      </c>
      <c r="K533" s="110"/>
      <c r="L533" s="110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  <c r="AJ533" s="111"/>
      <c r="AK533" s="111"/>
      <c r="AL533" s="111"/>
      <c r="AM533" s="111"/>
      <c r="AN533" s="111"/>
      <c r="AO533" s="111"/>
      <c r="AP533" s="111"/>
      <c r="AQ533" s="111"/>
      <c r="AR533" s="111"/>
      <c r="AS533" s="111"/>
      <c r="AT533" s="111"/>
      <c r="AU533" s="111"/>
      <c r="AV533" s="111"/>
      <c r="AW533" s="111"/>
      <c r="AX533" s="111"/>
      <c r="AY533" s="111"/>
      <c r="AZ533" s="111"/>
      <c r="BA533" s="111"/>
      <c r="BB533" s="111"/>
      <c r="BC533" s="111"/>
      <c r="BD533" s="111"/>
      <c r="BE533" s="111"/>
      <c r="BF533" s="111"/>
      <c r="BG533" s="111"/>
      <c r="BH533" s="111"/>
      <c r="BI533" s="111"/>
      <c r="BJ533" s="111"/>
      <c r="BK533" s="111"/>
      <c r="BL533" s="111"/>
      <c r="BM533" s="111"/>
      <c r="BN533" s="111"/>
      <c r="BO533" s="111"/>
      <c r="BP533" s="111"/>
      <c r="BQ533" s="111"/>
      <c r="BR533" s="111"/>
      <c r="BS533" s="111"/>
      <c r="BT533" s="111"/>
      <c r="BU533" s="111"/>
      <c r="BV533" s="111"/>
    </row>
    <row r="534" spans="1:74" s="50" customFormat="1" ht="15" hidden="1" customHeight="1">
      <c r="A534" s="142">
        <v>530</v>
      </c>
      <c r="B534" s="143" t="s">
        <v>1067</v>
      </c>
      <c r="C534" s="144" t="s">
        <v>1068</v>
      </c>
      <c r="D534" s="143" t="s">
        <v>21</v>
      </c>
      <c r="E534" s="109"/>
      <c r="F534" s="111"/>
      <c r="G534" s="110">
        <v>0</v>
      </c>
      <c r="H534" s="3">
        <f t="shared" si="24"/>
        <v>0</v>
      </c>
      <c r="I534" s="3">
        <f t="shared" si="25"/>
        <v>0</v>
      </c>
      <c r="J534" s="110">
        <f t="shared" si="26"/>
        <v>0</v>
      </c>
      <c r="K534" s="110"/>
      <c r="L534" s="110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  <c r="AJ534" s="111"/>
      <c r="AK534" s="111"/>
      <c r="AL534" s="111"/>
      <c r="AM534" s="111"/>
      <c r="AN534" s="111"/>
      <c r="AO534" s="111"/>
      <c r="AP534" s="111"/>
      <c r="AQ534" s="111"/>
      <c r="AR534" s="111"/>
      <c r="AS534" s="111"/>
      <c r="AT534" s="111"/>
      <c r="AU534" s="111"/>
      <c r="AV534" s="111"/>
      <c r="AW534" s="111"/>
      <c r="AX534" s="111"/>
      <c r="AY534" s="111"/>
      <c r="AZ534" s="111"/>
      <c r="BA534" s="111"/>
      <c r="BB534" s="111"/>
      <c r="BC534" s="111"/>
      <c r="BD534" s="111"/>
      <c r="BE534" s="111"/>
      <c r="BF534" s="111"/>
      <c r="BG534" s="111"/>
      <c r="BH534" s="111"/>
      <c r="BI534" s="111"/>
      <c r="BJ534" s="111"/>
      <c r="BK534" s="111"/>
      <c r="BL534" s="111"/>
      <c r="BM534" s="111"/>
      <c r="BN534" s="111"/>
      <c r="BO534" s="111"/>
      <c r="BP534" s="111"/>
      <c r="BQ534" s="111"/>
      <c r="BR534" s="111"/>
      <c r="BS534" s="111"/>
      <c r="BT534" s="111"/>
      <c r="BU534" s="111"/>
      <c r="BV534" s="111"/>
    </row>
    <row r="535" spans="1:74" s="50" customFormat="1" ht="15" hidden="1" customHeight="1">
      <c r="A535" s="142">
        <v>531</v>
      </c>
      <c r="B535" s="143" t="s">
        <v>1069</v>
      </c>
      <c r="C535" s="253" t="s">
        <v>1070</v>
      </c>
      <c r="D535" s="143" t="s">
        <v>21</v>
      </c>
      <c r="E535" s="109"/>
      <c r="F535" s="111"/>
      <c r="G535" s="110">
        <v>239</v>
      </c>
      <c r="H535" s="3">
        <f t="shared" si="24"/>
        <v>0</v>
      </c>
      <c r="I535" s="3">
        <f t="shared" si="25"/>
        <v>0</v>
      </c>
      <c r="J535" s="110">
        <f t="shared" si="26"/>
        <v>239</v>
      </c>
      <c r="K535" s="110"/>
      <c r="L535" s="110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  <c r="AJ535" s="111"/>
      <c r="AK535" s="111"/>
      <c r="AL535" s="111"/>
      <c r="AM535" s="111"/>
      <c r="AN535" s="111"/>
      <c r="AO535" s="111"/>
      <c r="AP535" s="111"/>
      <c r="AQ535" s="111"/>
      <c r="AR535" s="111"/>
      <c r="AS535" s="111"/>
      <c r="AT535" s="111"/>
      <c r="AU535" s="111"/>
      <c r="AV535" s="111"/>
      <c r="AW535" s="111"/>
      <c r="AX535" s="111"/>
      <c r="AY535" s="111"/>
      <c r="AZ535" s="111"/>
      <c r="BA535" s="111"/>
      <c r="BB535" s="111"/>
      <c r="BC535" s="111"/>
      <c r="BD535" s="111"/>
      <c r="BE535" s="111"/>
      <c r="BF535" s="111"/>
      <c r="BG535" s="111"/>
      <c r="BH535" s="111"/>
      <c r="BI535" s="111"/>
      <c r="BJ535" s="111"/>
      <c r="BK535" s="111"/>
      <c r="BL535" s="111"/>
      <c r="BM535" s="111"/>
      <c r="BN535" s="111"/>
      <c r="BO535" s="111"/>
      <c r="BP535" s="111"/>
      <c r="BQ535" s="111"/>
      <c r="BR535" s="111"/>
      <c r="BS535" s="111"/>
      <c r="BT535" s="111"/>
      <c r="BU535" s="111"/>
      <c r="BV535" s="111"/>
    </row>
    <row r="536" spans="1:74" s="50" customFormat="1" ht="15" hidden="1" customHeight="1">
      <c r="A536" s="109">
        <v>532</v>
      </c>
      <c r="B536" s="26" t="s">
        <v>1071</v>
      </c>
      <c r="C536" s="27" t="s">
        <v>1072</v>
      </c>
      <c r="D536" s="26" t="s">
        <v>21</v>
      </c>
      <c r="E536" s="109"/>
      <c r="F536" s="109"/>
      <c r="G536" s="110">
        <v>74</v>
      </c>
      <c r="H536" s="3">
        <f t="shared" si="24"/>
        <v>0</v>
      </c>
      <c r="I536" s="3">
        <f t="shared" si="25"/>
        <v>0</v>
      </c>
      <c r="J536" s="110">
        <f t="shared" si="26"/>
        <v>74</v>
      </c>
      <c r="K536" s="110"/>
      <c r="L536" s="110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  <c r="AJ536" s="111"/>
      <c r="AK536" s="111"/>
      <c r="AL536" s="111"/>
      <c r="AM536" s="111"/>
      <c r="AN536" s="111"/>
      <c r="AO536" s="111"/>
      <c r="AP536" s="111"/>
      <c r="AQ536" s="111"/>
      <c r="AR536" s="111"/>
      <c r="AS536" s="111"/>
      <c r="AT536" s="111"/>
      <c r="AU536" s="111"/>
      <c r="AV536" s="111"/>
      <c r="AW536" s="111"/>
      <c r="AX536" s="111"/>
      <c r="AY536" s="111"/>
      <c r="AZ536" s="111"/>
      <c r="BA536" s="111"/>
      <c r="BB536" s="111"/>
      <c r="BC536" s="111"/>
      <c r="BD536" s="111"/>
      <c r="BE536" s="111"/>
      <c r="BF536" s="111"/>
      <c r="BG536" s="111"/>
      <c r="BH536" s="111"/>
      <c r="BI536" s="111"/>
      <c r="BJ536" s="111"/>
      <c r="BK536" s="111"/>
      <c r="BL536" s="111"/>
      <c r="BM536" s="111"/>
      <c r="BN536" s="111"/>
      <c r="BO536" s="111"/>
      <c r="BP536" s="111"/>
      <c r="BQ536" s="111"/>
      <c r="BR536" s="111"/>
      <c r="BS536" s="111"/>
      <c r="BT536" s="111"/>
      <c r="BU536" s="111"/>
      <c r="BV536" s="111"/>
    </row>
    <row r="537" spans="1:74" s="50" customFormat="1" ht="15" hidden="1" customHeight="1">
      <c r="A537" s="109">
        <v>533</v>
      </c>
      <c r="B537" s="26" t="s">
        <v>1073</v>
      </c>
      <c r="C537" s="27" t="s">
        <v>1074</v>
      </c>
      <c r="D537" s="26" t="s">
        <v>21</v>
      </c>
      <c r="E537" s="109"/>
      <c r="F537" s="109"/>
      <c r="G537" s="110">
        <v>3</v>
      </c>
      <c r="H537" s="3">
        <f t="shared" si="24"/>
        <v>0</v>
      </c>
      <c r="I537" s="3">
        <f t="shared" si="25"/>
        <v>0</v>
      </c>
      <c r="J537" s="110">
        <f t="shared" si="26"/>
        <v>3</v>
      </c>
      <c r="K537" s="110"/>
      <c r="L537" s="110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  <c r="AJ537" s="111"/>
      <c r="AK537" s="111"/>
      <c r="AL537" s="111"/>
      <c r="AM537" s="111"/>
      <c r="AN537" s="111"/>
      <c r="AO537" s="111"/>
      <c r="AP537" s="111"/>
      <c r="AQ537" s="111"/>
      <c r="AR537" s="111"/>
      <c r="AS537" s="111"/>
      <c r="AT537" s="111"/>
      <c r="AU537" s="111"/>
      <c r="AV537" s="111"/>
      <c r="AW537" s="111"/>
      <c r="AX537" s="111"/>
      <c r="AY537" s="111"/>
      <c r="AZ537" s="111"/>
      <c r="BA537" s="111"/>
      <c r="BB537" s="111"/>
      <c r="BC537" s="111"/>
      <c r="BD537" s="111"/>
      <c r="BE537" s="111"/>
      <c r="BF537" s="111"/>
      <c r="BG537" s="111"/>
      <c r="BH537" s="111"/>
      <c r="BI537" s="111"/>
      <c r="BJ537" s="111"/>
      <c r="BK537" s="111"/>
      <c r="BL537" s="111"/>
      <c r="BM537" s="111"/>
      <c r="BN537" s="111"/>
      <c r="BO537" s="111"/>
      <c r="BP537" s="111"/>
      <c r="BQ537" s="111"/>
      <c r="BR537" s="111"/>
      <c r="BS537" s="111"/>
      <c r="BT537" s="111"/>
      <c r="BU537" s="111"/>
      <c r="BV537" s="111"/>
    </row>
    <row r="538" spans="1:74" s="92" customFormat="1" ht="15" hidden="1" customHeight="1">
      <c r="A538" s="111">
        <v>534</v>
      </c>
      <c r="B538" s="3" t="s">
        <v>1075</v>
      </c>
      <c r="C538" s="17" t="s">
        <v>1076</v>
      </c>
      <c r="D538" s="3" t="s">
        <v>21</v>
      </c>
      <c r="E538" s="111"/>
      <c r="F538" s="111"/>
      <c r="G538" s="108">
        <v>1</v>
      </c>
      <c r="H538" s="26">
        <f t="shared" si="24"/>
        <v>0</v>
      </c>
      <c r="I538" s="26">
        <f t="shared" si="25"/>
        <v>0</v>
      </c>
      <c r="J538" s="108">
        <f t="shared" si="26"/>
        <v>1</v>
      </c>
      <c r="K538" s="108"/>
      <c r="L538" s="108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  <c r="AO538" s="109"/>
      <c r="AP538" s="109"/>
      <c r="AQ538" s="109"/>
      <c r="AR538" s="109"/>
      <c r="AS538" s="109"/>
      <c r="AT538" s="109"/>
      <c r="AU538" s="109"/>
      <c r="AV538" s="109"/>
      <c r="AW538" s="109"/>
      <c r="AX538" s="109"/>
      <c r="AY538" s="109"/>
      <c r="AZ538" s="109"/>
      <c r="BA538" s="109"/>
      <c r="BB538" s="109"/>
      <c r="BC538" s="109"/>
      <c r="BD538" s="109"/>
      <c r="BE538" s="109"/>
      <c r="BF538" s="109"/>
      <c r="BG538" s="109"/>
      <c r="BH538" s="109"/>
      <c r="BI538" s="109"/>
      <c r="BJ538" s="109"/>
      <c r="BK538" s="109"/>
      <c r="BL538" s="109"/>
      <c r="BM538" s="109"/>
      <c r="BN538" s="109"/>
      <c r="BO538" s="109"/>
      <c r="BP538" s="109"/>
      <c r="BQ538" s="109"/>
      <c r="BR538" s="109"/>
      <c r="BS538" s="109"/>
      <c r="BT538" s="109"/>
      <c r="BU538" s="109"/>
      <c r="BV538" s="109"/>
    </row>
    <row r="539" spans="1:74" s="50" customFormat="1" ht="15" hidden="1" customHeight="1">
      <c r="A539" s="111">
        <v>535</v>
      </c>
      <c r="B539" s="3" t="s">
        <v>1077</v>
      </c>
      <c r="C539" s="17" t="s">
        <v>1078</v>
      </c>
      <c r="D539" s="3" t="s">
        <v>21</v>
      </c>
      <c r="E539" s="111"/>
      <c r="F539" s="111"/>
      <c r="G539" s="110">
        <v>3</v>
      </c>
      <c r="H539" s="3">
        <f t="shared" si="24"/>
        <v>0</v>
      </c>
      <c r="I539" s="3">
        <f t="shared" si="25"/>
        <v>0</v>
      </c>
      <c r="J539" s="110">
        <f t="shared" si="26"/>
        <v>3</v>
      </c>
      <c r="K539" s="110"/>
      <c r="L539" s="110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  <c r="AJ539" s="111"/>
      <c r="AK539" s="111"/>
      <c r="AL539" s="111"/>
      <c r="AM539" s="111"/>
      <c r="AN539" s="111"/>
      <c r="AO539" s="111"/>
      <c r="AP539" s="111"/>
      <c r="AQ539" s="111"/>
      <c r="AR539" s="111"/>
      <c r="AS539" s="111"/>
      <c r="AT539" s="111"/>
      <c r="AU539" s="111"/>
      <c r="AV539" s="111"/>
      <c r="AW539" s="111"/>
      <c r="AX539" s="111"/>
      <c r="AY539" s="111"/>
      <c r="AZ539" s="111"/>
      <c r="BA539" s="111"/>
      <c r="BB539" s="111"/>
      <c r="BC539" s="111"/>
      <c r="BD539" s="111"/>
      <c r="BE539" s="111"/>
      <c r="BF539" s="111"/>
      <c r="BG539" s="111"/>
      <c r="BH539" s="111"/>
      <c r="BI539" s="111"/>
      <c r="BJ539" s="111"/>
      <c r="BK539" s="111"/>
      <c r="BL539" s="111"/>
      <c r="BM539" s="111"/>
      <c r="BN539" s="111"/>
      <c r="BO539" s="111"/>
      <c r="BP539" s="111"/>
      <c r="BQ539" s="111"/>
      <c r="BR539" s="111"/>
      <c r="BS539" s="111"/>
      <c r="BT539" s="111"/>
      <c r="BU539" s="111"/>
      <c r="BV539" s="111"/>
    </row>
    <row r="540" spans="1:74" s="50" customFormat="1" ht="15" hidden="1" customHeight="1">
      <c r="A540" s="111">
        <v>536</v>
      </c>
      <c r="B540" s="3" t="s">
        <v>1079</v>
      </c>
      <c r="C540" s="17" t="s">
        <v>1080</v>
      </c>
      <c r="D540" s="3" t="s">
        <v>21</v>
      </c>
      <c r="E540" s="111"/>
      <c r="F540" s="111"/>
      <c r="G540" s="110">
        <v>51</v>
      </c>
      <c r="H540" s="3">
        <f t="shared" si="24"/>
        <v>0</v>
      </c>
      <c r="I540" s="3">
        <f t="shared" si="25"/>
        <v>0</v>
      </c>
      <c r="J540" s="110">
        <f t="shared" si="26"/>
        <v>51</v>
      </c>
      <c r="K540" s="110"/>
      <c r="L540" s="110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  <c r="AJ540" s="111"/>
      <c r="AK540" s="111"/>
      <c r="AL540" s="111"/>
      <c r="AM540" s="111"/>
      <c r="AN540" s="111"/>
      <c r="AO540" s="111"/>
      <c r="AP540" s="111"/>
      <c r="AQ540" s="111"/>
      <c r="AR540" s="111"/>
      <c r="AS540" s="111"/>
      <c r="AT540" s="111"/>
      <c r="AU540" s="111"/>
      <c r="AV540" s="111"/>
      <c r="AW540" s="111"/>
      <c r="AX540" s="111"/>
      <c r="AY540" s="111"/>
      <c r="AZ540" s="111"/>
      <c r="BA540" s="111"/>
      <c r="BB540" s="111"/>
      <c r="BC540" s="111"/>
      <c r="BD540" s="111"/>
      <c r="BE540" s="111"/>
      <c r="BF540" s="111"/>
      <c r="BG540" s="111"/>
      <c r="BH540" s="111"/>
      <c r="BI540" s="111"/>
      <c r="BJ540" s="111"/>
      <c r="BK540" s="111"/>
      <c r="BL540" s="111"/>
      <c r="BM540" s="111"/>
      <c r="BN540" s="111"/>
      <c r="BO540" s="111"/>
      <c r="BP540" s="111"/>
      <c r="BQ540" s="111"/>
      <c r="BR540" s="111"/>
      <c r="BS540" s="111"/>
      <c r="BT540" s="111"/>
      <c r="BU540" s="111"/>
      <c r="BV540" s="111"/>
    </row>
    <row r="541" spans="1:74" s="50" customFormat="1" ht="15" hidden="1" customHeight="1">
      <c r="A541" s="142">
        <v>537</v>
      </c>
      <c r="B541" s="143" t="s">
        <v>1081</v>
      </c>
      <c r="C541" s="144" t="s">
        <v>1082</v>
      </c>
      <c r="D541" s="143" t="s">
        <v>21</v>
      </c>
      <c r="E541" s="111" t="s">
        <v>3558</v>
      </c>
      <c r="F541" s="111"/>
      <c r="G541" s="110">
        <v>76</v>
      </c>
      <c r="H541" s="3">
        <f t="shared" si="24"/>
        <v>2</v>
      </c>
      <c r="I541" s="3">
        <f t="shared" si="25"/>
        <v>68</v>
      </c>
      <c r="J541" s="110">
        <f t="shared" si="26"/>
        <v>10</v>
      </c>
      <c r="K541" s="110"/>
      <c r="L541" s="110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>
        <v>2</v>
      </c>
      <c r="X541" s="111"/>
      <c r="Y541" s="111"/>
      <c r="Z541" s="111">
        <v>18</v>
      </c>
      <c r="AA541" s="111"/>
      <c r="AB541" s="111"/>
      <c r="AC541" s="111"/>
      <c r="AD541" s="111">
        <f>12+18</f>
        <v>30</v>
      </c>
      <c r="AE541" s="111"/>
      <c r="AF541" s="111">
        <v>20</v>
      </c>
      <c r="AG541" s="111"/>
      <c r="AH541" s="111"/>
      <c r="AI541" s="111"/>
      <c r="AJ541" s="111"/>
      <c r="AK541" s="111"/>
      <c r="AL541" s="111"/>
      <c r="AM541" s="111"/>
      <c r="AN541" s="111"/>
      <c r="AO541" s="111"/>
      <c r="AP541" s="111"/>
      <c r="AQ541" s="111"/>
      <c r="AR541" s="111"/>
      <c r="AS541" s="111"/>
      <c r="AT541" s="111"/>
      <c r="AU541" s="111"/>
      <c r="AV541" s="111"/>
      <c r="AW541" s="111"/>
      <c r="AX541" s="111"/>
      <c r="AY541" s="111"/>
      <c r="AZ541" s="111"/>
      <c r="BA541" s="111"/>
      <c r="BB541" s="111"/>
      <c r="BC541" s="111"/>
      <c r="BD541" s="111"/>
      <c r="BE541" s="111"/>
      <c r="BF541" s="111"/>
      <c r="BG541" s="111"/>
      <c r="BH541" s="111"/>
      <c r="BI541" s="111"/>
      <c r="BJ541" s="111"/>
      <c r="BK541" s="111"/>
      <c r="BL541" s="111"/>
      <c r="BM541" s="111"/>
      <c r="BN541" s="111"/>
      <c r="BO541" s="111"/>
      <c r="BP541" s="111"/>
      <c r="BQ541" s="111"/>
      <c r="BR541" s="111"/>
      <c r="BS541" s="111"/>
      <c r="BT541" s="111"/>
      <c r="BU541" s="111"/>
      <c r="BV541" s="111"/>
    </row>
    <row r="542" spans="1:74" s="50" customFormat="1" ht="15" hidden="1" customHeight="1">
      <c r="A542" s="111">
        <v>538</v>
      </c>
      <c r="B542" s="3" t="s">
        <v>1083</v>
      </c>
      <c r="C542" s="17" t="s">
        <v>1084</v>
      </c>
      <c r="D542" s="3" t="s">
        <v>21</v>
      </c>
      <c r="E542" s="111"/>
      <c r="F542" s="111"/>
      <c r="G542" s="110">
        <v>6</v>
      </c>
      <c r="H542" s="3">
        <f t="shared" si="24"/>
        <v>0</v>
      </c>
      <c r="I542" s="3">
        <f t="shared" si="25"/>
        <v>0</v>
      </c>
      <c r="J542" s="110">
        <f t="shared" si="26"/>
        <v>6</v>
      </c>
      <c r="K542" s="110"/>
      <c r="L542" s="110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  <c r="AJ542" s="111"/>
      <c r="AK542" s="111"/>
      <c r="AL542" s="111"/>
      <c r="AM542" s="111"/>
      <c r="AN542" s="111"/>
      <c r="AO542" s="111"/>
      <c r="AP542" s="111"/>
      <c r="AQ542" s="111"/>
      <c r="AR542" s="111"/>
      <c r="AS542" s="111"/>
      <c r="AT542" s="111"/>
      <c r="AU542" s="111"/>
      <c r="AV542" s="111"/>
      <c r="AW542" s="111"/>
      <c r="AX542" s="111"/>
      <c r="AY542" s="111"/>
      <c r="AZ542" s="111"/>
      <c r="BA542" s="111"/>
      <c r="BB542" s="111"/>
      <c r="BC542" s="111"/>
      <c r="BD542" s="111"/>
      <c r="BE542" s="111"/>
      <c r="BF542" s="111"/>
      <c r="BG542" s="111"/>
      <c r="BH542" s="111"/>
      <c r="BI542" s="111"/>
      <c r="BJ542" s="111"/>
      <c r="BK542" s="111"/>
      <c r="BL542" s="111"/>
      <c r="BM542" s="111"/>
      <c r="BN542" s="111"/>
      <c r="BO542" s="111"/>
      <c r="BP542" s="111"/>
      <c r="BQ542" s="111"/>
      <c r="BR542" s="111"/>
      <c r="BS542" s="111"/>
      <c r="BT542" s="111"/>
      <c r="BU542" s="111"/>
      <c r="BV542" s="111"/>
    </row>
    <row r="543" spans="1:74" s="50" customFormat="1" ht="15" hidden="1" customHeight="1">
      <c r="A543" s="111">
        <v>539</v>
      </c>
      <c r="B543" s="3" t="s">
        <v>1085</v>
      </c>
      <c r="C543" s="17" t="s">
        <v>1086</v>
      </c>
      <c r="D543" s="3" t="s">
        <v>21</v>
      </c>
      <c r="E543" s="111"/>
      <c r="F543" s="111"/>
      <c r="G543" s="110">
        <v>4</v>
      </c>
      <c r="H543" s="3">
        <f t="shared" si="24"/>
        <v>0</v>
      </c>
      <c r="I543" s="3">
        <f t="shared" si="25"/>
        <v>0</v>
      </c>
      <c r="J543" s="110">
        <f t="shared" si="26"/>
        <v>4</v>
      </c>
      <c r="K543" s="110"/>
      <c r="L543" s="110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  <c r="AJ543" s="111"/>
      <c r="AK543" s="111"/>
      <c r="AL543" s="111"/>
      <c r="AM543" s="111"/>
      <c r="AN543" s="111"/>
      <c r="AO543" s="111"/>
      <c r="AP543" s="111"/>
      <c r="AQ543" s="111"/>
      <c r="AR543" s="111"/>
      <c r="AS543" s="111"/>
      <c r="AT543" s="111"/>
      <c r="AU543" s="111"/>
      <c r="AV543" s="111"/>
      <c r="AW543" s="111"/>
      <c r="AX543" s="111"/>
      <c r="AY543" s="111"/>
      <c r="AZ543" s="111"/>
      <c r="BA543" s="111"/>
      <c r="BB543" s="111"/>
      <c r="BC543" s="111"/>
      <c r="BD543" s="111"/>
      <c r="BE543" s="111"/>
      <c r="BF543" s="111"/>
      <c r="BG543" s="111"/>
      <c r="BH543" s="111"/>
      <c r="BI543" s="111"/>
      <c r="BJ543" s="111"/>
      <c r="BK543" s="111"/>
      <c r="BL543" s="111"/>
      <c r="BM543" s="111"/>
      <c r="BN543" s="111"/>
      <c r="BO543" s="111"/>
      <c r="BP543" s="111"/>
      <c r="BQ543" s="111"/>
      <c r="BR543" s="111"/>
      <c r="BS543" s="111"/>
      <c r="BT543" s="111"/>
      <c r="BU543" s="111"/>
      <c r="BV543" s="111"/>
    </row>
    <row r="544" spans="1:74" s="50" customFormat="1" ht="15" hidden="1" customHeight="1">
      <c r="A544" s="111">
        <v>540</v>
      </c>
      <c r="B544" s="3" t="s">
        <v>1087</v>
      </c>
      <c r="C544" s="17" t="s">
        <v>1088</v>
      </c>
      <c r="D544" s="3" t="s">
        <v>21</v>
      </c>
      <c r="E544" s="111"/>
      <c r="F544" s="111"/>
      <c r="G544" s="110">
        <v>7</v>
      </c>
      <c r="H544" s="3">
        <f t="shared" si="24"/>
        <v>0</v>
      </c>
      <c r="I544" s="3">
        <f t="shared" si="25"/>
        <v>0</v>
      </c>
      <c r="J544" s="110">
        <f t="shared" si="26"/>
        <v>7</v>
      </c>
      <c r="K544" s="110"/>
      <c r="L544" s="110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  <c r="AR544" s="111"/>
      <c r="AS544" s="111"/>
      <c r="AT544" s="111"/>
      <c r="AU544" s="111"/>
      <c r="AV544" s="111"/>
      <c r="AW544" s="111"/>
      <c r="AX544" s="111"/>
      <c r="AY544" s="111"/>
      <c r="AZ544" s="111"/>
      <c r="BA544" s="111"/>
      <c r="BB544" s="111"/>
      <c r="BC544" s="111"/>
      <c r="BD544" s="111"/>
      <c r="BE544" s="111"/>
      <c r="BF544" s="111"/>
      <c r="BG544" s="111"/>
      <c r="BH544" s="111"/>
      <c r="BI544" s="111"/>
      <c r="BJ544" s="111"/>
      <c r="BK544" s="111"/>
      <c r="BL544" s="111"/>
      <c r="BM544" s="111"/>
      <c r="BN544" s="111"/>
      <c r="BO544" s="111"/>
      <c r="BP544" s="111"/>
      <c r="BQ544" s="111"/>
      <c r="BR544" s="111"/>
      <c r="BS544" s="111"/>
      <c r="BT544" s="111"/>
      <c r="BU544" s="111"/>
      <c r="BV544" s="111"/>
    </row>
    <row r="545" spans="1:74" s="50" customFormat="1" ht="15" hidden="1" customHeight="1">
      <c r="A545" s="111">
        <v>541</v>
      </c>
      <c r="B545" s="3" t="s">
        <v>1089</v>
      </c>
      <c r="C545" s="17" t="s">
        <v>1090</v>
      </c>
      <c r="D545" s="3" t="s">
        <v>21</v>
      </c>
      <c r="E545" s="111"/>
      <c r="F545" s="111"/>
      <c r="G545" s="110">
        <v>0</v>
      </c>
      <c r="H545" s="3">
        <f t="shared" si="24"/>
        <v>0</v>
      </c>
      <c r="I545" s="3">
        <f t="shared" si="25"/>
        <v>0</v>
      </c>
      <c r="J545" s="110">
        <f t="shared" si="26"/>
        <v>0</v>
      </c>
      <c r="K545" s="110"/>
      <c r="L545" s="110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  <c r="AJ545" s="111"/>
      <c r="AK545" s="111"/>
      <c r="AL545" s="111"/>
      <c r="AM545" s="111"/>
      <c r="AN545" s="111"/>
      <c r="AO545" s="111"/>
      <c r="AP545" s="111"/>
      <c r="AQ545" s="111"/>
      <c r="AR545" s="111"/>
      <c r="AS545" s="111"/>
      <c r="AT545" s="111"/>
      <c r="AU545" s="111"/>
      <c r="AV545" s="111"/>
      <c r="AW545" s="111"/>
      <c r="AX545" s="111"/>
      <c r="AY545" s="111"/>
      <c r="AZ545" s="111"/>
      <c r="BA545" s="111"/>
      <c r="BB545" s="111"/>
      <c r="BC545" s="111"/>
      <c r="BD545" s="111"/>
      <c r="BE545" s="111"/>
      <c r="BF545" s="111"/>
      <c r="BG545" s="111"/>
      <c r="BH545" s="111"/>
      <c r="BI545" s="111"/>
      <c r="BJ545" s="111"/>
      <c r="BK545" s="111"/>
      <c r="BL545" s="111"/>
      <c r="BM545" s="111"/>
      <c r="BN545" s="111"/>
      <c r="BO545" s="111"/>
      <c r="BP545" s="111"/>
      <c r="BQ545" s="111"/>
      <c r="BR545" s="111"/>
      <c r="BS545" s="111"/>
      <c r="BT545" s="111"/>
      <c r="BU545" s="111"/>
      <c r="BV545" s="111"/>
    </row>
    <row r="546" spans="1:74" s="50" customFormat="1" ht="15" hidden="1" customHeight="1">
      <c r="A546" s="111">
        <v>542</v>
      </c>
      <c r="B546" s="3" t="s">
        <v>1091</v>
      </c>
      <c r="C546" s="17" t="s">
        <v>1092</v>
      </c>
      <c r="D546" s="3" t="s">
        <v>21</v>
      </c>
      <c r="E546" s="111"/>
      <c r="F546" s="111"/>
      <c r="G546" s="110">
        <v>50</v>
      </c>
      <c r="H546" s="3">
        <f t="shared" si="24"/>
        <v>0</v>
      </c>
      <c r="I546" s="3">
        <f t="shared" si="25"/>
        <v>0</v>
      </c>
      <c r="J546" s="110">
        <f t="shared" si="26"/>
        <v>50</v>
      </c>
      <c r="K546" s="110"/>
      <c r="L546" s="110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  <c r="AJ546" s="111"/>
      <c r="AK546" s="111"/>
      <c r="AL546" s="111"/>
      <c r="AM546" s="111"/>
      <c r="AN546" s="111"/>
      <c r="AO546" s="111"/>
      <c r="AP546" s="111"/>
      <c r="AQ546" s="111"/>
      <c r="AR546" s="111"/>
      <c r="AS546" s="111"/>
      <c r="AT546" s="111"/>
      <c r="AU546" s="111"/>
      <c r="AV546" s="111"/>
      <c r="AW546" s="111"/>
      <c r="AX546" s="111"/>
      <c r="AY546" s="111"/>
      <c r="AZ546" s="111"/>
      <c r="BA546" s="111"/>
      <c r="BB546" s="111"/>
      <c r="BC546" s="111"/>
      <c r="BD546" s="111"/>
      <c r="BE546" s="111"/>
      <c r="BF546" s="111"/>
      <c r="BG546" s="111"/>
      <c r="BH546" s="111"/>
      <c r="BI546" s="111"/>
      <c r="BJ546" s="111"/>
      <c r="BK546" s="111"/>
      <c r="BL546" s="111"/>
      <c r="BM546" s="111"/>
      <c r="BN546" s="111"/>
      <c r="BO546" s="111"/>
      <c r="BP546" s="111"/>
      <c r="BQ546" s="111"/>
      <c r="BR546" s="111"/>
      <c r="BS546" s="111"/>
      <c r="BT546" s="111"/>
      <c r="BU546" s="111"/>
      <c r="BV546" s="111"/>
    </row>
    <row r="547" spans="1:74" s="50" customFormat="1" ht="15" hidden="1" customHeight="1">
      <c r="A547" s="111">
        <v>543</v>
      </c>
      <c r="B547" s="3" t="s">
        <v>1093</v>
      </c>
      <c r="C547" s="17" t="s">
        <v>1094</v>
      </c>
      <c r="D547" s="3" t="s">
        <v>21</v>
      </c>
      <c r="E547" s="111"/>
      <c r="F547" s="111"/>
      <c r="G547" s="110">
        <v>14</v>
      </c>
      <c r="H547" s="3">
        <f t="shared" si="24"/>
        <v>0</v>
      </c>
      <c r="I547" s="3">
        <f t="shared" si="25"/>
        <v>0</v>
      </c>
      <c r="J547" s="110">
        <f t="shared" si="26"/>
        <v>14</v>
      </c>
      <c r="K547" s="110"/>
      <c r="L547" s="110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  <c r="AJ547" s="111"/>
      <c r="AK547" s="111"/>
      <c r="AL547" s="111"/>
      <c r="AM547" s="111"/>
      <c r="AN547" s="111"/>
      <c r="AO547" s="111"/>
      <c r="AP547" s="111"/>
      <c r="AQ547" s="111"/>
      <c r="AR547" s="111"/>
      <c r="AS547" s="111"/>
      <c r="AT547" s="111"/>
      <c r="AU547" s="111"/>
      <c r="AV547" s="111"/>
      <c r="AW547" s="111"/>
      <c r="AX547" s="111"/>
      <c r="AY547" s="111"/>
      <c r="AZ547" s="111"/>
      <c r="BA547" s="111"/>
      <c r="BB547" s="111"/>
      <c r="BC547" s="111"/>
      <c r="BD547" s="111"/>
      <c r="BE547" s="111"/>
      <c r="BF547" s="111"/>
      <c r="BG547" s="111"/>
      <c r="BH547" s="111"/>
      <c r="BI547" s="111"/>
      <c r="BJ547" s="111"/>
      <c r="BK547" s="111"/>
      <c r="BL547" s="111"/>
      <c r="BM547" s="111"/>
      <c r="BN547" s="111"/>
      <c r="BO547" s="111"/>
      <c r="BP547" s="111"/>
      <c r="BQ547" s="111"/>
      <c r="BR547" s="111"/>
      <c r="BS547" s="111"/>
      <c r="BT547" s="111"/>
      <c r="BU547" s="111"/>
      <c r="BV547" s="111"/>
    </row>
    <row r="548" spans="1:74" s="50" customFormat="1" ht="15" hidden="1" customHeight="1">
      <c r="A548" s="111">
        <v>544</v>
      </c>
      <c r="B548" s="3" t="s">
        <v>1095</v>
      </c>
      <c r="C548" s="17" t="s">
        <v>1096</v>
      </c>
      <c r="D548" s="3" t="s">
        <v>21</v>
      </c>
      <c r="E548" s="111"/>
      <c r="F548" s="111"/>
      <c r="G548" s="110">
        <v>1</v>
      </c>
      <c r="H548" s="3">
        <f t="shared" si="24"/>
        <v>0</v>
      </c>
      <c r="I548" s="3">
        <f t="shared" si="25"/>
        <v>0</v>
      </c>
      <c r="J548" s="110">
        <f t="shared" si="26"/>
        <v>1</v>
      </c>
      <c r="K548" s="110"/>
      <c r="L548" s="110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  <c r="AJ548" s="111"/>
      <c r="AK548" s="111"/>
      <c r="AL548" s="111"/>
      <c r="AM548" s="111"/>
      <c r="AN548" s="111"/>
      <c r="AO548" s="111"/>
      <c r="AP548" s="111"/>
      <c r="AQ548" s="111"/>
      <c r="AR548" s="111"/>
      <c r="AS548" s="111"/>
      <c r="AT548" s="111"/>
      <c r="AU548" s="111"/>
      <c r="AV548" s="111"/>
      <c r="AW548" s="111"/>
      <c r="AX548" s="111"/>
      <c r="AY548" s="111"/>
      <c r="AZ548" s="111"/>
      <c r="BA548" s="111"/>
      <c r="BB548" s="111"/>
      <c r="BC548" s="111"/>
      <c r="BD548" s="111"/>
      <c r="BE548" s="111"/>
      <c r="BF548" s="111"/>
      <c r="BG548" s="111"/>
      <c r="BH548" s="111"/>
      <c r="BI548" s="111"/>
      <c r="BJ548" s="111"/>
      <c r="BK548" s="111"/>
      <c r="BL548" s="111"/>
      <c r="BM548" s="111"/>
      <c r="BN548" s="111"/>
      <c r="BO548" s="111"/>
      <c r="BP548" s="111"/>
      <c r="BQ548" s="111"/>
      <c r="BR548" s="111"/>
      <c r="BS548" s="111"/>
      <c r="BT548" s="111"/>
      <c r="BU548" s="111"/>
      <c r="BV548" s="111"/>
    </row>
    <row r="549" spans="1:74" s="50" customFormat="1" ht="15" hidden="1" customHeight="1">
      <c r="A549" s="111">
        <v>545</v>
      </c>
      <c r="B549" s="3" t="s">
        <v>1097</v>
      </c>
      <c r="C549" s="17" t="s">
        <v>1098</v>
      </c>
      <c r="D549" s="3" t="s">
        <v>21</v>
      </c>
      <c r="E549" s="111"/>
      <c r="F549" s="111"/>
      <c r="G549" s="110">
        <v>0</v>
      </c>
      <c r="H549" s="3">
        <f t="shared" si="24"/>
        <v>0</v>
      </c>
      <c r="I549" s="3">
        <f t="shared" si="25"/>
        <v>0</v>
      </c>
      <c r="J549" s="110">
        <f t="shared" si="26"/>
        <v>0</v>
      </c>
      <c r="K549" s="110"/>
      <c r="L549" s="110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  <c r="AJ549" s="111"/>
      <c r="AK549" s="111"/>
      <c r="AL549" s="111"/>
      <c r="AM549" s="111"/>
      <c r="AN549" s="111"/>
      <c r="AO549" s="111"/>
      <c r="AP549" s="111"/>
      <c r="AQ549" s="111"/>
      <c r="AR549" s="111"/>
      <c r="AS549" s="111"/>
      <c r="AT549" s="111"/>
      <c r="AU549" s="111"/>
      <c r="AV549" s="111"/>
      <c r="AW549" s="111"/>
      <c r="AX549" s="111"/>
      <c r="AY549" s="111"/>
      <c r="AZ549" s="111"/>
      <c r="BA549" s="111"/>
      <c r="BB549" s="111"/>
      <c r="BC549" s="111"/>
      <c r="BD549" s="111"/>
      <c r="BE549" s="111"/>
      <c r="BF549" s="111"/>
      <c r="BG549" s="111"/>
      <c r="BH549" s="111"/>
      <c r="BI549" s="111"/>
      <c r="BJ549" s="111"/>
      <c r="BK549" s="111"/>
      <c r="BL549" s="111"/>
      <c r="BM549" s="111"/>
      <c r="BN549" s="111"/>
      <c r="BO549" s="111"/>
      <c r="BP549" s="111"/>
      <c r="BQ549" s="111"/>
      <c r="BR549" s="111"/>
      <c r="BS549" s="111"/>
      <c r="BT549" s="111"/>
      <c r="BU549" s="111"/>
      <c r="BV549" s="111"/>
    </row>
    <row r="550" spans="1:74" s="50" customFormat="1" ht="15" hidden="1" customHeight="1">
      <c r="A550" s="111">
        <v>546</v>
      </c>
      <c r="B550" s="3" t="s">
        <v>1099</v>
      </c>
      <c r="C550" s="17" t="s">
        <v>1100</v>
      </c>
      <c r="D550" s="3" t="s">
        <v>21</v>
      </c>
      <c r="E550" s="111"/>
      <c r="F550" s="111"/>
      <c r="G550" s="110">
        <v>4</v>
      </c>
      <c r="H550" s="3">
        <f t="shared" si="24"/>
        <v>0</v>
      </c>
      <c r="I550" s="3">
        <f t="shared" si="25"/>
        <v>0</v>
      </c>
      <c r="J550" s="110">
        <f t="shared" si="26"/>
        <v>4</v>
      </c>
      <c r="K550" s="110"/>
      <c r="L550" s="110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  <c r="AJ550" s="111"/>
      <c r="AK550" s="111"/>
      <c r="AL550" s="111"/>
      <c r="AM550" s="111"/>
      <c r="AN550" s="111"/>
      <c r="AO550" s="111"/>
      <c r="AP550" s="111"/>
      <c r="AQ550" s="111"/>
      <c r="AR550" s="111"/>
      <c r="AS550" s="111"/>
      <c r="AT550" s="111"/>
      <c r="AU550" s="111"/>
      <c r="AV550" s="111"/>
      <c r="AW550" s="111"/>
      <c r="AX550" s="111"/>
      <c r="AY550" s="111"/>
      <c r="AZ550" s="111"/>
      <c r="BA550" s="111"/>
      <c r="BB550" s="111"/>
      <c r="BC550" s="111"/>
      <c r="BD550" s="111"/>
      <c r="BE550" s="111"/>
      <c r="BF550" s="111"/>
      <c r="BG550" s="111"/>
      <c r="BH550" s="111"/>
      <c r="BI550" s="111"/>
      <c r="BJ550" s="111"/>
      <c r="BK550" s="111"/>
      <c r="BL550" s="111"/>
      <c r="BM550" s="111"/>
      <c r="BN550" s="111"/>
      <c r="BO550" s="111"/>
      <c r="BP550" s="111"/>
      <c r="BQ550" s="111"/>
      <c r="BR550" s="111"/>
      <c r="BS550" s="111"/>
      <c r="BT550" s="111"/>
      <c r="BU550" s="111"/>
      <c r="BV550" s="111"/>
    </row>
    <row r="551" spans="1:74" s="50" customFormat="1" ht="15" hidden="1" customHeight="1">
      <c r="A551" s="111">
        <v>547</v>
      </c>
      <c r="B551" s="3" t="s">
        <v>1101</v>
      </c>
      <c r="C551" s="17" t="s">
        <v>1102</v>
      </c>
      <c r="D551" s="3" t="s">
        <v>21</v>
      </c>
      <c r="E551" s="111"/>
      <c r="F551" s="111"/>
      <c r="G551" s="110">
        <v>19</v>
      </c>
      <c r="H551" s="3">
        <f t="shared" si="24"/>
        <v>0</v>
      </c>
      <c r="I551" s="3">
        <f t="shared" si="25"/>
        <v>0</v>
      </c>
      <c r="J551" s="110">
        <f t="shared" si="26"/>
        <v>19</v>
      </c>
      <c r="K551" s="110"/>
      <c r="L551" s="110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  <c r="AJ551" s="111"/>
      <c r="AK551" s="111"/>
      <c r="AL551" s="111"/>
      <c r="AM551" s="111"/>
      <c r="AN551" s="111"/>
      <c r="AO551" s="111"/>
      <c r="AP551" s="111"/>
      <c r="AQ551" s="111"/>
      <c r="AR551" s="111"/>
      <c r="AS551" s="111"/>
      <c r="AT551" s="111"/>
      <c r="AU551" s="111"/>
      <c r="AV551" s="111"/>
      <c r="AW551" s="111"/>
      <c r="AX551" s="111"/>
      <c r="AY551" s="111"/>
      <c r="AZ551" s="111"/>
      <c r="BA551" s="111"/>
      <c r="BB551" s="111"/>
      <c r="BC551" s="111"/>
      <c r="BD551" s="111"/>
      <c r="BE551" s="111"/>
      <c r="BF551" s="111"/>
      <c r="BG551" s="111"/>
      <c r="BH551" s="111"/>
      <c r="BI551" s="111"/>
      <c r="BJ551" s="111"/>
      <c r="BK551" s="111"/>
      <c r="BL551" s="111"/>
      <c r="BM551" s="111"/>
      <c r="BN551" s="111"/>
      <c r="BO551" s="111"/>
      <c r="BP551" s="111"/>
      <c r="BQ551" s="111"/>
      <c r="BR551" s="111"/>
      <c r="BS551" s="111"/>
      <c r="BT551" s="111"/>
      <c r="BU551" s="111"/>
      <c r="BV551" s="111"/>
    </row>
    <row r="552" spans="1:74" s="50" customFormat="1" ht="15" hidden="1" customHeight="1">
      <c r="A552" s="111">
        <v>548</v>
      </c>
      <c r="B552" s="3" t="s">
        <v>1103</v>
      </c>
      <c r="C552" s="17" t="s">
        <v>1104</v>
      </c>
      <c r="D552" s="3" t="s">
        <v>21</v>
      </c>
      <c r="E552" s="111"/>
      <c r="F552" s="111"/>
      <c r="G552" s="110">
        <v>1</v>
      </c>
      <c r="H552" s="3">
        <f t="shared" si="24"/>
        <v>0</v>
      </c>
      <c r="I552" s="3">
        <f t="shared" si="25"/>
        <v>0</v>
      </c>
      <c r="J552" s="110">
        <f t="shared" si="26"/>
        <v>1</v>
      </c>
      <c r="K552" s="110"/>
      <c r="L552" s="110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  <c r="AJ552" s="111"/>
      <c r="AK552" s="111"/>
      <c r="AL552" s="111"/>
      <c r="AM552" s="111"/>
      <c r="AN552" s="111"/>
      <c r="AO552" s="111"/>
      <c r="AP552" s="111"/>
      <c r="AQ552" s="111"/>
      <c r="AR552" s="111"/>
      <c r="AS552" s="111"/>
      <c r="AT552" s="111"/>
      <c r="AU552" s="111"/>
      <c r="AV552" s="111"/>
      <c r="AW552" s="111"/>
      <c r="AX552" s="111"/>
      <c r="AY552" s="111"/>
      <c r="AZ552" s="111"/>
      <c r="BA552" s="111"/>
      <c r="BB552" s="111"/>
      <c r="BC552" s="111"/>
      <c r="BD552" s="111"/>
      <c r="BE552" s="111"/>
      <c r="BF552" s="111"/>
      <c r="BG552" s="111"/>
      <c r="BH552" s="111"/>
      <c r="BI552" s="111"/>
      <c r="BJ552" s="111"/>
      <c r="BK552" s="111"/>
      <c r="BL552" s="111"/>
      <c r="BM552" s="111"/>
      <c r="BN552" s="111"/>
      <c r="BO552" s="111"/>
      <c r="BP552" s="111"/>
      <c r="BQ552" s="111"/>
      <c r="BR552" s="111"/>
      <c r="BS552" s="111"/>
      <c r="BT552" s="111"/>
      <c r="BU552" s="111"/>
      <c r="BV552" s="111"/>
    </row>
    <row r="553" spans="1:74" s="50" customFormat="1" ht="15" hidden="1" customHeight="1">
      <c r="A553" s="111">
        <v>549</v>
      </c>
      <c r="B553" s="3" t="s">
        <v>1105</v>
      </c>
      <c r="C553" s="17" t="s">
        <v>1106</v>
      </c>
      <c r="D553" s="3" t="s">
        <v>21</v>
      </c>
      <c r="E553" s="111"/>
      <c r="F553" s="111"/>
      <c r="G553" s="110">
        <v>50</v>
      </c>
      <c r="H553" s="3">
        <f t="shared" si="24"/>
        <v>0</v>
      </c>
      <c r="I553" s="3">
        <f t="shared" si="25"/>
        <v>0</v>
      </c>
      <c r="J553" s="110">
        <f t="shared" si="26"/>
        <v>50</v>
      </c>
      <c r="K553" s="110"/>
      <c r="L553" s="110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  <c r="AJ553" s="111"/>
      <c r="AK553" s="111"/>
      <c r="AL553" s="111"/>
      <c r="AM553" s="111"/>
      <c r="AN553" s="111"/>
      <c r="AO553" s="111"/>
      <c r="AP553" s="111"/>
      <c r="AQ553" s="111"/>
      <c r="AR553" s="111"/>
      <c r="AS553" s="111"/>
      <c r="AT553" s="111"/>
      <c r="AU553" s="111"/>
      <c r="AV553" s="111"/>
      <c r="AW553" s="111"/>
      <c r="AX553" s="111"/>
      <c r="AY553" s="111"/>
      <c r="AZ553" s="111"/>
      <c r="BA553" s="111"/>
      <c r="BB553" s="111"/>
      <c r="BC553" s="111"/>
      <c r="BD553" s="111"/>
      <c r="BE553" s="111"/>
      <c r="BF553" s="111"/>
      <c r="BG553" s="111"/>
      <c r="BH553" s="111"/>
      <c r="BI553" s="111"/>
      <c r="BJ553" s="111"/>
      <c r="BK553" s="111"/>
      <c r="BL553" s="111"/>
      <c r="BM553" s="111"/>
      <c r="BN553" s="111"/>
      <c r="BO553" s="111"/>
      <c r="BP553" s="111"/>
      <c r="BQ553" s="111"/>
      <c r="BR553" s="111"/>
      <c r="BS553" s="111"/>
      <c r="BT553" s="111"/>
      <c r="BU553" s="111"/>
      <c r="BV553" s="111"/>
    </row>
    <row r="554" spans="1:74" s="50" customFormat="1" ht="15" hidden="1" customHeight="1">
      <c r="A554" s="111">
        <v>550</v>
      </c>
      <c r="B554" s="3" t="s">
        <v>1107</v>
      </c>
      <c r="C554" s="17" t="s">
        <v>1108</v>
      </c>
      <c r="D554" s="3" t="s">
        <v>21</v>
      </c>
      <c r="E554" s="111"/>
      <c r="F554" s="111"/>
      <c r="G554" s="110">
        <v>13</v>
      </c>
      <c r="H554" s="3">
        <f t="shared" si="24"/>
        <v>0</v>
      </c>
      <c r="I554" s="3">
        <f t="shared" si="25"/>
        <v>0</v>
      </c>
      <c r="J554" s="110">
        <f t="shared" si="26"/>
        <v>13</v>
      </c>
      <c r="K554" s="110"/>
      <c r="L554" s="110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  <c r="AJ554" s="111"/>
      <c r="AK554" s="111"/>
      <c r="AL554" s="111"/>
      <c r="AM554" s="111"/>
      <c r="AN554" s="111"/>
      <c r="AO554" s="111"/>
      <c r="AP554" s="111"/>
      <c r="AQ554" s="111"/>
      <c r="AR554" s="111"/>
      <c r="AS554" s="111"/>
      <c r="AT554" s="111"/>
      <c r="AU554" s="111"/>
      <c r="AV554" s="111"/>
      <c r="AW554" s="111"/>
      <c r="AX554" s="111"/>
      <c r="AY554" s="111"/>
      <c r="AZ554" s="111"/>
      <c r="BA554" s="111"/>
      <c r="BB554" s="111"/>
      <c r="BC554" s="111"/>
      <c r="BD554" s="111"/>
      <c r="BE554" s="111"/>
      <c r="BF554" s="111"/>
      <c r="BG554" s="111"/>
      <c r="BH554" s="111"/>
      <c r="BI554" s="111"/>
      <c r="BJ554" s="111"/>
      <c r="BK554" s="111"/>
      <c r="BL554" s="111"/>
      <c r="BM554" s="111"/>
      <c r="BN554" s="111"/>
      <c r="BO554" s="111"/>
      <c r="BP554" s="111"/>
      <c r="BQ554" s="111"/>
      <c r="BR554" s="111"/>
      <c r="BS554" s="111"/>
      <c r="BT554" s="111"/>
      <c r="BU554" s="111"/>
      <c r="BV554" s="111"/>
    </row>
    <row r="555" spans="1:74" s="50" customFormat="1" ht="15" hidden="1" customHeight="1">
      <c r="A555" s="111">
        <v>551</v>
      </c>
      <c r="B555" s="3" t="s">
        <v>1109</v>
      </c>
      <c r="C555" s="17" t="s">
        <v>1110</v>
      </c>
      <c r="D555" s="3" t="s">
        <v>21</v>
      </c>
      <c r="E555" s="111"/>
      <c r="F555" s="111"/>
      <c r="G555" s="110">
        <v>21</v>
      </c>
      <c r="H555" s="3">
        <f t="shared" si="24"/>
        <v>0</v>
      </c>
      <c r="I555" s="3">
        <f t="shared" si="25"/>
        <v>0</v>
      </c>
      <c r="J555" s="110">
        <f t="shared" si="26"/>
        <v>21</v>
      </c>
      <c r="K555" s="110"/>
      <c r="L555" s="110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  <c r="AJ555" s="111"/>
      <c r="AK555" s="111"/>
      <c r="AL555" s="111"/>
      <c r="AM555" s="111"/>
      <c r="AN555" s="111"/>
      <c r="AO555" s="111"/>
      <c r="AP555" s="111"/>
      <c r="AQ555" s="111"/>
      <c r="AR555" s="111"/>
      <c r="AS555" s="111"/>
      <c r="AT555" s="111"/>
      <c r="AU555" s="111"/>
      <c r="AV555" s="111"/>
      <c r="AW555" s="111"/>
      <c r="AX555" s="111"/>
      <c r="AY555" s="111"/>
      <c r="AZ555" s="111"/>
      <c r="BA555" s="111"/>
      <c r="BB555" s="111"/>
      <c r="BC555" s="111"/>
      <c r="BD555" s="111"/>
      <c r="BE555" s="111"/>
      <c r="BF555" s="111"/>
      <c r="BG555" s="111"/>
      <c r="BH555" s="111"/>
      <c r="BI555" s="111"/>
      <c r="BJ555" s="111"/>
      <c r="BK555" s="111"/>
      <c r="BL555" s="111"/>
      <c r="BM555" s="111"/>
      <c r="BN555" s="111"/>
      <c r="BO555" s="111"/>
      <c r="BP555" s="111"/>
      <c r="BQ555" s="111"/>
      <c r="BR555" s="111"/>
      <c r="BS555" s="111"/>
      <c r="BT555" s="111"/>
      <c r="BU555" s="111"/>
      <c r="BV555" s="111"/>
    </row>
    <row r="556" spans="1:74" s="50" customFormat="1" ht="15" hidden="1" customHeight="1">
      <c r="A556" s="111">
        <v>552</v>
      </c>
      <c r="B556" s="3" t="s">
        <v>1111</v>
      </c>
      <c r="C556" s="17" t="s">
        <v>1112</v>
      </c>
      <c r="D556" s="3" t="s">
        <v>21</v>
      </c>
      <c r="E556" s="111"/>
      <c r="F556" s="111"/>
      <c r="G556" s="110">
        <v>1</v>
      </c>
      <c r="H556" s="3">
        <f t="shared" si="24"/>
        <v>0</v>
      </c>
      <c r="I556" s="3">
        <f t="shared" si="25"/>
        <v>0</v>
      </c>
      <c r="J556" s="110">
        <f t="shared" si="26"/>
        <v>1</v>
      </c>
      <c r="K556" s="110"/>
      <c r="L556" s="110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/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/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/>
      <c r="BP556" s="111"/>
      <c r="BQ556" s="111"/>
      <c r="BR556" s="111"/>
      <c r="BS556" s="111"/>
      <c r="BT556" s="111"/>
      <c r="BU556" s="111"/>
      <c r="BV556" s="111"/>
    </row>
    <row r="557" spans="1:74" s="50" customFormat="1" ht="15" hidden="1" customHeight="1">
      <c r="A557" s="111">
        <v>553</v>
      </c>
      <c r="B557" s="3" t="s">
        <v>1113</v>
      </c>
      <c r="C557" s="17" t="s">
        <v>1114</v>
      </c>
      <c r="D557" s="3" t="s">
        <v>21</v>
      </c>
      <c r="E557" s="111"/>
      <c r="F557" s="111"/>
      <c r="G557" s="110">
        <v>6</v>
      </c>
      <c r="H557" s="3">
        <f t="shared" si="24"/>
        <v>0</v>
      </c>
      <c r="I557" s="3">
        <f t="shared" si="25"/>
        <v>0</v>
      </c>
      <c r="J557" s="110">
        <f t="shared" si="26"/>
        <v>6</v>
      </c>
      <c r="K557" s="110"/>
      <c r="L557" s="110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/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/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/>
      <c r="BP557" s="111"/>
      <c r="BQ557" s="111"/>
      <c r="BR557" s="111"/>
      <c r="BS557" s="111"/>
      <c r="BT557" s="111"/>
      <c r="BU557" s="111"/>
      <c r="BV557" s="111"/>
    </row>
    <row r="558" spans="1:74" s="50" customFormat="1" ht="15" hidden="1" customHeight="1">
      <c r="A558" s="111">
        <v>554</v>
      </c>
      <c r="B558" s="4" t="s">
        <v>1115</v>
      </c>
      <c r="C558" s="17" t="s">
        <v>1116</v>
      </c>
      <c r="D558" s="3" t="s">
        <v>21</v>
      </c>
      <c r="E558" s="111"/>
      <c r="F558" s="111"/>
      <c r="G558" s="110">
        <v>1</v>
      </c>
      <c r="H558" s="3">
        <f t="shared" si="24"/>
        <v>0</v>
      </c>
      <c r="I558" s="3">
        <f t="shared" si="25"/>
        <v>0</v>
      </c>
      <c r="J558" s="110">
        <f t="shared" si="26"/>
        <v>1</v>
      </c>
      <c r="K558" s="110"/>
      <c r="L558" s="110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  <c r="AJ558" s="111"/>
      <c r="AK558" s="111"/>
      <c r="AL558" s="111"/>
      <c r="AM558" s="111"/>
      <c r="AN558" s="111"/>
      <c r="AO558" s="111"/>
      <c r="AP558" s="111"/>
      <c r="AQ558" s="111"/>
      <c r="AR558" s="111"/>
      <c r="AS558" s="111"/>
      <c r="AT558" s="111"/>
      <c r="AU558" s="111"/>
      <c r="AV558" s="111"/>
      <c r="AW558" s="111"/>
      <c r="AX558" s="111"/>
      <c r="AY558" s="111"/>
      <c r="AZ558" s="111"/>
      <c r="BA558" s="111"/>
      <c r="BB558" s="111"/>
      <c r="BC558" s="111"/>
      <c r="BD558" s="111"/>
      <c r="BE558" s="111"/>
      <c r="BF558" s="111"/>
      <c r="BG558" s="111"/>
      <c r="BH558" s="111"/>
      <c r="BI558" s="111"/>
      <c r="BJ558" s="111"/>
      <c r="BK558" s="111"/>
      <c r="BL558" s="111"/>
      <c r="BM558" s="111"/>
      <c r="BN558" s="111"/>
      <c r="BO558" s="111"/>
      <c r="BP558" s="111"/>
      <c r="BQ558" s="111"/>
      <c r="BR558" s="111"/>
      <c r="BS558" s="111"/>
      <c r="BT558" s="111"/>
      <c r="BU558" s="111"/>
      <c r="BV558" s="111"/>
    </row>
    <row r="559" spans="1:74" s="50" customFormat="1" ht="15" hidden="1" customHeight="1">
      <c r="A559" s="111">
        <v>555</v>
      </c>
      <c r="B559" s="3" t="s">
        <v>1117</v>
      </c>
      <c r="C559" s="17" t="s">
        <v>1118</v>
      </c>
      <c r="D559" s="3" t="s">
        <v>21</v>
      </c>
      <c r="E559" s="111"/>
      <c r="F559" s="111"/>
      <c r="G559" s="110">
        <v>1</v>
      </c>
      <c r="H559" s="3">
        <f t="shared" si="24"/>
        <v>0</v>
      </c>
      <c r="I559" s="3">
        <f t="shared" si="25"/>
        <v>0</v>
      </c>
      <c r="J559" s="110">
        <f t="shared" si="26"/>
        <v>1</v>
      </c>
      <c r="K559" s="110"/>
      <c r="L559" s="110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/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/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/>
      <c r="BP559" s="111"/>
      <c r="BQ559" s="111"/>
      <c r="BR559" s="111"/>
      <c r="BS559" s="111"/>
      <c r="BT559" s="111"/>
      <c r="BU559" s="111"/>
      <c r="BV559" s="111"/>
    </row>
    <row r="560" spans="1:74" s="50" customFormat="1" ht="15" hidden="1" customHeight="1">
      <c r="A560" s="111">
        <v>556</v>
      </c>
      <c r="B560" s="3" t="s">
        <v>1119</v>
      </c>
      <c r="C560" s="17" t="s">
        <v>1120</v>
      </c>
      <c r="D560" s="3" t="s">
        <v>21</v>
      </c>
      <c r="E560" s="111"/>
      <c r="F560" s="111"/>
      <c r="G560" s="110">
        <v>4</v>
      </c>
      <c r="H560" s="3">
        <f t="shared" si="24"/>
        <v>0</v>
      </c>
      <c r="I560" s="3">
        <f t="shared" si="25"/>
        <v>0</v>
      </c>
      <c r="J560" s="110">
        <f t="shared" si="26"/>
        <v>4</v>
      </c>
      <c r="K560" s="110"/>
      <c r="L560" s="110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  <c r="AJ560" s="111"/>
      <c r="AK560" s="111"/>
      <c r="AL560" s="111"/>
      <c r="AM560" s="111"/>
      <c r="AN560" s="111"/>
      <c r="AO560" s="111"/>
      <c r="AP560" s="111"/>
      <c r="AQ560" s="111"/>
      <c r="AR560" s="111"/>
      <c r="AS560" s="111"/>
      <c r="AT560" s="111"/>
      <c r="AU560" s="111"/>
      <c r="AV560" s="111"/>
      <c r="AW560" s="111"/>
      <c r="AX560" s="111"/>
      <c r="AY560" s="111"/>
      <c r="AZ560" s="111"/>
      <c r="BA560" s="111"/>
      <c r="BB560" s="111"/>
      <c r="BC560" s="111"/>
      <c r="BD560" s="111"/>
      <c r="BE560" s="111"/>
      <c r="BF560" s="111"/>
      <c r="BG560" s="111"/>
      <c r="BH560" s="111"/>
      <c r="BI560" s="111"/>
      <c r="BJ560" s="111"/>
      <c r="BK560" s="111"/>
      <c r="BL560" s="111"/>
      <c r="BM560" s="111"/>
      <c r="BN560" s="111"/>
      <c r="BO560" s="111"/>
      <c r="BP560" s="111"/>
      <c r="BQ560" s="111"/>
      <c r="BR560" s="111"/>
      <c r="BS560" s="111"/>
      <c r="BT560" s="111"/>
      <c r="BU560" s="111"/>
      <c r="BV560" s="111"/>
    </row>
    <row r="561" spans="1:74" s="50" customFormat="1" ht="15" hidden="1" customHeight="1">
      <c r="A561" s="111">
        <v>557</v>
      </c>
      <c r="B561" s="3" t="s">
        <v>1121</v>
      </c>
      <c r="C561" s="17" t="s">
        <v>1122</v>
      </c>
      <c r="D561" s="3" t="s">
        <v>21</v>
      </c>
      <c r="E561" s="111"/>
      <c r="F561" s="111"/>
      <c r="G561" s="110">
        <v>7</v>
      </c>
      <c r="H561" s="3">
        <f t="shared" si="24"/>
        <v>0</v>
      </c>
      <c r="I561" s="3">
        <f t="shared" si="25"/>
        <v>0</v>
      </c>
      <c r="J561" s="110">
        <f t="shared" si="26"/>
        <v>7</v>
      </c>
      <c r="K561" s="110"/>
      <c r="L561" s="110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  <c r="AJ561" s="111"/>
      <c r="AK561" s="111"/>
      <c r="AL561" s="111"/>
      <c r="AM561" s="111"/>
      <c r="AN561" s="111"/>
      <c r="AO561" s="111"/>
      <c r="AP561" s="111"/>
      <c r="AQ561" s="111"/>
      <c r="AR561" s="111"/>
      <c r="AS561" s="111"/>
      <c r="AT561" s="111"/>
      <c r="AU561" s="111"/>
      <c r="AV561" s="111"/>
      <c r="AW561" s="111"/>
      <c r="AX561" s="111"/>
      <c r="AY561" s="111"/>
      <c r="AZ561" s="111"/>
      <c r="BA561" s="111"/>
      <c r="BB561" s="111"/>
      <c r="BC561" s="111"/>
      <c r="BD561" s="111"/>
      <c r="BE561" s="111"/>
      <c r="BF561" s="111"/>
      <c r="BG561" s="111"/>
      <c r="BH561" s="111"/>
      <c r="BI561" s="111"/>
      <c r="BJ561" s="111"/>
      <c r="BK561" s="111"/>
      <c r="BL561" s="111"/>
      <c r="BM561" s="111"/>
      <c r="BN561" s="111"/>
      <c r="BO561" s="111"/>
      <c r="BP561" s="111"/>
      <c r="BQ561" s="111"/>
      <c r="BR561" s="111"/>
      <c r="BS561" s="111"/>
      <c r="BT561" s="111"/>
      <c r="BU561" s="111"/>
      <c r="BV561" s="111"/>
    </row>
    <row r="562" spans="1:74" s="50" customFormat="1" ht="15" hidden="1" customHeight="1">
      <c r="A562" s="111">
        <v>558</v>
      </c>
      <c r="B562" s="3" t="s">
        <v>1123</v>
      </c>
      <c r="C562" s="17" t="s">
        <v>1124</v>
      </c>
      <c r="D562" s="3" t="s">
        <v>21</v>
      </c>
      <c r="E562" s="111"/>
      <c r="F562" s="111"/>
      <c r="G562" s="110">
        <v>30</v>
      </c>
      <c r="H562" s="3">
        <f t="shared" si="24"/>
        <v>0</v>
      </c>
      <c r="I562" s="3">
        <f t="shared" si="25"/>
        <v>0</v>
      </c>
      <c r="J562" s="110">
        <f t="shared" si="26"/>
        <v>30</v>
      </c>
      <c r="K562" s="110"/>
      <c r="L562" s="110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  <c r="AJ562" s="111"/>
      <c r="AK562" s="111"/>
      <c r="AL562" s="111"/>
      <c r="AM562" s="111"/>
      <c r="AN562" s="111"/>
      <c r="AO562" s="111"/>
      <c r="AP562" s="111"/>
      <c r="AQ562" s="111"/>
      <c r="AR562" s="111"/>
      <c r="AS562" s="111"/>
      <c r="AT562" s="111"/>
      <c r="AU562" s="111"/>
      <c r="AV562" s="111"/>
      <c r="AW562" s="111"/>
      <c r="AX562" s="111"/>
      <c r="AY562" s="111"/>
      <c r="AZ562" s="111"/>
      <c r="BA562" s="111"/>
      <c r="BB562" s="111"/>
      <c r="BC562" s="111"/>
      <c r="BD562" s="111"/>
      <c r="BE562" s="111"/>
      <c r="BF562" s="111"/>
      <c r="BG562" s="111"/>
      <c r="BH562" s="111"/>
      <c r="BI562" s="111"/>
      <c r="BJ562" s="111"/>
      <c r="BK562" s="111"/>
      <c r="BL562" s="111"/>
      <c r="BM562" s="111"/>
      <c r="BN562" s="111"/>
      <c r="BO562" s="111"/>
      <c r="BP562" s="111"/>
      <c r="BQ562" s="111"/>
      <c r="BR562" s="111"/>
      <c r="BS562" s="111"/>
      <c r="BT562" s="111"/>
      <c r="BU562" s="111"/>
      <c r="BV562" s="111"/>
    </row>
    <row r="563" spans="1:74" s="50" customFormat="1" ht="15" hidden="1" customHeight="1">
      <c r="A563" s="111">
        <v>559</v>
      </c>
      <c r="B563" s="3" t="s">
        <v>1125</v>
      </c>
      <c r="C563" s="17" t="s">
        <v>1126</v>
      </c>
      <c r="D563" s="3" t="s">
        <v>21</v>
      </c>
      <c r="E563" s="111"/>
      <c r="F563" s="111"/>
      <c r="G563" s="110">
        <v>3</v>
      </c>
      <c r="H563" s="3">
        <f t="shared" si="24"/>
        <v>0</v>
      </c>
      <c r="I563" s="3">
        <f t="shared" si="25"/>
        <v>0</v>
      </c>
      <c r="J563" s="110">
        <f t="shared" si="26"/>
        <v>3</v>
      </c>
      <c r="K563" s="110"/>
      <c r="L563" s="110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  <c r="AJ563" s="111"/>
      <c r="AK563" s="111"/>
      <c r="AL563" s="111"/>
      <c r="AM563" s="111"/>
      <c r="AN563" s="111"/>
      <c r="AO563" s="111"/>
      <c r="AP563" s="111"/>
      <c r="AQ563" s="111"/>
      <c r="AR563" s="111"/>
      <c r="AS563" s="111"/>
      <c r="AT563" s="111"/>
      <c r="AU563" s="111"/>
      <c r="AV563" s="111"/>
      <c r="AW563" s="111"/>
      <c r="AX563" s="111"/>
      <c r="AY563" s="111"/>
      <c r="AZ563" s="111"/>
      <c r="BA563" s="111"/>
      <c r="BB563" s="111"/>
      <c r="BC563" s="111"/>
      <c r="BD563" s="111"/>
      <c r="BE563" s="111"/>
      <c r="BF563" s="111"/>
      <c r="BG563" s="111"/>
      <c r="BH563" s="111"/>
      <c r="BI563" s="111"/>
      <c r="BJ563" s="111"/>
      <c r="BK563" s="111"/>
      <c r="BL563" s="111"/>
      <c r="BM563" s="111"/>
      <c r="BN563" s="111"/>
      <c r="BO563" s="111"/>
      <c r="BP563" s="111"/>
      <c r="BQ563" s="111"/>
      <c r="BR563" s="111"/>
      <c r="BS563" s="111"/>
      <c r="BT563" s="111"/>
      <c r="BU563" s="111"/>
      <c r="BV563" s="111"/>
    </row>
    <row r="564" spans="1:74" s="50" customFormat="1" ht="15" hidden="1" customHeight="1">
      <c r="A564" s="111">
        <v>560</v>
      </c>
      <c r="B564" s="3" t="s">
        <v>1127</v>
      </c>
      <c r="C564" s="17" t="s">
        <v>1128</v>
      </c>
      <c r="D564" s="3" t="s">
        <v>21</v>
      </c>
      <c r="E564" s="111"/>
      <c r="F564" s="111"/>
      <c r="G564" s="110">
        <v>20</v>
      </c>
      <c r="H564" s="3">
        <f t="shared" si="24"/>
        <v>0</v>
      </c>
      <c r="I564" s="3">
        <f t="shared" si="25"/>
        <v>0</v>
      </c>
      <c r="J564" s="110">
        <f t="shared" si="26"/>
        <v>20</v>
      </c>
      <c r="K564" s="110"/>
      <c r="L564" s="110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  <c r="AJ564" s="111"/>
      <c r="AK564" s="111"/>
      <c r="AL564" s="111"/>
      <c r="AM564" s="111"/>
      <c r="AN564" s="111"/>
      <c r="AO564" s="111"/>
      <c r="AP564" s="111"/>
      <c r="AQ564" s="111"/>
      <c r="AR564" s="111"/>
      <c r="AS564" s="111"/>
      <c r="AT564" s="111"/>
      <c r="AU564" s="111"/>
      <c r="AV564" s="111"/>
      <c r="AW564" s="111"/>
      <c r="AX564" s="111"/>
      <c r="AY564" s="111"/>
      <c r="AZ564" s="111"/>
      <c r="BA564" s="111"/>
      <c r="BB564" s="111"/>
      <c r="BC564" s="111"/>
      <c r="BD564" s="111"/>
      <c r="BE564" s="111"/>
      <c r="BF564" s="111"/>
      <c r="BG564" s="111"/>
      <c r="BH564" s="111"/>
      <c r="BI564" s="111"/>
      <c r="BJ564" s="111"/>
      <c r="BK564" s="111"/>
      <c r="BL564" s="111"/>
      <c r="BM564" s="111"/>
      <c r="BN564" s="111"/>
      <c r="BO564" s="111"/>
      <c r="BP564" s="111"/>
      <c r="BQ564" s="111"/>
      <c r="BR564" s="111"/>
      <c r="BS564" s="111"/>
      <c r="BT564" s="111"/>
      <c r="BU564" s="111"/>
      <c r="BV564" s="111"/>
    </row>
    <row r="565" spans="1:74" s="50" customFormat="1" ht="15" hidden="1" customHeight="1">
      <c r="A565" s="111">
        <v>561</v>
      </c>
      <c r="B565" s="3" t="s">
        <v>1129</v>
      </c>
      <c r="C565" s="17" t="s">
        <v>1130</v>
      </c>
      <c r="D565" s="3" t="s">
        <v>21</v>
      </c>
      <c r="E565" s="111"/>
      <c r="F565" s="111"/>
      <c r="G565" s="110">
        <v>10</v>
      </c>
      <c r="H565" s="3">
        <f t="shared" si="24"/>
        <v>0</v>
      </c>
      <c r="I565" s="3">
        <f t="shared" si="25"/>
        <v>0</v>
      </c>
      <c r="J565" s="110">
        <f t="shared" si="26"/>
        <v>10</v>
      </c>
      <c r="K565" s="110"/>
      <c r="L565" s="110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  <c r="AJ565" s="111"/>
      <c r="AK565" s="111"/>
      <c r="AL565" s="111"/>
      <c r="AM565" s="111"/>
      <c r="AN565" s="111"/>
      <c r="AO565" s="111"/>
      <c r="AP565" s="111"/>
      <c r="AQ565" s="111"/>
      <c r="AR565" s="111"/>
      <c r="AS565" s="111"/>
      <c r="AT565" s="111"/>
      <c r="AU565" s="111"/>
      <c r="AV565" s="111"/>
      <c r="AW565" s="111"/>
      <c r="AX565" s="111"/>
      <c r="AY565" s="111"/>
      <c r="AZ565" s="111"/>
      <c r="BA565" s="111"/>
      <c r="BB565" s="111"/>
      <c r="BC565" s="111"/>
      <c r="BD565" s="111"/>
      <c r="BE565" s="111"/>
      <c r="BF565" s="111"/>
      <c r="BG565" s="111"/>
      <c r="BH565" s="111"/>
      <c r="BI565" s="111"/>
      <c r="BJ565" s="111"/>
      <c r="BK565" s="111"/>
      <c r="BL565" s="111"/>
      <c r="BM565" s="111"/>
      <c r="BN565" s="111"/>
      <c r="BO565" s="111"/>
      <c r="BP565" s="111"/>
      <c r="BQ565" s="111"/>
      <c r="BR565" s="111"/>
      <c r="BS565" s="111"/>
      <c r="BT565" s="111"/>
      <c r="BU565" s="111"/>
      <c r="BV565" s="111"/>
    </row>
    <row r="566" spans="1:74" s="50" customFormat="1" ht="15" hidden="1" customHeight="1">
      <c r="A566" s="111">
        <v>562</v>
      </c>
      <c r="B566" s="3" t="s">
        <v>1131</v>
      </c>
      <c r="C566" s="17" t="s">
        <v>1132</v>
      </c>
      <c r="D566" s="3" t="s">
        <v>21</v>
      </c>
      <c r="E566" s="111"/>
      <c r="F566" s="111"/>
      <c r="G566" s="110">
        <v>165</v>
      </c>
      <c r="H566" s="3">
        <f t="shared" si="24"/>
        <v>0</v>
      </c>
      <c r="I566" s="3">
        <f t="shared" si="25"/>
        <v>0</v>
      </c>
      <c r="J566" s="110">
        <f t="shared" si="26"/>
        <v>165</v>
      </c>
      <c r="K566" s="110"/>
      <c r="L566" s="110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  <c r="AJ566" s="111"/>
      <c r="AK566" s="111"/>
      <c r="AL566" s="111"/>
      <c r="AM566" s="111"/>
      <c r="AN566" s="111"/>
      <c r="AO566" s="111"/>
      <c r="AP566" s="111"/>
      <c r="AQ566" s="111"/>
      <c r="AR566" s="111"/>
      <c r="AS566" s="111"/>
      <c r="AT566" s="111"/>
      <c r="AU566" s="111"/>
      <c r="AV566" s="111"/>
      <c r="AW566" s="111"/>
      <c r="AX566" s="111"/>
      <c r="AY566" s="111"/>
      <c r="AZ566" s="111"/>
      <c r="BA566" s="111"/>
      <c r="BB566" s="111"/>
      <c r="BC566" s="111"/>
      <c r="BD566" s="111"/>
      <c r="BE566" s="111"/>
      <c r="BF566" s="111"/>
      <c r="BG566" s="111"/>
      <c r="BH566" s="111"/>
      <c r="BI566" s="111"/>
      <c r="BJ566" s="111"/>
      <c r="BK566" s="111"/>
      <c r="BL566" s="111"/>
      <c r="BM566" s="111"/>
      <c r="BN566" s="111"/>
      <c r="BO566" s="111"/>
      <c r="BP566" s="111"/>
      <c r="BQ566" s="111"/>
      <c r="BR566" s="111"/>
      <c r="BS566" s="111"/>
      <c r="BT566" s="111"/>
      <c r="BU566" s="111"/>
      <c r="BV566" s="111"/>
    </row>
    <row r="567" spans="1:74" s="50" customFormat="1" ht="15" hidden="1" customHeight="1">
      <c r="A567" s="111">
        <v>563</v>
      </c>
      <c r="B567" s="3" t="s">
        <v>1133</v>
      </c>
      <c r="C567" s="17" t="s">
        <v>1134</v>
      </c>
      <c r="D567" s="3" t="s">
        <v>21</v>
      </c>
      <c r="E567" s="111"/>
      <c r="F567" s="111"/>
      <c r="G567" s="110">
        <v>4</v>
      </c>
      <c r="H567" s="3">
        <f t="shared" ref="H567:H630" si="27">SUM(M567+O567+Q567+S567+U567+W567+Y567+AA567+AC567+AE567+AG567+AI567+AK567+AM567+AO567+AQ567+AS567+AU567+AW567+AY567+BA567+BC567+BE567+BG567+BI567+BK567+BM567+BO567+BQ567+BS567+BU567)</f>
        <v>0</v>
      </c>
      <c r="I567" s="3">
        <f t="shared" ref="I567:I630" si="28">SUM(N567+P567+R567+T567+V567+X567+Z567+AB567+AD567+AF567+AH567+AJ567+AL567+AN567+AP567+AR567+AT567+AV567+AX567+AZ567+BB567+BD567+BF567+BH567+BJ567+BL567+BN567+BP567+BR567+BT567+BV567)</f>
        <v>0</v>
      </c>
      <c r="J567" s="110">
        <f t="shared" ref="J567:J630" si="29">G567+H567-I567</f>
        <v>4</v>
      </c>
      <c r="K567" s="110"/>
      <c r="L567" s="110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  <c r="AJ567" s="111"/>
      <c r="AK567" s="111"/>
      <c r="AL567" s="111"/>
      <c r="AM567" s="111"/>
      <c r="AN567" s="111"/>
      <c r="AO567" s="111"/>
      <c r="AP567" s="111"/>
      <c r="AQ567" s="111"/>
      <c r="AR567" s="111"/>
      <c r="AS567" s="111"/>
      <c r="AT567" s="111"/>
      <c r="AU567" s="111"/>
      <c r="AV567" s="111"/>
      <c r="AW567" s="111"/>
      <c r="AX567" s="111"/>
      <c r="AY567" s="111"/>
      <c r="AZ567" s="111"/>
      <c r="BA567" s="111"/>
      <c r="BB567" s="111"/>
      <c r="BC567" s="111"/>
      <c r="BD567" s="111"/>
      <c r="BE567" s="111"/>
      <c r="BF567" s="111"/>
      <c r="BG567" s="111"/>
      <c r="BH567" s="111"/>
      <c r="BI567" s="111"/>
      <c r="BJ567" s="111"/>
      <c r="BK567" s="111"/>
      <c r="BL567" s="111"/>
      <c r="BM567" s="111"/>
      <c r="BN567" s="111"/>
      <c r="BO567" s="111"/>
      <c r="BP567" s="111"/>
      <c r="BQ567" s="111"/>
      <c r="BR567" s="111"/>
      <c r="BS567" s="111"/>
      <c r="BT567" s="111"/>
      <c r="BU567" s="111"/>
      <c r="BV567" s="111"/>
    </row>
    <row r="568" spans="1:74" s="50" customFormat="1" ht="15" hidden="1" customHeight="1">
      <c r="A568" s="142">
        <v>564</v>
      </c>
      <c r="B568" s="143" t="s">
        <v>1135</v>
      </c>
      <c r="C568" s="144" t="s">
        <v>1136</v>
      </c>
      <c r="D568" s="143" t="s">
        <v>21</v>
      </c>
      <c r="E568" s="111"/>
      <c r="F568" s="111"/>
      <c r="G568" s="110">
        <v>6</v>
      </c>
      <c r="H568" s="3">
        <f t="shared" si="27"/>
        <v>0</v>
      </c>
      <c r="I568" s="3">
        <f t="shared" si="28"/>
        <v>6</v>
      </c>
      <c r="J568" s="110">
        <f t="shared" si="29"/>
        <v>0</v>
      </c>
      <c r="K568" s="110"/>
      <c r="L568" s="110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>
        <v>6</v>
      </c>
      <c r="AI568" s="111"/>
      <c r="AJ568" s="111"/>
      <c r="AK568" s="111"/>
      <c r="AL568" s="111"/>
      <c r="AM568" s="111"/>
      <c r="AN568" s="111"/>
      <c r="AO568" s="111"/>
      <c r="AP568" s="111"/>
      <c r="AQ568" s="111"/>
      <c r="AR568" s="111"/>
      <c r="AS568" s="111"/>
      <c r="AT568" s="111"/>
      <c r="AU568" s="111"/>
      <c r="AV568" s="111"/>
      <c r="AW568" s="111"/>
      <c r="AX568" s="111"/>
      <c r="AY568" s="111"/>
      <c r="AZ568" s="111"/>
      <c r="BA568" s="111"/>
      <c r="BB568" s="111"/>
      <c r="BC568" s="111"/>
      <c r="BD568" s="111"/>
      <c r="BE568" s="111"/>
      <c r="BF568" s="111"/>
      <c r="BG568" s="111"/>
      <c r="BH568" s="111"/>
      <c r="BI568" s="111"/>
      <c r="BJ568" s="111"/>
      <c r="BK568" s="111"/>
      <c r="BL568" s="111"/>
      <c r="BM568" s="111"/>
      <c r="BN568" s="111"/>
      <c r="BO568" s="111"/>
      <c r="BP568" s="111"/>
      <c r="BQ568" s="111"/>
      <c r="BR568" s="111"/>
      <c r="BS568" s="111"/>
      <c r="BT568" s="111"/>
      <c r="BU568" s="111"/>
      <c r="BV568" s="111"/>
    </row>
    <row r="569" spans="1:74" s="50" customFormat="1" ht="15" hidden="1" customHeight="1">
      <c r="A569" s="111">
        <v>565</v>
      </c>
      <c r="B569" s="3" t="s">
        <v>1137</v>
      </c>
      <c r="C569" s="17" t="s">
        <v>1138</v>
      </c>
      <c r="D569" s="3" t="s">
        <v>21</v>
      </c>
      <c r="E569" s="111"/>
      <c r="F569" s="111"/>
      <c r="G569" s="110">
        <v>1</v>
      </c>
      <c r="H569" s="3">
        <f t="shared" si="27"/>
        <v>0</v>
      </c>
      <c r="I569" s="3">
        <f t="shared" si="28"/>
        <v>0</v>
      </c>
      <c r="J569" s="110">
        <f t="shared" si="29"/>
        <v>1</v>
      </c>
      <c r="K569" s="110"/>
      <c r="L569" s="110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  <c r="AJ569" s="111"/>
      <c r="AK569" s="111"/>
      <c r="AL569" s="111"/>
      <c r="AM569" s="111"/>
      <c r="AN569" s="111"/>
      <c r="AO569" s="111"/>
      <c r="AP569" s="111"/>
      <c r="AQ569" s="111"/>
      <c r="AR569" s="111"/>
      <c r="AS569" s="111"/>
      <c r="AT569" s="111"/>
      <c r="AU569" s="111"/>
      <c r="AV569" s="111"/>
      <c r="AW569" s="111"/>
      <c r="AX569" s="111"/>
      <c r="AY569" s="111"/>
      <c r="AZ569" s="111"/>
      <c r="BA569" s="111"/>
      <c r="BB569" s="111"/>
      <c r="BC569" s="111"/>
      <c r="BD569" s="111"/>
      <c r="BE569" s="111"/>
      <c r="BF569" s="111"/>
      <c r="BG569" s="111"/>
      <c r="BH569" s="111"/>
      <c r="BI569" s="111"/>
      <c r="BJ569" s="111"/>
      <c r="BK569" s="111"/>
      <c r="BL569" s="111"/>
      <c r="BM569" s="111"/>
      <c r="BN569" s="111"/>
      <c r="BO569" s="111"/>
      <c r="BP569" s="111"/>
      <c r="BQ569" s="111"/>
      <c r="BR569" s="111"/>
      <c r="BS569" s="111"/>
      <c r="BT569" s="111"/>
      <c r="BU569" s="111"/>
      <c r="BV569" s="111"/>
    </row>
    <row r="570" spans="1:74" s="50" customFormat="1" ht="15" hidden="1" customHeight="1">
      <c r="A570" s="111">
        <v>566</v>
      </c>
      <c r="B570" s="3" t="s">
        <v>1139</v>
      </c>
      <c r="C570" s="17" t="s">
        <v>1140</v>
      </c>
      <c r="D570" s="3" t="s">
        <v>21</v>
      </c>
      <c r="E570" s="111"/>
      <c r="F570" s="111"/>
      <c r="G570" s="110">
        <v>7</v>
      </c>
      <c r="H570" s="3">
        <f t="shared" si="27"/>
        <v>0</v>
      </c>
      <c r="I570" s="3">
        <f t="shared" si="28"/>
        <v>0</v>
      </c>
      <c r="J570" s="110">
        <f t="shared" si="29"/>
        <v>7</v>
      </c>
      <c r="K570" s="110"/>
      <c r="L570" s="110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  <c r="AJ570" s="111"/>
      <c r="AK570" s="111"/>
      <c r="AL570" s="111"/>
      <c r="AM570" s="111"/>
      <c r="AN570" s="111"/>
      <c r="AO570" s="111"/>
      <c r="AP570" s="111"/>
      <c r="AQ570" s="111"/>
      <c r="AR570" s="111"/>
      <c r="AS570" s="111"/>
      <c r="AT570" s="111"/>
      <c r="AU570" s="111"/>
      <c r="AV570" s="111"/>
      <c r="AW570" s="111"/>
      <c r="AX570" s="111"/>
      <c r="AY570" s="111"/>
      <c r="AZ570" s="111"/>
      <c r="BA570" s="111"/>
      <c r="BB570" s="111"/>
      <c r="BC570" s="111"/>
      <c r="BD570" s="111"/>
      <c r="BE570" s="111"/>
      <c r="BF570" s="111"/>
      <c r="BG570" s="111"/>
      <c r="BH570" s="111"/>
      <c r="BI570" s="111"/>
      <c r="BJ570" s="111"/>
      <c r="BK570" s="111"/>
      <c r="BL570" s="111"/>
      <c r="BM570" s="111"/>
      <c r="BN570" s="111"/>
      <c r="BO570" s="111"/>
      <c r="BP570" s="111"/>
      <c r="BQ570" s="111"/>
      <c r="BR570" s="111"/>
      <c r="BS570" s="111"/>
      <c r="BT570" s="111"/>
      <c r="BU570" s="111"/>
      <c r="BV570" s="111"/>
    </row>
    <row r="571" spans="1:74" s="50" customFormat="1" ht="15" hidden="1" customHeight="1">
      <c r="A571" s="111">
        <v>567</v>
      </c>
      <c r="B571" s="3" t="s">
        <v>1141</v>
      </c>
      <c r="C571" s="17" t="s">
        <v>1142</v>
      </c>
      <c r="D571" s="3" t="s">
        <v>21</v>
      </c>
      <c r="E571" s="111"/>
      <c r="F571" s="111"/>
      <c r="G571" s="110">
        <v>1</v>
      </c>
      <c r="H571" s="3">
        <f t="shared" si="27"/>
        <v>0</v>
      </c>
      <c r="I571" s="3">
        <f t="shared" si="28"/>
        <v>0</v>
      </c>
      <c r="J571" s="110">
        <f t="shared" si="29"/>
        <v>1</v>
      </c>
      <c r="K571" s="110"/>
      <c r="L571" s="110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  <c r="AJ571" s="111"/>
      <c r="AK571" s="111"/>
      <c r="AL571" s="111"/>
      <c r="AM571" s="111"/>
      <c r="AN571" s="111"/>
      <c r="AO571" s="111"/>
      <c r="AP571" s="111"/>
      <c r="AQ571" s="111"/>
      <c r="AR571" s="111"/>
      <c r="AS571" s="111"/>
      <c r="AT571" s="111"/>
      <c r="AU571" s="111"/>
      <c r="AV571" s="111"/>
      <c r="AW571" s="111"/>
      <c r="AX571" s="111"/>
      <c r="AY571" s="111"/>
      <c r="AZ571" s="111"/>
      <c r="BA571" s="111"/>
      <c r="BB571" s="111"/>
      <c r="BC571" s="111"/>
      <c r="BD571" s="111"/>
      <c r="BE571" s="111"/>
      <c r="BF571" s="111"/>
      <c r="BG571" s="111"/>
      <c r="BH571" s="111"/>
      <c r="BI571" s="111"/>
      <c r="BJ571" s="111"/>
      <c r="BK571" s="111"/>
      <c r="BL571" s="111"/>
      <c r="BM571" s="111"/>
      <c r="BN571" s="111"/>
      <c r="BO571" s="111"/>
      <c r="BP571" s="111"/>
      <c r="BQ571" s="111"/>
      <c r="BR571" s="111"/>
      <c r="BS571" s="111"/>
      <c r="BT571" s="111"/>
      <c r="BU571" s="111"/>
      <c r="BV571" s="111"/>
    </row>
    <row r="572" spans="1:74" s="50" customFormat="1" ht="15" hidden="1" customHeight="1">
      <c r="A572" s="111">
        <v>568</v>
      </c>
      <c r="B572" s="3" t="s">
        <v>1143</v>
      </c>
      <c r="C572" s="17" t="s">
        <v>1144</v>
      </c>
      <c r="D572" s="3" t="s">
        <v>21</v>
      </c>
      <c r="E572" s="111"/>
      <c r="F572" s="111"/>
      <c r="G572" s="110">
        <v>2</v>
      </c>
      <c r="H572" s="3">
        <f t="shared" si="27"/>
        <v>0</v>
      </c>
      <c r="I572" s="3">
        <f t="shared" si="28"/>
        <v>0</v>
      </c>
      <c r="J572" s="110">
        <f t="shared" si="29"/>
        <v>2</v>
      </c>
      <c r="K572" s="110"/>
      <c r="L572" s="110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  <c r="AJ572" s="111"/>
      <c r="AK572" s="111"/>
      <c r="AL572" s="111"/>
      <c r="AM572" s="111"/>
      <c r="AN572" s="111"/>
      <c r="AO572" s="111"/>
      <c r="AP572" s="111"/>
      <c r="AQ572" s="111"/>
      <c r="AR572" s="111"/>
      <c r="AS572" s="111"/>
      <c r="AT572" s="111"/>
      <c r="AU572" s="111"/>
      <c r="AV572" s="111"/>
      <c r="AW572" s="111"/>
      <c r="AX572" s="111"/>
      <c r="AY572" s="111"/>
      <c r="AZ572" s="111"/>
      <c r="BA572" s="111"/>
      <c r="BB572" s="111"/>
      <c r="BC572" s="111"/>
      <c r="BD572" s="111"/>
      <c r="BE572" s="111"/>
      <c r="BF572" s="111"/>
      <c r="BG572" s="111"/>
      <c r="BH572" s="111"/>
      <c r="BI572" s="111"/>
      <c r="BJ572" s="111"/>
      <c r="BK572" s="111"/>
      <c r="BL572" s="111"/>
      <c r="BM572" s="111"/>
      <c r="BN572" s="111"/>
      <c r="BO572" s="111"/>
      <c r="BP572" s="111"/>
      <c r="BQ572" s="111"/>
      <c r="BR572" s="111"/>
      <c r="BS572" s="111"/>
      <c r="BT572" s="111"/>
      <c r="BU572" s="111"/>
      <c r="BV572" s="111"/>
    </row>
    <row r="573" spans="1:74" s="50" customFormat="1" ht="15" hidden="1" customHeight="1">
      <c r="A573" s="111">
        <v>569</v>
      </c>
      <c r="B573" s="3" t="s">
        <v>1145</v>
      </c>
      <c r="C573" s="17" t="s">
        <v>1146</v>
      </c>
      <c r="D573" s="3" t="s">
        <v>21</v>
      </c>
      <c r="E573" s="111"/>
      <c r="F573" s="111"/>
      <c r="G573" s="110">
        <v>2</v>
      </c>
      <c r="H573" s="3">
        <f t="shared" si="27"/>
        <v>0</v>
      </c>
      <c r="I573" s="3">
        <f t="shared" si="28"/>
        <v>0</v>
      </c>
      <c r="J573" s="110">
        <f t="shared" si="29"/>
        <v>2</v>
      </c>
      <c r="K573" s="110"/>
      <c r="L573" s="110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  <c r="AJ573" s="111"/>
      <c r="AK573" s="111"/>
      <c r="AL573" s="111"/>
      <c r="AM573" s="111"/>
      <c r="AN573" s="111"/>
      <c r="AO573" s="111"/>
      <c r="AP573" s="111"/>
      <c r="AQ573" s="111"/>
      <c r="AR573" s="111"/>
      <c r="AS573" s="111"/>
      <c r="AT573" s="111"/>
      <c r="AU573" s="111"/>
      <c r="AV573" s="111"/>
      <c r="AW573" s="111"/>
      <c r="AX573" s="111"/>
      <c r="AY573" s="111"/>
      <c r="AZ573" s="111"/>
      <c r="BA573" s="111"/>
      <c r="BB573" s="111"/>
      <c r="BC573" s="111"/>
      <c r="BD573" s="111"/>
      <c r="BE573" s="111"/>
      <c r="BF573" s="111"/>
      <c r="BG573" s="111"/>
      <c r="BH573" s="111"/>
      <c r="BI573" s="111"/>
      <c r="BJ573" s="111"/>
      <c r="BK573" s="111"/>
      <c r="BL573" s="111"/>
      <c r="BM573" s="111"/>
      <c r="BN573" s="111"/>
      <c r="BO573" s="111"/>
      <c r="BP573" s="111"/>
      <c r="BQ573" s="111"/>
      <c r="BR573" s="111"/>
      <c r="BS573" s="111"/>
      <c r="BT573" s="111"/>
      <c r="BU573" s="111"/>
      <c r="BV573" s="111"/>
    </row>
    <row r="574" spans="1:74" s="50" customFormat="1" ht="15" hidden="1" customHeight="1">
      <c r="A574" s="109">
        <v>570</v>
      </c>
      <c r="B574" s="26" t="s">
        <v>1147</v>
      </c>
      <c r="C574" s="27" t="s">
        <v>1148</v>
      </c>
      <c r="D574" s="26" t="s">
        <v>21</v>
      </c>
      <c r="E574" s="109"/>
      <c r="F574" s="109"/>
      <c r="G574" s="110">
        <v>93</v>
      </c>
      <c r="H574" s="3">
        <f t="shared" si="27"/>
        <v>0</v>
      </c>
      <c r="I574" s="3">
        <f t="shared" si="28"/>
        <v>0</v>
      </c>
      <c r="J574" s="110">
        <f t="shared" si="29"/>
        <v>93</v>
      </c>
      <c r="K574" s="110"/>
      <c r="L574" s="110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  <c r="AJ574" s="111"/>
      <c r="AK574" s="111"/>
      <c r="AL574" s="111"/>
      <c r="AM574" s="111"/>
      <c r="AN574" s="111"/>
      <c r="AO574" s="111"/>
      <c r="AP574" s="111"/>
      <c r="AQ574" s="111"/>
      <c r="AR574" s="111"/>
      <c r="AS574" s="111"/>
      <c r="AT574" s="111"/>
      <c r="AU574" s="111"/>
      <c r="AV574" s="111"/>
      <c r="AW574" s="111"/>
      <c r="AX574" s="111"/>
      <c r="AY574" s="111"/>
      <c r="AZ574" s="111"/>
      <c r="BA574" s="111"/>
      <c r="BB574" s="111"/>
      <c r="BC574" s="111"/>
      <c r="BD574" s="111"/>
      <c r="BE574" s="111"/>
      <c r="BF574" s="111"/>
      <c r="BG574" s="111"/>
      <c r="BH574" s="111"/>
      <c r="BI574" s="111"/>
      <c r="BJ574" s="111"/>
      <c r="BK574" s="111"/>
      <c r="BL574" s="111"/>
      <c r="BM574" s="111"/>
      <c r="BN574" s="111"/>
      <c r="BO574" s="111"/>
      <c r="BP574" s="111"/>
      <c r="BQ574" s="111"/>
      <c r="BR574" s="111"/>
      <c r="BS574" s="111"/>
      <c r="BT574" s="111"/>
      <c r="BU574" s="111"/>
      <c r="BV574" s="111"/>
    </row>
    <row r="575" spans="1:74" s="50" customFormat="1" ht="15.75" hidden="1" customHeight="1">
      <c r="A575" s="111">
        <v>571</v>
      </c>
      <c r="B575" s="3" t="s">
        <v>1149</v>
      </c>
      <c r="C575" s="17" t="s">
        <v>1150</v>
      </c>
      <c r="D575" s="3" t="s">
        <v>21</v>
      </c>
      <c r="E575" s="111"/>
      <c r="F575" s="111"/>
      <c r="G575" s="110">
        <v>9</v>
      </c>
      <c r="H575" s="3">
        <f t="shared" si="27"/>
        <v>0</v>
      </c>
      <c r="I575" s="3">
        <f t="shared" si="28"/>
        <v>0</v>
      </c>
      <c r="J575" s="110">
        <f t="shared" si="29"/>
        <v>9</v>
      </c>
      <c r="K575" s="110"/>
      <c r="L575" s="110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  <c r="AJ575" s="111"/>
      <c r="AK575" s="111"/>
      <c r="AL575" s="111"/>
      <c r="AM575" s="111"/>
      <c r="AN575" s="111"/>
      <c r="AO575" s="111"/>
      <c r="AP575" s="111"/>
      <c r="AQ575" s="111"/>
      <c r="AR575" s="111"/>
      <c r="AS575" s="111"/>
      <c r="AT575" s="111"/>
      <c r="AU575" s="111"/>
      <c r="AV575" s="111"/>
      <c r="AW575" s="111"/>
      <c r="AX575" s="111"/>
      <c r="AY575" s="111"/>
      <c r="AZ575" s="111"/>
      <c r="BA575" s="111"/>
      <c r="BB575" s="111"/>
      <c r="BC575" s="111"/>
      <c r="BD575" s="111"/>
      <c r="BE575" s="111"/>
      <c r="BF575" s="111"/>
      <c r="BG575" s="111"/>
      <c r="BH575" s="111"/>
      <c r="BI575" s="111"/>
      <c r="BJ575" s="111"/>
      <c r="BK575" s="111"/>
      <c r="BL575" s="111"/>
      <c r="BM575" s="111"/>
      <c r="BN575" s="111"/>
      <c r="BO575" s="111"/>
      <c r="BP575" s="111"/>
      <c r="BQ575" s="111"/>
      <c r="BR575" s="111"/>
      <c r="BS575" s="111"/>
      <c r="BT575" s="111"/>
      <c r="BU575" s="111"/>
      <c r="BV575" s="111"/>
    </row>
    <row r="576" spans="1:74" s="50" customFormat="1" ht="15.75" hidden="1" customHeight="1">
      <c r="A576" s="111">
        <v>572</v>
      </c>
      <c r="B576" s="3" t="s">
        <v>1151</v>
      </c>
      <c r="C576" s="17" t="s">
        <v>1152</v>
      </c>
      <c r="D576" s="3" t="s">
        <v>21</v>
      </c>
      <c r="E576" s="111"/>
      <c r="F576" s="111"/>
      <c r="G576" s="110">
        <v>2</v>
      </c>
      <c r="H576" s="3">
        <f t="shared" si="27"/>
        <v>0</v>
      </c>
      <c r="I576" s="3">
        <f t="shared" si="28"/>
        <v>0</v>
      </c>
      <c r="J576" s="110">
        <f t="shared" si="29"/>
        <v>2</v>
      </c>
      <c r="K576" s="110"/>
      <c r="L576" s="110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  <c r="AJ576" s="111"/>
      <c r="AK576" s="111"/>
      <c r="AL576" s="111"/>
      <c r="AM576" s="111"/>
      <c r="AN576" s="111"/>
      <c r="AO576" s="111"/>
      <c r="AP576" s="111"/>
      <c r="AQ576" s="111"/>
      <c r="AR576" s="111"/>
      <c r="AS576" s="111"/>
      <c r="AT576" s="111"/>
      <c r="AU576" s="111"/>
      <c r="AV576" s="111"/>
      <c r="AW576" s="111"/>
      <c r="AX576" s="111"/>
      <c r="AY576" s="111"/>
      <c r="AZ576" s="111"/>
      <c r="BA576" s="111"/>
      <c r="BB576" s="111"/>
      <c r="BC576" s="111"/>
      <c r="BD576" s="111"/>
      <c r="BE576" s="111"/>
      <c r="BF576" s="111"/>
      <c r="BG576" s="111"/>
      <c r="BH576" s="111"/>
      <c r="BI576" s="111"/>
      <c r="BJ576" s="111"/>
      <c r="BK576" s="111"/>
      <c r="BL576" s="111"/>
      <c r="BM576" s="111"/>
      <c r="BN576" s="111"/>
      <c r="BO576" s="111"/>
      <c r="BP576" s="111"/>
      <c r="BQ576" s="111"/>
      <c r="BR576" s="111"/>
      <c r="BS576" s="111"/>
      <c r="BT576" s="111"/>
      <c r="BU576" s="111"/>
      <c r="BV576" s="111"/>
    </row>
    <row r="577" spans="1:74" s="50" customFormat="1" ht="15" hidden="1" customHeight="1">
      <c r="A577" s="111">
        <v>573</v>
      </c>
      <c r="B577" s="3" t="s">
        <v>1153</v>
      </c>
      <c r="C577" s="17" t="s">
        <v>1154</v>
      </c>
      <c r="D577" s="3" t="s">
        <v>21</v>
      </c>
      <c r="E577" s="111"/>
      <c r="F577" s="111"/>
      <c r="G577" s="110">
        <v>2</v>
      </c>
      <c r="H577" s="3">
        <f t="shared" si="27"/>
        <v>0</v>
      </c>
      <c r="I577" s="3">
        <f t="shared" si="28"/>
        <v>0</v>
      </c>
      <c r="J577" s="110">
        <f t="shared" si="29"/>
        <v>2</v>
      </c>
      <c r="K577" s="110"/>
      <c r="L577" s="110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  <c r="AJ577" s="111"/>
      <c r="AK577" s="111"/>
      <c r="AL577" s="111"/>
      <c r="AM577" s="111"/>
      <c r="AN577" s="111"/>
      <c r="AO577" s="111"/>
      <c r="AP577" s="111"/>
      <c r="AQ577" s="111"/>
      <c r="AR577" s="111"/>
      <c r="AS577" s="111"/>
      <c r="AT577" s="111"/>
      <c r="AU577" s="111"/>
      <c r="AV577" s="111"/>
      <c r="AW577" s="111"/>
      <c r="AX577" s="111"/>
      <c r="AY577" s="111"/>
      <c r="AZ577" s="111"/>
      <c r="BA577" s="111"/>
      <c r="BB577" s="111"/>
      <c r="BC577" s="111"/>
      <c r="BD577" s="111"/>
      <c r="BE577" s="111"/>
      <c r="BF577" s="111"/>
      <c r="BG577" s="111"/>
      <c r="BH577" s="111"/>
      <c r="BI577" s="111"/>
      <c r="BJ577" s="111"/>
      <c r="BK577" s="111"/>
      <c r="BL577" s="111"/>
      <c r="BM577" s="111"/>
      <c r="BN577" s="111"/>
      <c r="BO577" s="111"/>
      <c r="BP577" s="111"/>
      <c r="BQ577" s="111"/>
      <c r="BR577" s="111"/>
      <c r="BS577" s="111"/>
      <c r="BT577" s="111"/>
      <c r="BU577" s="111"/>
      <c r="BV577" s="111"/>
    </row>
    <row r="578" spans="1:74" s="50" customFormat="1" ht="15" hidden="1" customHeight="1">
      <c r="A578" s="111">
        <v>574</v>
      </c>
      <c r="B578" s="3" t="s">
        <v>1155</v>
      </c>
      <c r="C578" s="17" t="s">
        <v>1156</v>
      </c>
      <c r="D578" s="3" t="s">
        <v>21</v>
      </c>
      <c r="E578" s="111"/>
      <c r="F578" s="111"/>
      <c r="G578" s="110">
        <v>1</v>
      </c>
      <c r="H578" s="3">
        <f t="shared" si="27"/>
        <v>0</v>
      </c>
      <c r="I578" s="3">
        <f t="shared" si="28"/>
        <v>0</v>
      </c>
      <c r="J578" s="110">
        <f t="shared" si="29"/>
        <v>1</v>
      </c>
      <c r="K578" s="110"/>
      <c r="L578" s="110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  <c r="AJ578" s="111"/>
      <c r="AK578" s="111"/>
      <c r="AL578" s="111"/>
      <c r="AM578" s="111"/>
      <c r="AN578" s="111"/>
      <c r="AO578" s="111"/>
      <c r="AP578" s="111"/>
      <c r="AQ578" s="111"/>
      <c r="AR578" s="111"/>
      <c r="AS578" s="111"/>
      <c r="AT578" s="111"/>
      <c r="AU578" s="111"/>
      <c r="AV578" s="111"/>
      <c r="AW578" s="111"/>
      <c r="AX578" s="111"/>
      <c r="AY578" s="111"/>
      <c r="AZ578" s="111"/>
      <c r="BA578" s="111"/>
      <c r="BB578" s="111"/>
      <c r="BC578" s="111"/>
      <c r="BD578" s="111"/>
      <c r="BE578" s="111"/>
      <c r="BF578" s="111"/>
      <c r="BG578" s="111"/>
      <c r="BH578" s="111"/>
      <c r="BI578" s="111"/>
      <c r="BJ578" s="111"/>
      <c r="BK578" s="111"/>
      <c r="BL578" s="111"/>
      <c r="BM578" s="111"/>
      <c r="BN578" s="111"/>
      <c r="BO578" s="111"/>
      <c r="BP578" s="111"/>
      <c r="BQ578" s="111"/>
      <c r="BR578" s="111"/>
      <c r="BS578" s="111"/>
      <c r="BT578" s="111"/>
      <c r="BU578" s="111"/>
      <c r="BV578" s="111"/>
    </row>
    <row r="579" spans="1:74" s="50" customFormat="1" ht="14.25" hidden="1" customHeight="1">
      <c r="A579" s="111">
        <v>575</v>
      </c>
      <c r="B579" s="3" t="s">
        <v>1157</v>
      </c>
      <c r="C579" s="17" t="s">
        <v>1158</v>
      </c>
      <c r="D579" s="3" t="s">
        <v>21</v>
      </c>
      <c r="E579" s="111"/>
      <c r="F579" s="111"/>
      <c r="G579" s="110">
        <v>3</v>
      </c>
      <c r="H579" s="3">
        <f t="shared" si="27"/>
        <v>0</v>
      </c>
      <c r="I579" s="3">
        <f t="shared" si="28"/>
        <v>0</v>
      </c>
      <c r="J579" s="110">
        <f t="shared" si="29"/>
        <v>3</v>
      </c>
      <c r="K579" s="110"/>
      <c r="L579" s="110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  <c r="AJ579" s="111"/>
      <c r="AK579" s="111"/>
      <c r="AL579" s="111"/>
      <c r="AM579" s="111"/>
      <c r="AN579" s="111"/>
      <c r="AO579" s="111"/>
      <c r="AP579" s="111"/>
      <c r="AQ579" s="111"/>
      <c r="AR579" s="111"/>
      <c r="AS579" s="111"/>
      <c r="AT579" s="111"/>
      <c r="AU579" s="111"/>
      <c r="AV579" s="111"/>
      <c r="AW579" s="111"/>
      <c r="AX579" s="111"/>
      <c r="AY579" s="111"/>
      <c r="AZ579" s="111"/>
      <c r="BA579" s="111"/>
      <c r="BB579" s="111"/>
      <c r="BC579" s="111"/>
      <c r="BD579" s="111"/>
      <c r="BE579" s="111"/>
      <c r="BF579" s="111"/>
      <c r="BG579" s="111"/>
      <c r="BH579" s="111"/>
      <c r="BI579" s="111"/>
      <c r="BJ579" s="111"/>
      <c r="BK579" s="111"/>
      <c r="BL579" s="111"/>
      <c r="BM579" s="111"/>
      <c r="BN579" s="111"/>
      <c r="BO579" s="111"/>
      <c r="BP579" s="111"/>
      <c r="BQ579" s="111"/>
      <c r="BR579" s="111"/>
      <c r="BS579" s="111"/>
      <c r="BT579" s="111"/>
      <c r="BU579" s="111"/>
      <c r="BV579" s="111"/>
    </row>
    <row r="580" spans="1:74" s="50" customFormat="1" ht="15" hidden="1" customHeight="1">
      <c r="A580" s="111">
        <v>576</v>
      </c>
      <c r="B580" s="3" t="s">
        <v>1159</v>
      </c>
      <c r="C580" s="17" t="s">
        <v>1160</v>
      </c>
      <c r="D580" s="3" t="s">
        <v>21</v>
      </c>
      <c r="E580" s="111"/>
      <c r="F580" s="111"/>
      <c r="G580" s="110">
        <v>40</v>
      </c>
      <c r="H580" s="3">
        <f t="shared" si="27"/>
        <v>0</v>
      </c>
      <c r="I580" s="3">
        <f t="shared" si="28"/>
        <v>0</v>
      </c>
      <c r="J580" s="110">
        <f t="shared" si="29"/>
        <v>40</v>
      </c>
      <c r="K580" s="110"/>
      <c r="L580" s="110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  <c r="AJ580" s="111"/>
      <c r="AK580" s="111"/>
      <c r="AL580" s="111"/>
      <c r="AM580" s="111"/>
      <c r="AN580" s="111"/>
      <c r="AO580" s="111"/>
      <c r="AP580" s="111"/>
      <c r="AQ580" s="111"/>
      <c r="AR580" s="111"/>
      <c r="AS580" s="111"/>
      <c r="AT580" s="111"/>
      <c r="AU580" s="111"/>
      <c r="AV580" s="111"/>
      <c r="AW580" s="111"/>
      <c r="AX580" s="111"/>
      <c r="AY580" s="111"/>
      <c r="AZ580" s="111"/>
      <c r="BA580" s="111"/>
      <c r="BB580" s="111"/>
      <c r="BC580" s="111"/>
      <c r="BD580" s="111"/>
      <c r="BE580" s="111"/>
      <c r="BF580" s="111"/>
      <c r="BG580" s="111"/>
      <c r="BH580" s="111"/>
      <c r="BI580" s="111"/>
      <c r="BJ580" s="111"/>
      <c r="BK580" s="111"/>
      <c r="BL580" s="111"/>
      <c r="BM580" s="111"/>
      <c r="BN580" s="111"/>
      <c r="BO580" s="111"/>
      <c r="BP580" s="111"/>
      <c r="BQ580" s="111"/>
      <c r="BR580" s="111"/>
      <c r="BS580" s="111"/>
      <c r="BT580" s="111"/>
      <c r="BU580" s="111"/>
      <c r="BV580" s="111"/>
    </row>
    <row r="581" spans="1:74" s="50" customFormat="1" ht="15" hidden="1" customHeight="1">
      <c r="A581" s="111">
        <v>577</v>
      </c>
      <c r="B581" s="3" t="s">
        <v>1161</v>
      </c>
      <c r="C581" s="17" t="s">
        <v>1162</v>
      </c>
      <c r="D581" s="3" t="s">
        <v>21</v>
      </c>
      <c r="E581" s="111"/>
      <c r="F581" s="111"/>
      <c r="G581" s="110">
        <v>1</v>
      </c>
      <c r="H581" s="3">
        <f t="shared" si="27"/>
        <v>0</v>
      </c>
      <c r="I581" s="3">
        <f t="shared" si="28"/>
        <v>0</v>
      </c>
      <c r="J581" s="110">
        <f t="shared" si="29"/>
        <v>1</v>
      </c>
      <c r="K581" s="110"/>
      <c r="L581" s="110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  <c r="AJ581" s="111"/>
      <c r="AK581" s="111"/>
      <c r="AL581" s="111"/>
      <c r="AM581" s="111"/>
      <c r="AN581" s="111"/>
      <c r="AO581" s="111"/>
      <c r="AP581" s="111"/>
      <c r="AQ581" s="111"/>
      <c r="AR581" s="111"/>
      <c r="AS581" s="111"/>
      <c r="AT581" s="111"/>
      <c r="AU581" s="111"/>
      <c r="AV581" s="111"/>
      <c r="AW581" s="111"/>
      <c r="AX581" s="111"/>
      <c r="AY581" s="111"/>
      <c r="AZ581" s="111"/>
      <c r="BA581" s="111"/>
      <c r="BB581" s="111"/>
      <c r="BC581" s="111"/>
      <c r="BD581" s="111"/>
      <c r="BE581" s="111"/>
      <c r="BF581" s="111"/>
      <c r="BG581" s="111"/>
      <c r="BH581" s="111"/>
      <c r="BI581" s="111"/>
      <c r="BJ581" s="111"/>
      <c r="BK581" s="111"/>
      <c r="BL581" s="111"/>
      <c r="BM581" s="111"/>
      <c r="BN581" s="111"/>
      <c r="BO581" s="111"/>
      <c r="BP581" s="111"/>
      <c r="BQ581" s="111"/>
      <c r="BR581" s="111"/>
      <c r="BS581" s="111"/>
      <c r="BT581" s="111"/>
      <c r="BU581" s="111"/>
      <c r="BV581" s="111"/>
    </row>
    <row r="582" spans="1:74" s="92" customFormat="1" ht="15" hidden="1" customHeight="1">
      <c r="A582" s="111">
        <v>578</v>
      </c>
      <c r="B582" s="3" t="s">
        <v>1163</v>
      </c>
      <c r="C582" s="17" t="s">
        <v>1164</v>
      </c>
      <c r="D582" s="3" t="s">
        <v>21</v>
      </c>
      <c r="E582" s="111"/>
      <c r="F582" s="111"/>
      <c r="G582" s="108">
        <v>1</v>
      </c>
      <c r="H582" s="26">
        <f t="shared" si="27"/>
        <v>0</v>
      </c>
      <c r="I582" s="26">
        <f t="shared" si="28"/>
        <v>0</v>
      </c>
      <c r="J582" s="108">
        <f t="shared" si="29"/>
        <v>1</v>
      </c>
      <c r="K582" s="108"/>
      <c r="L582" s="108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  <c r="AO582" s="109"/>
      <c r="AP582" s="109"/>
      <c r="AQ582" s="109"/>
      <c r="AR582" s="109"/>
      <c r="AS582" s="109"/>
      <c r="AT582" s="109"/>
      <c r="AU582" s="109"/>
      <c r="AV582" s="109"/>
      <c r="AW582" s="109"/>
      <c r="AX582" s="109"/>
      <c r="AY582" s="109"/>
      <c r="AZ582" s="109"/>
      <c r="BA582" s="109"/>
      <c r="BB582" s="109"/>
      <c r="BC582" s="109"/>
      <c r="BD582" s="109"/>
      <c r="BE582" s="109"/>
      <c r="BF582" s="109"/>
      <c r="BG582" s="109"/>
      <c r="BH582" s="109"/>
      <c r="BI582" s="109"/>
      <c r="BJ582" s="109"/>
      <c r="BK582" s="109"/>
      <c r="BL582" s="109"/>
      <c r="BM582" s="109"/>
      <c r="BN582" s="109"/>
      <c r="BO582" s="109"/>
      <c r="BP582" s="109"/>
      <c r="BQ582" s="109"/>
      <c r="BR582" s="109"/>
      <c r="BS582" s="109"/>
      <c r="BT582" s="109"/>
      <c r="BU582" s="109"/>
      <c r="BV582" s="109"/>
    </row>
    <row r="583" spans="1:74" s="50" customFormat="1" ht="15" hidden="1" customHeight="1">
      <c r="A583" s="111">
        <v>579</v>
      </c>
      <c r="B583" s="3" t="s">
        <v>1165</v>
      </c>
      <c r="C583" s="17" t="s">
        <v>1166</v>
      </c>
      <c r="D583" s="3" t="s">
        <v>21</v>
      </c>
      <c r="E583" s="111"/>
      <c r="F583" s="111"/>
      <c r="G583" s="110">
        <v>14</v>
      </c>
      <c r="H583" s="3">
        <f t="shared" si="27"/>
        <v>0</v>
      </c>
      <c r="I583" s="3">
        <f t="shared" si="28"/>
        <v>0</v>
      </c>
      <c r="J583" s="110">
        <f t="shared" si="29"/>
        <v>14</v>
      </c>
      <c r="K583" s="110"/>
      <c r="L583" s="110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  <c r="AJ583" s="111"/>
      <c r="AK583" s="111"/>
      <c r="AL583" s="111"/>
      <c r="AM583" s="111"/>
      <c r="AN583" s="111"/>
      <c r="AO583" s="111"/>
      <c r="AP583" s="111"/>
      <c r="AQ583" s="111"/>
      <c r="AR583" s="111"/>
      <c r="AS583" s="111"/>
      <c r="AT583" s="111"/>
      <c r="AU583" s="111"/>
      <c r="AV583" s="111"/>
      <c r="AW583" s="111"/>
      <c r="AX583" s="111"/>
      <c r="AY583" s="111"/>
      <c r="AZ583" s="111"/>
      <c r="BA583" s="111"/>
      <c r="BB583" s="111"/>
      <c r="BC583" s="111"/>
      <c r="BD583" s="111"/>
      <c r="BE583" s="111"/>
      <c r="BF583" s="111"/>
      <c r="BG583" s="111"/>
      <c r="BH583" s="111"/>
      <c r="BI583" s="111"/>
      <c r="BJ583" s="111"/>
      <c r="BK583" s="111"/>
      <c r="BL583" s="111"/>
      <c r="BM583" s="111"/>
      <c r="BN583" s="111"/>
      <c r="BO583" s="111"/>
      <c r="BP583" s="111"/>
      <c r="BQ583" s="111"/>
      <c r="BR583" s="111"/>
      <c r="BS583" s="111"/>
      <c r="BT583" s="111"/>
      <c r="BU583" s="111"/>
      <c r="BV583" s="111"/>
    </row>
    <row r="584" spans="1:74" s="50" customFormat="1" ht="15" hidden="1" customHeight="1">
      <c r="A584" s="111">
        <v>580</v>
      </c>
      <c r="B584" s="3" t="s">
        <v>1167</v>
      </c>
      <c r="C584" s="17" t="s">
        <v>1168</v>
      </c>
      <c r="D584" s="3" t="s">
        <v>21</v>
      </c>
      <c r="E584" s="111"/>
      <c r="F584" s="111"/>
      <c r="G584" s="110">
        <v>102</v>
      </c>
      <c r="H584" s="3">
        <f t="shared" si="27"/>
        <v>0</v>
      </c>
      <c r="I584" s="3">
        <f t="shared" si="28"/>
        <v>0</v>
      </c>
      <c r="J584" s="110">
        <f t="shared" si="29"/>
        <v>102</v>
      </c>
      <c r="K584" s="110"/>
      <c r="L584" s="110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  <c r="AJ584" s="111"/>
      <c r="AK584" s="111"/>
      <c r="AL584" s="111"/>
      <c r="AM584" s="111"/>
      <c r="AN584" s="111"/>
      <c r="AO584" s="111"/>
      <c r="AP584" s="111"/>
      <c r="AQ584" s="111"/>
      <c r="AR584" s="111"/>
      <c r="AS584" s="111"/>
      <c r="AT584" s="111"/>
      <c r="AU584" s="111"/>
      <c r="AV584" s="111"/>
      <c r="AW584" s="111"/>
      <c r="AX584" s="111"/>
      <c r="AY584" s="111"/>
      <c r="AZ584" s="111"/>
      <c r="BA584" s="111"/>
      <c r="BB584" s="111"/>
      <c r="BC584" s="111"/>
      <c r="BD584" s="111"/>
      <c r="BE584" s="111"/>
      <c r="BF584" s="111"/>
      <c r="BG584" s="111"/>
      <c r="BH584" s="111"/>
      <c r="BI584" s="111"/>
      <c r="BJ584" s="111"/>
      <c r="BK584" s="111"/>
      <c r="BL584" s="111"/>
      <c r="BM584" s="111"/>
      <c r="BN584" s="111"/>
      <c r="BO584" s="111"/>
      <c r="BP584" s="111"/>
      <c r="BQ584" s="111"/>
      <c r="BR584" s="111"/>
      <c r="BS584" s="111"/>
      <c r="BT584" s="111"/>
      <c r="BU584" s="111"/>
      <c r="BV584" s="111"/>
    </row>
    <row r="585" spans="1:74" s="50" customFormat="1" ht="15" hidden="1" customHeight="1">
      <c r="A585" s="142">
        <v>581</v>
      </c>
      <c r="B585" s="143" t="s">
        <v>1169</v>
      </c>
      <c r="C585" s="144" t="s">
        <v>1170</v>
      </c>
      <c r="D585" s="143" t="s">
        <v>21</v>
      </c>
      <c r="E585" s="109"/>
      <c r="F585" s="109"/>
      <c r="G585" s="110">
        <v>0</v>
      </c>
      <c r="H585" s="3">
        <f t="shared" si="27"/>
        <v>0</v>
      </c>
      <c r="I585" s="3">
        <f t="shared" si="28"/>
        <v>0</v>
      </c>
      <c r="J585" s="110">
        <f t="shared" si="29"/>
        <v>0</v>
      </c>
      <c r="K585" s="110"/>
      <c r="L585" s="110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  <c r="AJ585" s="111"/>
      <c r="AK585" s="111"/>
      <c r="AL585" s="111"/>
      <c r="AM585" s="111"/>
      <c r="AN585" s="111"/>
      <c r="AO585" s="111"/>
      <c r="AP585" s="111"/>
      <c r="AQ585" s="111"/>
      <c r="AR585" s="111"/>
      <c r="AS585" s="111"/>
      <c r="AT585" s="111"/>
      <c r="AU585" s="111"/>
      <c r="AV585" s="111"/>
      <c r="AW585" s="111"/>
      <c r="AX585" s="111"/>
      <c r="AY585" s="111"/>
      <c r="AZ585" s="111"/>
      <c r="BA585" s="111"/>
      <c r="BB585" s="111"/>
      <c r="BC585" s="111"/>
      <c r="BD585" s="111"/>
      <c r="BE585" s="111"/>
      <c r="BF585" s="111"/>
      <c r="BG585" s="111"/>
      <c r="BH585" s="111"/>
      <c r="BI585" s="111"/>
      <c r="BJ585" s="111"/>
      <c r="BK585" s="111"/>
      <c r="BL585" s="111"/>
      <c r="BM585" s="111"/>
      <c r="BN585" s="111"/>
      <c r="BO585" s="111"/>
      <c r="BP585" s="111"/>
      <c r="BQ585" s="111"/>
      <c r="BR585" s="111"/>
      <c r="BS585" s="111"/>
      <c r="BT585" s="111"/>
      <c r="BU585" s="111"/>
      <c r="BV585" s="111"/>
    </row>
    <row r="586" spans="1:74" s="50" customFormat="1" ht="15" hidden="1" customHeight="1">
      <c r="A586" s="111">
        <v>582</v>
      </c>
      <c r="B586" s="3" t="s">
        <v>1171</v>
      </c>
      <c r="C586" s="17" t="s">
        <v>1172</v>
      </c>
      <c r="D586" s="3" t="s">
        <v>21</v>
      </c>
      <c r="E586" s="111"/>
      <c r="F586" s="111"/>
      <c r="G586" s="110">
        <v>1</v>
      </c>
      <c r="H586" s="3">
        <f t="shared" si="27"/>
        <v>0</v>
      </c>
      <c r="I586" s="3">
        <f t="shared" si="28"/>
        <v>0</v>
      </c>
      <c r="J586" s="110">
        <f t="shared" si="29"/>
        <v>1</v>
      </c>
      <c r="K586" s="110"/>
      <c r="L586" s="110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  <c r="AJ586" s="111"/>
      <c r="AK586" s="111"/>
      <c r="AL586" s="111"/>
      <c r="AM586" s="111"/>
      <c r="AN586" s="111"/>
      <c r="AO586" s="111"/>
      <c r="AP586" s="111"/>
      <c r="AQ586" s="111"/>
      <c r="AR586" s="111"/>
      <c r="AS586" s="111"/>
      <c r="AT586" s="111"/>
      <c r="AU586" s="111"/>
      <c r="AV586" s="111"/>
      <c r="AW586" s="111"/>
      <c r="AX586" s="111"/>
      <c r="AY586" s="111"/>
      <c r="AZ586" s="111"/>
      <c r="BA586" s="111"/>
      <c r="BB586" s="111"/>
      <c r="BC586" s="111"/>
      <c r="BD586" s="111"/>
      <c r="BE586" s="111"/>
      <c r="BF586" s="111"/>
      <c r="BG586" s="111"/>
      <c r="BH586" s="111"/>
      <c r="BI586" s="111"/>
      <c r="BJ586" s="111"/>
      <c r="BK586" s="111"/>
      <c r="BL586" s="111"/>
      <c r="BM586" s="111"/>
      <c r="BN586" s="111"/>
      <c r="BO586" s="111"/>
      <c r="BP586" s="111"/>
      <c r="BQ586" s="111"/>
      <c r="BR586" s="111"/>
      <c r="BS586" s="111"/>
      <c r="BT586" s="111"/>
      <c r="BU586" s="111"/>
      <c r="BV586" s="111"/>
    </row>
    <row r="587" spans="1:74" s="50" customFormat="1" ht="15" hidden="1" customHeight="1">
      <c r="A587" s="111">
        <v>583</v>
      </c>
      <c r="B587" s="3" t="s">
        <v>1173</v>
      </c>
      <c r="C587" s="17" t="s">
        <v>1174</v>
      </c>
      <c r="D587" s="3" t="s">
        <v>21</v>
      </c>
      <c r="E587" s="111"/>
      <c r="F587" s="111"/>
      <c r="G587" s="110">
        <v>19</v>
      </c>
      <c r="H587" s="3">
        <f t="shared" si="27"/>
        <v>0</v>
      </c>
      <c r="I587" s="3">
        <f t="shared" si="28"/>
        <v>0</v>
      </c>
      <c r="J587" s="110">
        <f t="shared" si="29"/>
        <v>19</v>
      </c>
      <c r="K587" s="110"/>
      <c r="L587" s="110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  <c r="AJ587" s="111"/>
      <c r="AK587" s="111"/>
      <c r="AL587" s="111"/>
      <c r="AM587" s="111"/>
      <c r="AN587" s="111"/>
      <c r="AO587" s="111"/>
      <c r="AP587" s="111"/>
      <c r="AQ587" s="111"/>
      <c r="AR587" s="111"/>
      <c r="AS587" s="111"/>
      <c r="AT587" s="111"/>
      <c r="AU587" s="111"/>
      <c r="AV587" s="111"/>
      <c r="AW587" s="111"/>
      <c r="AX587" s="111"/>
      <c r="AY587" s="111"/>
      <c r="AZ587" s="111"/>
      <c r="BA587" s="111"/>
      <c r="BB587" s="111"/>
      <c r="BC587" s="111"/>
      <c r="BD587" s="111"/>
      <c r="BE587" s="111"/>
      <c r="BF587" s="111"/>
      <c r="BG587" s="111"/>
      <c r="BH587" s="111"/>
      <c r="BI587" s="111"/>
      <c r="BJ587" s="111"/>
      <c r="BK587" s="111"/>
      <c r="BL587" s="111"/>
      <c r="BM587" s="111"/>
      <c r="BN587" s="111"/>
      <c r="BO587" s="111"/>
      <c r="BP587" s="111"/>
      <c r="BQ587" s="111"/>
      <c r="BR587" s="111"/>
      <c r="BS587" s="111"/>
      <c r="BT587" s="111"/>
      <c r="BU587" s="111"/>
      <c r="BV587" s="111"/>
    </row>
    <row r="588" spans="1:74" s="50" customFormat="1" ht="15" hidden="1" customHeight="1">
      <c r="A588" s="111">
        <v>584</v>
      </c>
      <c r="B588" s="3" t="s">
        <v>1175</v>
      </c>
      <c r="C588" s="17" t="s">
        <v>1176</v>
      </c>
      <c r="D588" s="3" t="s">
        <v>21</v>
      </c>
      <c r="E588" s="111"/>
      <c r="F588" s="111"/>
      <c r="G588" s="110">
        <v>19</v>
      </c>
      <c r="H588" s="3">
        <f t="shared" si="27"/>
        <v>0</v>
      </c>
      <c r="I588" s="3">
        <f t="shared" si="28"/>
        <v>0</v>
      </c>
      <c r="J588" s="110">
        <f t="shared" si="29"/>
        <v>19</v>
      </c>
      <c r="K588" s="110"/>
      <c r="L588" s="110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  <c r="AJ588" s="111"/>
      <c r="AK588" s="111"/>
      <c r="AL588" s="111"/>
      <c r="AM588" s="111"/>
      <c r="AN588" s="111"/>
      <c r="AO588" s="111"/>
      <c r="AP588" s="111"/>
      <c r="AQ588" s="111"/>
      <c r="AR588" s="111"/>
      <c r="AS588" s="111"/>
      <c r="AT588" s="111"/>
      <c r="AU588" s="111"/>
      <c r="AV588" s="111"/>
      <c r="AW588" s="111"/>
      <c r="AX588" s="111"/>
      <c r="AY588" s="111"/>
      <c r="AZ588" s="111"/>
      <c r="BA588" s="111"/>
      <c r="BB588" s="111"/>
      <c r="BC588" s="111"/>
      <c r="BD588" s="111"/>
      <c r="BE588" s="111"/>
      <c r="BF588" s="111"/>
      <c r="BG588" s="111"/>
      <c r="BH588" s="111"/>
      <c r="BI588" s="111"/>
      <c r="BJ588" s="111"/>
      <c r="BK588" s="111"/>
      <c r="BL588" s="111"/>
      <c r="BM588" s="111"/>
      <c r="BN588" s="111"/>
      <c r="BO588" s="111"/>
      <c r="BP588" s="111"/>
      <c r="BQ588" s="111"/>
      <c r="BR588" s="111"/>
      <c r="BS588" s="111"/>
      <c r="BT588" s="111"/>
      <c r="BU588" s="111"/>
      <c r="BV588" s="111"/>
    </row>
    <row r="589" spans="1:74" s="50" customFormat="1" ht="15" hidden="1" customHeight="1">
      <c r="A589" s="142">
        <v>585</v>
      </c>
      <c r="B589" s="143" t="s">
        <v>1177</v>
      </c>
      <c r="C589" s="144" t="s">
        <v>1178</v>
      </c>
      <c r="D589" s="143" t="s">
        <v>21</v>
      </c>
      <c r="E589" s="109"/>
      <c r="F589" s="109"/>
      <c r="G589" s="110">
        <v>64</v>
      </c>
      <c r="H589" s="3">
        <f t="shared" si="27"/>
        <v>0</v>
      </c>
      <c r="I589" s="3">
        <f t="shared" si="28"/>
        <v>0</v>
      </c>
      <c r="J589" s="110">
        <f t="shared" si="29"/>
        <v>64</v>
      </c>
      <c r="K589" s="110"/>
      <c r="L589" s="110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  <c r="AJ589" s="111"/>
      <c r="AK589" s="111"/>
      <c r="AL589" s="111"/>
      <c r="AM589" s="111"/>
      <c r="AN589" s="111"/>
      <c r="AO589" s="111"/>
      <c r="AP589" s="111"/>
      <c r="AQ589" s="111"/>
      <c r="AR589" s="111"/>
      <c r="AS589" s="111"/>
      <c r="AT589" s="111"/>
      <c r="AU589" s="111"/>
      <c r="AV589" s="111"/>
      <c r="AW589" s="111"/>
      <c r="AX589" s="111"/>
      <c r="AY589" s="111"/>
      <c r="AZ589" s="111"/>
      <c r="BA589" s="111"/>
      <c r="BB589" s="111"/>
      <c r="BC589" s="111"/>
      <c r="BD589" s="111"/>
      <c r="BE589" s="111"/>
      <c r="BF589" s="111"/>
      <c r="BG589" s="111"/>
      <c r="BH589" s="111"/>
      <c r="BI589" s="111"/>
      <c r="BJ589" s="111"/>
      <c r="BK589" s="111"/>
      <c r="BL589" s="111"/>
      <c r="BM589" s="111"/>
      <c r="BN589" s="111"/>
      <c r="BO589" s="111"/>
      <c r="BP589" s="111"/>
      <c r="BQ589" s="111"/>
      <c r="BR589" s="111"/>
      <c r="BS589" s="111"/>
      <c r="BT589" s="111"/>
      <c r="BU589" s="111"/>
      <c r="BV589" s="111"/>
    </row>
    <row r="590" spans="1:74" s="50" customFormat="1" ht="15" hidden="1" customHeight="1">
      <c r="A590" s="142">
        <v>586</v>
      </c>
      <c r="B590" s="143" t="s">
        <v>1179</v>
      </c>
      <c r="C590" s="144" t="s">
        <v>1180</v>
      </c>
      <c r="D590" s="143" t="s">
        <v>21</v>
      </c>
      <c r="E590" s="109"/>
      <c r="F590" s="109"/>
      <c r="G590" s="110">
        <v>65</v>
      </c>
      <c r="H590" s="3">
        <f t="shared" si="27"/>
        <v>0</v>
      </c>
      <c r="I590" s="3">
        <f t="shared" si="28"/>
        <v>0</v>
      </c>
      <c r="J590" s="110">
        <f t="shared" si="29"/>
        <v>65</v>
      </c>
      <c r="K590" s="110"/>
      <c r="L590" s="110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  <c r="AJ590" s="111"/>
      <c r="AK590" s="111"/>
      <c r="AL590" s="111"/>
      <c r="AM590" s="111"/>
      <c r="AN590" s="111"/>
      <c r="AO590" s="111"/>
      <c r="AP590" s="111"/>
      <c r="AQ590" s="111"/>
      <c r="AR590" s="111"/>
      <c r="AS590" s="111"/>
      <c r="AT590" s="111"/>
      <c r="AU590" s="111"/>
      <c r="AV590" s="111"/>
      <c r="AW590" s="111"/>
      <c r="AX590" s="111"/>
      <c r="AY590" s="111"/>
      <c r="AZ590" s="111"/>
      <c r="BA590" s="111"/>
      <c r="BB590" s="111"/>
      <c r="BC590" s="111"/>
      <c r="BD590" s="111"/>
      <c r="BE590" s="111"/>
      <c r="BF590" s="111"/>
      <c r="BG590" s="111"/>
      <c r="BH590" s="111"/>
      <c r="BI590" s="111"/>
      <c r="BJ590" s="111"/>
      <c r="BK590" s="111"/>
      <c r="BL590" s="111"/>
      <c r="BM590" s="111"/>
      <c r="BN590" s="111"/>
      <c r="BO590" s="111"/>
      <c r="BP590" s="111"/>
      <c r="BQ590" s="111"/>
      <c r="BR590" s="111"/>
      <c r="BS590" s="111"/>
      <c r="BT590" s="111"/>
      <c r="BU590" s="111"/>
      <c r="BV590" s="111"/>
    </row>
    <row r="591" spans="1:74" s="50" customFormat="1" ht="15" hidden="1" customHeight="1">
      <c r="A591" s="142">
        <v>587</v>
      </c>
      <c r="B591" s="143" t="s">
        <v>1181</v>
      </c>
      <c r="C591" s="144" t="s">
        <v>1182</v>
      </c>
      <c r="D591" s="143" t="s">
        <v>21</v>
      </c>
      <c r="E591" s="109"/>
      <c r="F591" s="109"/>
      <c r="G591" s="108">
        <v>4</v>
      </c>
      <c r="H591" s="26">
        <f t="shared" si="27"/>
        <v>0</v>
      </c>
      <c r="I591" s="26">
        <f t="shared" si="28"/>
        <v>0</v>
      </c>
      <c r="J591" s="108">
        <f t="shared" si="29"/>
        <v>4</v>
      </c>
      <c r="K591" s="108"/>
      <c r="L591" s="108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  <c r="AJ591" s="111"/>
      <c r="AK591" s="111"/>
      <c r="AL591" s="111"/>
      <c r="AM591" s="111"/>
      <c r="AN591" s="111"/>
      <c r="AO591" s="111"/>
      <c r="AP591" s="111"/>
      <c r="AQ591" s="111"/>
      <c r="AR591" s="111"/>
      <c r="AS591" s="111"/>
      <c r="AT591" s="111"/>
      <c r="AU591" s="111"/>
      <c r="AV591" s="111"/>
      <c r="AW591" s="111"/>
      <c r="AX591" s="111"/>
      <c r="AY591" s="111"/>
      <c r="AZ591" s="111"/>
      <c r="BA591" s="111"/>
      <c r="BB591" s="111"/>
      <c r="BC591" s="111"/>
      <c r="BD591" s="111"/>
      <c r="BE591" s="111"/>
      <c r="BF591" s="111"/>
      <c r="BG591" s="111"/>
      <c r="BH591" s="111"/>
      <c r="BI591" s="111"/>
      <c r="BJ591" s="111"/>
      <c r="BK591" s="111"/>
      <c r="BL591" s="111"/>
      <c r="BM591" s="111"/>
      <c r="BN591" s="111"/>
      <c r="BO591" s="111"/>
      <c r="BP591" s="111"/>
      <c r="BQ591" s="111"/>
      <c r="BR591" s="111"/>
      <c r="BS591" s="111"/>
      <c r="BT591" s="111"/>
      <c r="BU591" s="111"/>
      <c r="BV591" s="111"/>
    </row>
    <row r="592" spans="1:74" s="50" customFormat="1" ht="15" hidden="1" customHeight="1">
      <c r="A592" s="142">
        <v>588</v>
      </c>
      <c r="B592" s="143" t="s">
        <v>1183</v>
      </c>
      <c r="C592" s="144" t="s">
        <v>1184</v>
      </c>
      <c r="D592" s="143" t="s">
        <v>21</v>
      </c>
      <c r="E592" s="109"/>
      <c r="F592" s="109"/>
      <c r="G592" s="110">
        <v>14</v>
      </c>
      <c r="H592" s="3">
        <f t="shared" si="27"/>
        <v>0</v>
      </c>
      <c r="I592" s="3">
        <f t="shared" si="28"/>
        <v>0</v>
      </c>
      <c r="J592" s="110">
        <f t="shared" si="29"/>
        <v>14</v>
      </c>
      <c r="K592" s="110"/>
      <c r="L592" s="110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  <c r="AJ592" s="111"/>
      <c r="AK592" s="111"/>
      <c r="AL592" s="111"/>
      <c r="AM592" s="111"/>
      <c r="AN592" s="111"/>
      <c r="AO592" s="111"/>
      <c r="AP592" s="111"/>
      <c r="AQ592" s="111"/>
      <c r="AR592" s="111"/>
      <c r="AS592" s="111"/>
      <c r="AT592" s="111"/>
      <c r="AU592" s="111"/>
      <c r="AV592" s="111"/>
      <c r="AW592" s="111"/>
      <c r="AX592" s="111"/>
      <c r="AY592" s="111"/>
      <c r="AZ592" s="111"/>
      <c r="BA592" s="111"/>
      <c r="BB592" s="111"/>
      <c r="BC592" s="111"/>
      <c r="BD592" s="111"/>
      <c r="BE592" s="111"/>
      <c r="BF592" s="111"/>
      <c r="BG592" s="111"/>
      <c r="BH592" s="111"/>
      <c r="BI592" s="111"/>
      <c r="BJ592" s="111"/>
      <c r="BK592" s="111"/>
      <c r="BL592" s="111"/>
      <c r="BM592" s="111"/>
      <c r="BN592" s="111"/>
      <c r="BO592" s="111"/>
      <c r="BP592" s="111"/>
      <c r="BQ592" s="111"/>
      <c r="BR592" s="111"/>
      <c r="BS592" s="111"/>
      <c r="BT592" s="111"/>
      <c r="BU592" s="111"/>
      <c r="BV592" s="111"/>
    </row>
    <row r="593" spans="1:74" s="50" customFormat="1" ht="15" hidden="1" customHeight="1">
      <c r="A593" s="142">
        <v>589</v>
      </c>
      <c r="B593" s="147" t="s">
        <v>1185</v>
      </c>
      <c r="C593" s="148" t="s">
        <v>1186</v>
      </c>
      <c r="D593" s="147" t="s">
        <v>21</v>
      </c>
      <c r="E593" s="254"/>
      <c r="F593" s="254"/>
      <c r="G593" s="145">
        <v>562</v>
      </c>
      <c r="H593" s="126">
        <f t="shared" si="27"/>
        <v>0</v>
      </c>
      <c r="I593" s="126">
        <f t="shared" si="28"/>
        <v>0</v>
      </c>
      <c r="J593" s="145">
        <f t="shared" si="29"/>
        <v>562</v>
      </c>
      <c r="K593" s="145"/>
      <c r="L593" s="145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  <c r="AJ593" s="111"/>
      <c r="AK593" s="111"/>
      <c r="AL593" s="111"/>
      <c r="AM593" s="111"/>
      <c r="AN593" s="111"/>
      <c r="AO593" s="111"/>
      <c r="AP593" s="111"/>
      <c r="AQ593" s="111"/>
      <c r="AR593" s="111"/>
      <c r="AS593" s="111"/>
      <c r="AT593" s="111"/>
      <c r="AU593" s="111"/>
      <c r="AV593" s="111"/>
      <c r="AW593" s="111"/>
      <c r="AX593" s="111"/>
      <c r="AY593" s="111"/>
      <c r="AZ593" s="111"/>
      <c r="BA593" s="111"/>
      <c r="BB593" s="111"/>
      <c r="BC593" s="111"/>
      <c r="BD593" s="111"/>
      <c r="BE593" s="111"/>
      <c r="BF593" s="111"/>
      <c r="BG593" s="111"/>
      <c r="BH593" s="111"/>
      <c r="BI593" s="111"/>
      <c r="BJ593" s="111"/>
      <c r="BK593" s="111"/>
      <c r="BL593" s="111"/>
      <c r="BM593" s="111"/>
      <c r="BN593" s="111"/>
      <c r="BO593" s="111"/>
      <c r="BP593" s="111"/>
      <c r="BQ593" s="111"/>
      <c r="BR593" s="111"/>
      <c r="BS593" s="111"/>
      <c r="BT593" s="111"/>
      <c r="BU593" s="111"/>
      <c r="BV593" s="111"/>
    </row>
    <row r="594" spans="1:74" s="50" customFormat="1" ht="15" hidden="1" customHeight="1">
      <c r="A594" s="142">
        <v>590</v>
      </c>
      <c r="B594" s="143" t="s">
        <v>1187</v>
      </c>
      <c r="C594" s="144" t="s">
        <v>1188</v>
      </c>
      <c r="D594" s="143" t="s">
        <v>21</v>
      </c>
      <c r="E594" s="109"/>
      <c r="F594" s="109"/>
      <c r="G594" s="110">
        <v>30</v>
      </c>
      <c r="H594" s="3">
        <f t="shared" si="27"/>
        <v>0</v>
      </c>
      <c r="I594" s="3">
        <f t="shared" si="28"/>
        <v>0</v>
      </c>
      <c r="J594" s="110">
        <f t="shared" si="29"/>
        <v>30</v>
      </c>
      <c r="K594" s="110"/>
      <c r="L594" s="110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/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/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/>
      <c r="BP594" s="111"/>
      <c r="BQ594" s="111"/>
      <c r="BR594" s="111"/>
      <c r="BS594" s="111"/>
      <c r="BT594" s="111"/>
      <c r="BU594" s="111"/>
      <c r="BV594" s="111"/>
    </row>
    <row r="595" spans="1:74" s="92" customFormat="1" ht="15" hidden="1" customHeight="1">
      <c r="A595" s="109">
        <v>591</v>
      </c>
      <c r="B595" s="26" t="s">
        <v>1189</v>
      </c>
      <c r="C595" s="27" t="s">
        <v>1190</v>
      </c>
      <c r="D595" s="26" t="s">
        <v>21</v>
      </c>
      <c r="E595" s="109"/>
      <c r="F595" s="109"/>
      <c r="G595" s="108">
        <v>15000</v>
      </c>
      <c r="H595" s="26">
        <f t="shared" si="27"/>
        <v>0</v>
      </c>
      <c r="I595" s="26">
        <f t="shared" si="28"/>
        <v>0</v>
      </c>
      <c r="J595" s="108">
        <f t="shared" si="29"/>
        <v>15000</v>
      </c>
      <c r="K595" s="108"/>
      <c r="L595" s="108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  <c r="AO595" s="109"/>
      <c r="AP595" s="109"/>
      <c r="AQ595" s="109"/>
      <c r="AR595" s="109"/>
      <c r="AS595" s="109"/>
      <c r="AT595" s="109"/>
      <c r="AU595" s="109"/>
      <c r="AV595" s="109"/>
      <c r="AW595" s="109"/>
      <c r="AX595" s="109"/>
      <c r="AY595" s="109"/>
      <c r="AZ595" s="109"/>
      <c r="BA595" s="109"/>
      <c r="BB595" s="109"/>
      <c r="BC595" s="109"/>
      <c r="BD595" s="109"/>
      <c r="BE595" s="109"/>
      <c r="BF595" s="109"/>
      <c r="BG595" s="109"/>
      <c r="BH595" s="109"/>
      <c r="BI595" s="109"/>
      <c r="BJ595" s="109"/>
      <c r="BK595" s="109"/>
      <c r="BL595" s="109"/>
      <c r="BM595" s="109"/>
      <c r="BN595" s="109"/>
      <c r="BO595" s="109"/>
      <c r="BP595" s="109"/>
      <c r="BQ595" s="109"/>
      <c r="BR595" s="109"/>
      <c r="BS595" s="109"/>
      <c r="BT595" s="109"/>
      <c r="BU595" s="109"/>
      <c r="BV595" s="109"/>
    </row>
    <row r="596" spans="1:74" s="50" customFormat="1" ht="15" hidden="1" customHeight="1">
      <c r="A596" s="109">
        <v>592</v>
      </c>
      <c r="B596" s="26" t="s">
        <v>1191</v>
      </c>
      <c r="C596" s="27" t="s">
        <v>1192</v>
      </c>
      <c r="D596" s="26" t="s">
        <v>21</v>
      </c>
      <c r="E596" s="109"/>
      <c r="F596" s="109"/>
      <c r="G596" s="110">
        <v>2149</v>
      </c>
      <c r="H596" s="3">
        <f t="shared" si="27"/>
        <v>0</v>
      </c>
      <c r="I596" s="3">
        <f t="shared" si="28"/>
        <v>0</v>
      </c>
      <c r="J596" s="110">
        <f t="shared" si="29"/>
        <v>2149</v>
      </c>
      <c r="K596" s="110"/>
      <c r="L596" s="110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  <c r="AJ596" s="111"/>
      <c r="AK596" s="111"/>
      <c r="AL596" s="111"/>
      <c r="AM596" s="111"/>
      <c r="AN596" s="111"/>
      <c r="AO596" s="111"/>
      <c r="AP596" s="111"/>
      <c r="AQ596" s="111"/>
      <c r="AR596" s="111"/>
      <c r="AS596" s="111"/>
      <c r="AT596" s="111"/>
      <c r="AU596" s="111"/>
      <c r="AV596" s="111"/>
      <c r="AW596" s="111"/>
      <c r="AX596" s="111"/>
      <c r="AY596" s="111"/>
      <c r="AZ596" s="111"/>
      <c r="BA596" s="111"/>
      <c r="BB596" s="111"/>
      <c r="BC596" s="111"/>
      <c r="BD596" s="111"/>
      <c r="BE596" s="111"/>
      <c r="BF596" s="111"/>
      <c r="BG596" s="111"/>
      <c r="BH596" s="111"/>
      <c r="BI596" s="111"/>
      <c r="BJ596" s="111"/>
      <c r="BK596" s="111"/>
      <c r="BL596" s="111"/>
      <c r="BM596" s="111"/>
      <c r="BN596" s="111"/>
      <c r="BO596" s="111"/>
      <c r="BP596" s="111"/>
      <c r="BQ596" s="111"/>
      <c r="BR596" s="111"/>
      <c r="BS596" s="111"/>
      <c r="BT596" s="111"/>
      <c r="BU596" s="111"/>
      <c r="BV596" s="111"/>
    </row>
    <row r="597" spans="1:74" s="50" customFormat="1" ht="15" hidden="1" customHeight="1">
      <c r="A597" s="142">
        <v>593</v>
      </c>
      <c r="B597" s="143" t="s">
        <v>1193</v>
      </c>
      <c r="C597" s="144" t="s">
        <v>1194</v>
      </c>
      <c r="D597" s="143" t="s">
        <v>21</v>
      </c>
      <c r="E597" s="109"/>
      <c r="F597" s="109"/>
      <c r="G597" s="110">
        <v>2</v>
      </c>
      <c r="H597" s="3">
        <f t="shared" si="27"/>
        <v>0</v>
      </c>
      <c r="I597" s="3">
        <f t="shared" si="28"/>
        <v>0</v>
      </c>
      <c r="J597" s="110">
        <f t="shared" si="29"/>
        <v>2</v>
      </c>
      <c r="K597" s="110"/>
      <c r="L597" s="110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/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/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/>
      <c r="BP597" s="111"/>
      <c r="BQ597" s="111"/>
      <c r="BR597" s="111"/>
      <c r="BS597" s="111"/>
      <c r="BT597" s="111"/>
      <c r="BU597" s="111"/>
      <c r="BV597" s="111"/>
    </row>
    <row r="598" spans="1:74" s="50" customFormat="1" ht="15" hidden="1" customHeight="1">
      <c r="A598" s="109">
        <v>594</v>
      </c>
      <c r="B598" s="26" t="s">
        <v>1195</v>
      </c>
      <c r="C598" s="27" t="s">
        <v>1196</v>
      </c>
      <c r="D598" s="26" t="s">
        <v>21</v>
      </c>
      <c r="E598" s="109"/>
      <c r="F598" s="109"/>
      <c r="G598" s="110">
        <v>2</v>
      </c>
      <c r="H598" s="3">
        <f t="shared" si="27"/>
        <v>0</v>
      </c>
      <c r="I598" s="3">
        <f t="shared" si="28"/>
        <v>0</v>
      </c>
      <c r="J598" s="110">
        <f t="shared" si="29"/>
        <v>2</v>
      </c>
      <c r="K598" s="110"/>
      <c r="L598" s="110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  <c r="AJ598" s="111"/>
      <c r="AK598" s="111"/>
      <c r="AL598" s="111"/>
      <c r="AM598" s="111"/>
      <c r="AN598" s="111"/>
      <c r="AO598" s="111"/>
      <c r="AP598" s="111"/>
      <c r="AQ598" s="111"/>
      <c r="AR598" s="111"/>
      <c r="AS598" s="111"/>
      <c r="AT598" s="111"/>
      <c r="AU598" s="111"/>
      <c r="AV598" s="111"/>
      <c r="AW598" s="111"/>
      <c r="AX598" s="111"/>
      <c r="AY598" s="111"/>
      <c r="AZ598" s="111"/>
      <c r="BA598" s="111"/>
      <c r="BB598" s="111"/>
      <c r="BC598" s="111"/>
      <c r="BD598" s="111"/>
      <c r="BE598" s="111"/>
      <c r="BF598" s="111"/>
      <c r="BG598" s="111"/>
      <c r="BH598" s="111"/>
      <c r="BI598" s="111"/>
      <c r="BJ598" s="111"/>
      <c r="BK598" s="111"/>
      <c r="BL598" s="111"/>
      <c r="BM598" s="111"/>
      <c r="BN598" s="111"/>
      <c r="BO598" s="111"/>
      <c r="BP598" s="111"/>
      <c r="BQ598" s="111"/>
      <c r="BR598" s="111"/>
      <c r="BS598" s="111"/>
      <c r="BT598" s="111"/>
      <c r="BU598" s="111"/>
      <c r="BV598" s="111"/>
    </row>
    <row r="599" spans="1:74" s="50" customFormat="1" ht="15" hidden="1" customHeight="1">
      <c r="A599" s="109">
        <v>595</v>
      </c>
      <c r="B599" s="119" t="s">
        <v>1197</v>
      </c>
      <c r="C599" s="120" t="s">
        <v>1198</v>
      </c>
      <c r="D599" s="26" t="s">
        <v>21</v>
      </c>
      <c r="E599" s="109"/>
      <c r="F599" s="109"/>
      <c r="G599" s="110">
        <v>46</v>
      </c>
      <c r="H599" s="3">
        <f t="shared" si="27"/>
        <v>0</v>
      </c>
      <c r="I599" s="3">
        <f t="shared" si="28"/>
        <v>0</v>
      </c>
      <c r="J599" s="110">
        <f t="shared" si="29"/>
        <v>46</v>
      </c>
      <c r="K599" s="110"/>
      <c r="L599" s="110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  <c r="AJ599" s="111"/>
      <c r="AK599" s="111"/>
      <c r="AL599" s="111"/>
      <c r="AM599" s="111"/>
      <c r="AN599" s="111"/>
      <c r="AO599" s="111"/>
      <c r="AP599" s="111"/>
      <c r="AQ599" s="111"/>
      <c r="AR599" s="111"/>
      <c r="AS599" s="111"/>
      <c r="AT599" s="111"/>
      <c r="AU599" s="111"/>
      <c r="AV599" s="111"/>
      <c r="AW599" s="111"/>
      <c r="AX599" s="111"/>
      <c r="AY599" s="111"/>
      <c r="AZ599" s="111"/>
      <c r="BA599" s="111"/>
      <c r="BB599" s="111"/>
      <c r="BC599" s="111"/>
      <c r="BD599" s="111"/>
      <c r="BE599" s="111"/>
      <c r="BF599" s="111"/>
      <c r="BG599" s="111"/>
      <c r="BH599" s="111"/>
      <c r="BI599" s="111"/>
      <c r="BJ599" s="111"/>
      <c r="BK599" s="111"/>
      <c r="BL599" s="111"/>
      <c r="BM599" s="111"/>
      <c r="BN599" s="111"/>
      <c r="BO599" s="111"/>
      <c r="BP599" s="111"/>
      <c r="BQ599" s="111"/>
      <c r="BR599" s="111"/>
      <c r="BS599" s="111"/>
      <c r="BT599" s="111"/>
      <c r="BU599" s="111"/>
      <c r="BV599" s="111"/>
    </row>
    <row r="600" spans="1:74" s="50" customFormat="1" ht="15" hidden="1" customHeight="1">
      <c r="A600" s="142">
        <v>596</v>
      </c>
      <c r="B600" s="143" t="s">
        <v>1199</v>
      </c>
      <c r="C600" s="144" t="s">
        <v>1200</v>
      </c>
      <c r="D600" s="143" t="s">
        <v>21</v>
      </c>
      <c r="E600" s="109"/>
      <c r="F600" s="109"/>
      <c r="G600" s="110">
        <v>3</v>
      </c>
      <c r="H600" s="3">
        <f t="shared" si="27"/>
        <v>0</v>
      </c>
      <c r="I600" s="3">
        <f t="shared" si="28"/>
        <v>0</v>
      </c>
      <c r="J600" s="110">
        <f t="shared" si="29"/>
        <v>3</v>
      </c>
      <c r="K600" s="110"/>
      <c r="L600" s="110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  <c r="AJ600" s="111"/>
      <c r="AK600" s="111"/>
      <c r="AL600" s="111"/>
      <c r="AM600" s="111"/>
      <c r="AN600" s="111"/>
      <c r="AO600" s="111"/>
      <c r="AP600" s="111"/>
      <c r="AQ600" s="111"/>
      <c r="AR600" s="111"/>
      <c r="AS600" s="111"/>
      <c r="AT600" s="111"/>
      <c r="AU600" s="111"/>
      <c r="AV600" s="111"/>
      <c r="AW600" s="111"/>
      <c r="AX600" s="111"/>
      <c r="AY600" s="111"/>
      <c r="AZ600" s="111"/>
      <c r="BA600" s="111"/>
      <c r="BB600" s="111"/>
      <c r="BC600" s="111"/>
      <c r="BD600" s="111"/>
      <c r="BE600" s="111"/>
      <c r="BF600" s="111"/>
      <c r="BG600" s="111"/>
      <c r="BH600" s="111"/>
      <c r="BI600" s="111"/>
      <c r="BJ600" s="111"/>
      <c r="BK600" s="111"/>
      <c r="BL600" s="111"/>
      <c r="BM600" s="111"/>
      <c r="BN600" s="111"/>
      <c r="BO600" s="111"/>
      <c r="BP600" s="111"/>
      <c r="BQ600" s="111"/>
      <c r="BR600" s="111"/>
      <c r="BS600" s="111"/>
      <c r="BT600" s="111"/>
      <c r="BU600" s="111"/>
      <c r="BV600" s="111"/>
    </row>
    <row r="601" spans="1:74" s="50" customFormat="1" ht="15" hidden="1" customHeight="1">
      <c r="A601" s="111">
        <v>597</v>
      </c>
      <c r="B601" s="111" t="s">
        <v>1201</v>
      </c>
      <c r="C601" s="272" t="s">
        <v>1202</v>
      </c>
      <c r="D601" s="3" t="s">
        <v>21</v>
      </c>
      <c r="E601" s="111"/>
      <c r="F601" s="111"/>
      <c r="G601" s="110">
        <v>1</v>
      </c>
      <c r="H601" s="3">
        <f t="shared" si="27"/>
        <v>0</v>
      </c>
      <c r="I601" s="3">
        <f t="shared" si="28"/>
        <v>0</v>
      </c>
      <c r="J601" s="110">
        <f t="shared" si="29"/>
        <v>1</v>
      </c>
      <c r="K601" s="110"/>
      <c r="L601" s="110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  <c r="AJ601" s="111"/>
      <c r="AK601" s="111"/>
      <c r="AL601" s="111"/>
      <c r="AM601" s="111"/>
      <c r="AN601" s="111"/>
      <c r="AO601" s="111"/>
      <c r="AP601" s="111"/>
      <c r="AQ601" s="111"/>
      <c r="AR601" s="111"/>
      <c r="AS601" s="111"/>
      <c r="AT601" s="111"/>
      <c r="AU601" s="111"/>
      <c r="AV601" s="111"/>
      <c r="AW601" s="111"/>
      <c r="AX601" s="111"/>
      <c r="AY601" s="111"/>
      <c r="AZ601" s="111"/>
      <c r="BA601" s="111"/>
      <c r="BB601" s="111"/>
      <c r="BC601" s="111"/>
      <c r="BD601" s="111"/>
      <c r="BE601" s="111"/>
      <c r="BF601" s="111"/>
      <c r="BG601" s="111"/>
      <c r="BH601" s="111"/>
      <c r="BI601" s="111"/>
      <c r="BJ601" s="111"/>
      <c r="BK601" s="111"/>
      <c r="BL601" s="111"/>
      <c r="BM601" s="111"/>
      <c r="BN601" s="111"/>
      <c r="BO601" s="111"/>
      <c r="BP601" s="111"/>
      <c r="BQ601" s="111"/>
      <c r="BR601" s="111"/>
      <c r="BS601" s="111"/>
      <c r="BT601" s="111"/>
      <c r="BU601" s="111"/>
      <c r="BV601" s="111"/>
    </row>
    <row r="602" spans="1:74" s="50" customFormat="1" ht="15" hidden="1" customHeight="1">
      <c r="A602" s="111">
        <v>598</v>
      </c>
      <c r="B602" s="3" t="s">
        <v>1203</v>
      </c>
      <c r="C602" s="17" t="s">
        <v>1204</v>
      </c>
      <c r="D602" s="3" t="s">
        <v>21</v>
      </c>
      <c r="E602" s="111"/>
      <c r="F602" s="111"/>
      <c r="G602" s="110">
        <v>1</v>
      </c>
      <c r="H602" s="3">
        <f t="shared" si="27"/>
        <v>0</v>
      </c>
      <c r="I602" s="3">
        <f t="shared" si="28"/>
        <v>0</v>
      </c>
      <c r="J602" s="110">
        <f t="shared" si="29"/>
        <v>1</v>
      </c>
      <c r="K602" s="110"/>
      <c r="L602" s="110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  <c r="AJ602" s="111"/>
      <c r="AK602" s="111"/>
      <c r="AL602" s="111"/>
      <c r="AM602" s="111"/>
      <c r="AN602" s="111"/>
      <c r="AO602" s="111"/>
      <c r="AP602" s="111"/>
      <c r="AQ602" s="111"/>
      <c r="AR602" s="111"/>
      <c r="AS602" s="111"/>
      <c r="AT602" s="111"/>
      <c r="AU602" s="111"/>
      <c r="AV602" s="111"/>
      <c r="AW602" s="111"/>
      <c r="AX602" s="111"/>
      <c r="AY602" s="111"/>
      <c r="AZ602" s="111"/>
      <c r="BA602" s="111"/>
      <c r="BB602" s="111"/>
      <c r="BC602" s="111"/>
      <c r="BD602" s="111"/>
      <c r="BE602" s="111"/>
      <c r="BF602" s="111"/>
      <c r="BG602" s="111"/>
      <c r="BH602" s="111"/>
      <c r="BI602" s="111"/>
      <c r="BJ602" s="111"/>
      <c r="BK602" s="111"/>
      <c r="BL602" s="111"/>
      <c r="BM602" s="111"/>
      <c r="BN602" s="111"/>
      <c r="BO602" s="111"/>
      <c r="BP602" s="111"/>
      <c r="BQ602" s="111"/>
      <c r="BR602" s="111"/>
      <c r="BS602" s="111"/>
      <c r="BT602" s="111"/>
      <c r="BU602" s="111"/>
      <c r="BV602" s="111"/>
    </row>
    <row r="603" spans="1:74" s="50" customFormat="1" ht="15" hidden="1" customHeight="1">
      <c r="A603" s="142">
        <v>599</v>
      </c>
      <c r="B603" s="143" t="s">
        <v>1205</v>
      </c>
      <c r="C603" s="144" t="s">
        <v>1206</v>
      </c>
      <c r="D603" s="143" t="s">
        <v>21</v>
      </c>
      <c r="E603" s="109"/>
      <c r="F603" s="109"/>
      <c r="G603" s="110">
        <v>92</v>
      </c>
      <c r="H603" s="3">
        <f t="shared" si="27"/>
        <v>0</v>
      </c>
      <c r="I603" s="3">
        <f t="shared" si="28"/>
        <v>86</v>
      </c>
      <c r="J603" s="110">
        <f>G603+H603-I603</f>
        <v>6</v>
      </c>
      <c r="K603" s="110"/>
      <c r="L603" s="110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>
        <v>12</v>
      </c>
      <c r="Y603" s="111"/>
      <c r="Z603" s="111"/>
      <c r="AA603" s="111"/>
      <c r="AB603" s="111">
        <v>26</v>
      </c>
      <c r="AC603" s="111"/>
      <c r="AD603" s="111"/>
      <c r="AE603" s="111"/>
      <c r="AF603" s="111"/>
      <c r="AG603" s="111"/>
      <c r="AH603" s="111"/>
      <c r="AI603" s="111"/>
      <c r="AJ603" s="111"/>
      <c r="AK603" s="111"/>
      <c r="AL603" s="111"/>
      <c r="AM603" s="111"/>
      <c r="AN603" s="111">
        <v>48</v>
      </c>
      <c r="AO603" s="111"/>
      <c r="AP603" s="111"/>
      <c r="AQ603" s="111"/>
      <c r="AR603" s="111"/>
      <c r="AS603" s="111"/>
      <c r="AT603" s="111"/>
      <c r="AU603" s="111"/>
      <c r="AV603" s="111"/>
      <c r="AW603" s="111"/>
      <c r="AX603" s="111"/>
      <c r="AY603" s="111"/>
      <c r="AZ603" s="111"/>
      <c r="BA603" s="111"/>
      <c r="BB603" s="111"/>
      <c r="BC603" s="111"/>
      <c r="BD603" s="111"/>
      <c r="BE603" s="111"/>
      <c r="BF603" s="111"/>
      <c r="BG603" s="111"/>
      <c r="BH603" s="111"/>
      <c r="BI603" s="111"/>
      <c r="BJ603" s="111"/>
      <c r="BK603" s="111"/>
      <c r="BL603" s="111"/>
      <c r="BM603" s="111"/>
      <c r="BN603" s="111"/>
      <c r="BO603" s="111"/>
      <c r="BP603" s="111"/>
      <c r="BQ603" s="111"/>
      <c r="BR603" s="111"/>
      <c r="BS603" s="111"/>
      <c r="BT603" s="111"/>
      <c r="BU603" s="111"/>
      <c r="BV603" s="111"/>
    </row>
    <row r="604" spans="1:74" s="50" customFormat="1" ht="15" hidden="1" customHeight="1">
      <c r="A604" s="142">
        <v>600</v>
      </c>
      <c r="B604" s="143" t="s">
        <v>1207</v>
      </c>
      <c r="C604" s="144" t="s">
        <v>1208</v>
      </c>
      <c r="D604" s="143" t="s">
        <v>21</v>
      </c>
      <c r="E604" s="109"/>
      <c r="F604" s="109"/>
      <c r="G604" s="110">
        <v>92</v>
      </c>
      <c r="H604" s="3">
        <f t="shared" si="27"/>
        <v>0</v>
      </c>
      <c r="I604" s="3">
        <f t="shared" si="28"/>
        <v>86</v>
      </c>
      <c r="J604" s="110">
        <f>G604+H604-I604</f>
        <v>6</v>
      </c>
      <c r="K604" s="110"/>
      <c r="L604" s="110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>
        <v>12</v>
      </c>
      <c r="Y604" s="111"/>
      <c r="Z604" s="111"/>
      <c r="AA604" s="111"/>
      <c r="AB604" s="111">
        <v>26</v>
      </c>
      <c r="AC604" s="111"/>
      <c r="AD604" s="111"/>
      <c r="AE604" s="111"/>
      <c r="AF604" s="111"/>
      <c r="AG604" s="111"/>
      <c r="AH604" s="111"/>
      <c r="AI604" s="111"/>
      <c r="AJ604" s="111"/>
      <c r="AK604" s="111"/>
      <c r="AL604" s="111"/>
      <c r="AM604" s="111"/>
      <c r="AN604" s="111">
        <v>48</v>
      </c>
      <c r="AO604" s="111"/>
      <c r="AP604" s="111"/>
      <c r="AQ604" s="111"/>
      <c r="AR604" s="111"/>
      <c r="AS604" s="111"/>
      <c r="AT604" s="111"/>
      <c r="AU604" s="111"/>
      <c r="AV604" s="111"/>
      <c r="AW604" s="111"/>
      <c r="AX604" s="111"/>
      <c r="AY604" s="111"/>
      <c r="AZ604" s="111"/>
      <c r="BA604" s="111"/>
      <c r="BB604" s="111"/>
      <c r="BC604" s="111"/>
      <c r="BD604" s="111"/>
      <c r="BE604" s="111"/>
      <c r="BF604" s="111"/>
      <c r="BG604" s="111"/>
      <c r="BH604" s="111"/>
      <c r="BI604" s="111"/>
      <c r="BJ604" s="111"/>
      <c r="BK604" s="111"/>
      <c r="BL604" s="111"/>
      <c r="BM604" s="111"/>
      <c r="BN604" s="111"/>
      <c r="BO604" s="111"/>
      <c r="BP604" s="111"/>
      <c r="BQ604" s="111"/>
      <c r="BR604" s="111"/>
      <c r="BS604" s="111"/>
      <c r="BT604" s="111"/>
      <c r="BU604" s="111"/>
      <c r="BV604" s="111"/>
    </row>
    <row r="605" spans="1:74" s="50" customFormat="1" ht="15" hidden="1" customHeight="1">
      <c r="A605" s="111">
        <v>601</v>
      </c>
      <c r="B605" s="3" t="s">
        <v>1209</v>
      </c>
      <c r="C605" s="17" t="s">
        <v>1210</v>
      </c>
      <c r="D605" s="3" t="s">
        <v>21</v>
      </c>
      <c r="E605" s="111"/>
      <c r="F605" s="111"/>
      <c r="G605" s="110">
        <v>3</v>
      </c>
      <c r="H605" s="3">
        <f t="shared" si="27"/>
        <v>0</v>
      </c>
      <c r="I605" s="3">
        <f t="shared" si="28"/>
        <v>0</v>
      </c>
      <c r="J605" s="110">
        <f t="shared" si="29"/>
        <v>3</v>
      </c>
      <c r="K605" s="110"/>
      <c r="L605" s="110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  <c r="AJ605" s="111"/>
      <c r="AK605" s="111"/>
      <c r="AL605" s="111"/>
      <c r="AM605" s="111"/>
      <c r="AN605" s="111"/>
      <c r="AO605" s="111"/>
      <c r="AP605" s="111"/>
      <c r="AQ605" s="111"/>
      <c r="AR605" s="111"/>
      <c r="AS605" s="111"/>
      <c r="AT605" s="111"/>
      <c r="AU605" s="111"/>
      <c r="AV605" s="111"/>
      <c r="AW605" s="111"/>
      <c r="AX605" s="111"/>
      <c r="AY605" s="111"/>
      <c r="AZ605" s="111"/>
      <c r="BA605" s="111"/>
      <c r="BB605" s="111"/>
      <c r="BC605" s="111"/>
      <c r="BD605" s="111"/>
      <c r="BE605" s="111"/>
      <c r="BF605" s="111"/>
      <c r="BG605" s="111"/>
      <c r="BH605" s="111"/>
      <c r="BI605" s="111"/>
      <c r="BJ605" s="111"/>
      <c r="BK605" s="111"/>
      <c r="BL605" s="111"/>
      <c r="BM605" s="111"/>
      <c r="BN605" s="111"/>
      <c r="BO605" s="111"/>
      <c r="BP605" s="111"/>
      <c r="BQ605" s="111"/>
      <c r="BR605" s="111"/>
      <c r="BS605" s="111"/>
      <c r="BT605" s="111"/>
      <c r="BU605" s="111"/>
      <c r="BV605" s="111"/>
    </row>
    <row r="606" spans="1:74" s="50" customFormat="1" ht="15" hidden="1" customHeight="1">
      <c r="A606" s="109">
        <v>602</v>
      </c>
      <c r="B606" s="116" t="s">
        <v>1211</v>
      </c>
      <c r="C606" s="113" t="s">
        <v>1212</v>
      </c>
      <c r="D606" s="26" t="s">
        <v>14</v>
      </c>
      <c r="E606" s="109"/>
      <c r="F606" s="109"/>
      <c r="G606" s="110">
        <v>36</v>
      </c>
      <c r="H606" s="3">
        <f t="shared" si="27"/>
        <v>0</v>
      </c>
      <c r="I606" s="3">
        <f t="shared" si="28"/>
        <v>0</v>
      </c>
      <c r="J606" s="110">
        <f t="shared" si="29"/>
        <v>36</v>
      </c>
      <c r="K606" s="110"/>
      <c r="L606" s="110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  <c r="AJ606" s="111"/>
      <c r="AK606" s="111"/>
      <c r="AL606" s="111"/>
      <c r="AM606" s="111"/>
      <c r="AN606" s="111"/>
      <c r="AO606" s="111"/>
      <c r="AP606" s="111"/>
      <c r="AQ606" s="111"/>
      <c r="AR606" s="111"/>
      <c r="AS606" s="111"/>
      <c r="AT606" s="111"/>
      <c r="AU606" s="111"/>
      <c r="AV606" s="111"/>
      <c r="AW606" s="111"/>
      <c r="AX606" s="111"/>
      <c r="AY606" s="111"/>
      <c r="AZ606" s="111"/>
      <c r="BA606" s="111"/>
      <c r="BB606" s="111"/>
      <c r="BC606" s="111"/>
      <c r="BD606" s="111"/>
      <c r="BE606" s="111"/>
      <c r="BF606" s="111"/>
      <c r="BG606" s="111"/>
      <c r="BH606" s="111"/>
      <c r="BI606" s="111"/>
      <c r="BJ606" s="111"/>
      <c r="BK606" s="111"/>
      <c r="BL606" s="111"/>
      <c r="BM606" s="111"/>
      <c r="BN606" s="111"/>
      <c r="BO606" s="111"/>
      <c r="BP606" s="111"/>
      <c r="BQ606" s="111"/>
      <c r="BR606" s="111"/>
      <c r="BS606" s="111"/>
      <c r="BT606" s="111"/>
      <c r="BU606" s="111"/>
      <c r="BV606" s="111"/>
    </row>
    <row r="607" spans="1:74" s="50" customFormat="1" ht="15" hidden="1" customHeight="1">
      <c r="A607" s="109">
        <v>603</v>
      </c>
      <c r="B607" s="112" t="s">
        <v>1213</v>
      </c>
      <c r="C607" s="113" t="s">
        <v>1214</v>
      </c>
      <c r="D607" s="26" t="s">
        <v>14</v>
      </c>
      <c r="E607" s="109"/>
      <c r="F607" s="109"/>
      <c r="G607" s="110">
        <v>3</v>
      </c>
      <c r="H607" s="3">
        <f t="shared" si="27"/>
        <v>0</v>
      </c>
      <c r="I607" s="3">
        <f t="shared" si="28"/>
        <v>0</v>
      </c>
      <c r="J607" s="110">
        <f t="shared" si="29"/>
        <v>3</v>
      </c>
      <c r="K607" s="110"/>
      <c r="L607" s="110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  <c r="AJ607" s="111"/>
      <c r="AK607" s="111"/>
      <c r="AL607" s="111"/>
      <c r="AM607" s="111"/>
      <c r="AN607" s="111"/>
      <c r="AO607" s="111"/>
      <c r="AP607" s="111"/>
      <c r="AQ607" s="111"/>
      <c r="AR607" s="111"/>
      <c r="AS607" s="111"/>
      <c r="AT607" s="111"/>
      <c r="AU607" s="111"/>
      <c r="AV607" s="111"/>
      <c r="AW607" s="111"/>
      <c r="AX607" s="111"/>
      <c r="AY607" s="111"/>
      <c r="AZ607" s="111"/>
      <c r="BA607" s="111"/>
      <c r="BB607" s="111"/>
      <c r="BC607" s="111"/>
      <c r="BD607" s="111"/>
      <c r="BE607" s="111"/>
      <c r="BF607" s="111"/>
      <c r="BG607" s="111"/>
      <c r="BH607" s="111"/>
      <c r="BI607" s="111"/>
      <c r="BJ607" s="111"/>
      <c r="BK607" s="111"/>
      <c r="BL607" s="111"/>
      <c r="BM607" s="111"/>
      <c r="BN607" s="111"/>
      <c r="BO607" s="111"/>
      <c r="BP607" s="111"/>
      <c r="BQ607" s="111"/>
      <c r="BR607" s="111"/>
      <c r="BS607" s="111"/>
      <c r="BT607" s="111"/>
      <c r="BU607" s="111"/>
      <c r="BV607" s="111"/>
    </row>
    <row r="608" spans="1:74" s="50" customFormat="1" ht="15" hidden="1" customHeight="1">
      <c r="A608" s="109">
        <v>604</v>
      </c>
      <c r="B608" s="112" t="s">
        <v>1215</v>
      </c>
      <c r="C608" s="113" t="s">
        <v>1216</v>
      </c>
      <c r="D608" s="26" t="s">
        <v>14</v>
      </c>
      <c r="E608" s="109"/>
      <c r="F608" s="109"/>
      <c r="G608" s="110">
        <v>1</v>
      </c>
      <c r="H608" s="3">
        <f t="shared" si="27"/>
        <v>0</v>
      </c>
      <c r="I608" s="3">
        <f t="shared" si="28"/>
        <v>0</v>
      </c>
      <c r="J608" s="110">
        <f t="shared" si="29"/>
        <v>1</v>
      </c>
      <c r="K608" s="110"/>
      <c r="L608" s="110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  <c r="AJ608" s="111"/>
      <c r="AK608" s="111"/>
      <c r="AL608" s="111"/>
      <c r="AM608" s="111"/>
      <c r="AN608" s="111"/>
      <c r="AO608" s="111"/>
      <c r="AP608" s="111"/>
      <c r="AQ608" s="111"/>
      <c r="AR608" s="111"/>
      <c r="AS608" s="111"/>
      <c r="AT608" s="111"/>
      <c r="AU608" s="111"/>
      <c r="AV608" s="111"/>
      <c r="AW608" s="111"/>
      <c r="AX608" s="111"/>
      <c r="AY608" s="111"/>
      <c r="AZ608" s="111"/>
      <c r="BA608" s="111"/>
      <c r="BB608" s="111"/>
      <c r="BC608" s="111"/>
      <c r="BD608" s="111"/>
      <c r="BE608" s="111"/>
      <c r="BF608" s="111"/>
      <c r="BG608" s="111"/>
      <c r="BH608" s="111"/>
      <c r="BI608" s="111"/>
      <c r="BJ608" s="111"/>
      <c r="BK608" s="111"/>
      <c r="BL608" s="111"/>
      <c r="BM608" s="111"/>
      <c r="BN608" s="111"/>
      <c r="BO608" s="111"/>
      <c r="BP608" s="111"/>
      <c r="BQ608" s="111"/>
      <c r="BR608" s="111"/>
      <c r="BS608" s="111"/>
      <c r="BT608" s="111"/>
      <c r="BU608" s="111"/>
      <c r="BV608" s="111"/>
    </row>
    <row r="609" spans="1:74" s="50" customFormat="1" ht="15" hidden="1" customHeight="1">
      <c r="A609" s="109">
        <v>605</v>
      </c>
      <c r="B609" s="26" t="s">
        <v>1217</v>
      </c>
      <c r="C609" s="27" t="s">
        <v>1218</v>
      </c>
      <c r="D609" s="26" t="s">
        <v>14</v>
      </c>
      <c r="E609" s="109"/>
      <c r="F609" s="109"/>
      <c r="G609" s="110">
        <v>1</v>
      </c>
      <c r="H609" s="3">
        <f t="shared" si="27"/>
        <v>0</v>
      </c>
      <c r="I609" s="3">
        <f t="shared" si="28"/>
        <v>0</v>
      </c>
      <c r="J609" s="110">
        <f t="shared" si="29"/>
        <v>1</v>
      </c>
      <c r="K609" s="110"/>
      <c r="L609" s="110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  <c r="AJ609" s="111"/>
      <c r="AK609" s="111"/>
      <c r="AL609" s="111"/>
      <c r="AM609" s="111"/>
      <c r="AN609" s="111"/>
      <c r="AO609" s="111"/>
      <c r="AP609" s="111"/>
      <c r="AQ609" s="111"/>
      <c r="AR609" s="111"/>
      <c r="AS609" s="111"/>
      <c r="AT609" s="111"/>
      <c r="AU609" s="111"/>
      <c r="AV609" s="111"/>
      <c r="AW609" s="111"/>
      <c r="AX609" s="111"/>
      <c r="AY609" s="111"/>
      <c r="AZ609" s="111"/>
      <c r="BA609" s="111"/>
      <c r="BB609" s="111"/>
      <c r="BC609" s="111"/>
      <c r="BD609" s="111"/>
      <c r="BE609" s="111"/>
      <c r="BF609" s="111"/>
      <c r="BG609" s="111"/>
      <c r="BH609" s="111"/>
      <c r="BI609" s="111"/>
      <c r="BJ609" s="111"/>
      <c r="BK609" s="111"/>
      <c r="BL609" s="111"/>
      <c r="BM609" s="111"/>
      <c r="BN609" s="111"/>
      <c r="BO609" s="111"/>
      <c r="BP609" s="111"/>
      <c r="BQ609" s="111"/>
      <c r="BR609" s="111"/>
      <c r="BS609" s="111"/>
      <c r="BT609" s="111"/>
      <c r="BU609" s="111"/>
      <c r="BV609" s="111"/>
    </row>
    <row r="610" spans="1:74" s="92" customFormat="1" ht="15" hidden="1" customHeight="1">
      <c r="A610" s="111">
        <v>606</v>
      </c>
      <c r="B610" s="3" t="s">
        <v>1219</v>
      </c>
      <c r="C610" s="17" t="s">
        <v>1220</v>
      </c>
      <c r="D610" s="3" t="s">
        <v>21</v>
      </c>
      <c r="E610" s="111"/>
      <c r="F610" s="111"/>
      <c r="G610" s="108">
        <v>18</v>
      </c>
      <c r="H610" s="26">
        <f t="shared" si="27"/>
        <v>0</v>
      </c>
      <c r="I610" s="26">
        <f t="shared" si="28"/>
        <v>0</v>
      </c>
      <c r="J610" s="108">
        <f t="shared" si="29"/>
        <v>18</v>
      </c>
      <c r="K610" s="108"/>
      <c r="L610" s="108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  <c r="AO610" s="109"/>
      <c r="AP610" s="109"/>
      <c r="AQ610" s="109"/>
      <c r="AR610" s="109"/>
      <c r="AS610" s="109"/>
      <c r="AT610" s="109"/>
      <c r="AU610" s="109"/>
      <c r="AV610" s="109"/>
      <c r="AW610" s="109"/>
      <c r="AX610" s="109"/>
      <c r="AY610" s="109"/>
      <c r="AZ610" s="109"/>
      <c r="BA610" s="109"/>
      <c r="BB610" s="109"/>
      <c r="BC610" s="109"/>
      <c r="BD610" s="109"/>
      <c r="BE610" s="109"/>
      <c r="BF610" s="109"/>
      <c r="BG610" s="109"/>
      <c r="BH610" s="109"/>
      <c r="BI610" s="109"/>
      <c r="BJ610" s="109"/>
      <c r="BK610" s="109"/>
      <c r="BL610" s="109"/>
      <c r="BM610" s="109"/>
      <c r="BN610" s="109"/>
      <c r="BO610" s="109"/>
      <c r="BP610" s="109"/>
      <c r="BQ610" s="109"/>
      <c r="BR610" s="109"/>
      <c r="BS610" s="109"/>
      <c r="BT610" s="109"/>
      <c r="BU610" s="109"/>
      <c r="BV610" s="109"/>
    </row>
    <row r="611" spans="1:74" s="50" customFormat="1" ht="15" hidden="1" customHeight="1">
      <c r="A611" s="142">
        <v>607</v>
      </c>
      <c r="B611" s="143" t="s">
        <v>1221</v>
      </c>
      <c r="C611" s="144" t="s">
        <v>1222</v>
      </c>
      <c r="D611" s="143" t="s">
        <v>21</v>
      </c>
      <c r="E611" s="111"/>
      <c r="F611" s="111"/>
      <c r="G611" s="110">
        <v>131</v>
      </c>
      <c r="H611" s="3">
        <f t="shared" si="27"/>
        <v>0</v>
      </c>
      <c r="I611" s="3">
        <f t="shared" si="28"/>
        <v>0</v>
      </c>
      <c r="J611" s="110">
        <f t="shared" si="29"/>
        <v>131</v>
      </c>
      <c r="K611" s="110"/>
      <c r="L611" s="110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  <c r="AJ611" s="111"/>
      <c r="AK611" s="111"/>
      <c r="AL611" s="111"/>
      <c r="AM611" s="111"/>
      <c r="AN611" s="111"/>
      <c r="AO611" s="111"/>
      <c r="AP611" s="111"/>
      <c r="AQ611" s="111"/>
      <c r="AR611" s="111"/>
      <c r="AS611" s="111"/>
      <c r="AT611" s="111"/>
      <c r="AU611" s="111"/>
      <c r="AV611" s="111"/>
      <c r="AW611" s="111"/>
      <c r="AX611" s="111"/>
      <c r="AY611" s="111"/>
      <c r="AZ611" s="111"/>
      <c r="BA611" s="111"/>
      <c r="BB611" s="111"/>
      <c r="BC611" s="111"/>
      <c r="BD611" s="111"/>
      <c r="BE611" s="111"/>
      <c r="BF611" s="111"/>
      <c r="BG611" s="111"/>
      <c r="BH611" s="111"/>
      <c r="BI611" s="111"/>
      <c r="BJ611" s="111"/>
      <c r="BK611" s="111"/>
      <c r="BL611" s="111"/>
      <c r="BM611" s="111"/>
      <c r="BN611" s="111"/>
      <c r="BO611" s="111"/>
      <c r="BP611" s="111"/>
      <c r="BQ611" s="111"/>
      <c r="BR611" s="111"/>
      <c r="BS611" s="111"/>
      <c r="BT611" s="111"/>
      <c r="BU611" s="111"/>
      <c r="BV611" s="111"/>
    </row>
    <row r="612" spans="1:74" s="50" customFormat="1" ht="15" hidden="1" customHeight="1">
      <c r="A612" s="111">
        <v>608</v>
      </c>
      <c r="B612" s="3" t="s">
        <v>1223</v>
      </c>
      <c r="C612" s="17" t="s">
        <v>1224</v>
      </c>
      <c r="D612" s="3" t="s">
        <v>21</v>
      </c>
      <c r="E612" s="111"/>
      <c r="F612" s="111"/>
      <c r="G612" s="110">
        <v>9</v>
      </c>
      <c r="H612" s="3">
        <f t="shared" si="27"/>
        <v>0</v>
      </c>
      <c r="I612" s="3">
        <f t="shared" si="28"/>
        <v>0</v>
      </c>
      <c r="J612" s="110">
        <f t="shared" si="29"/>
        <v>9</v>
      </c>
      <c r="K612" s="110"/>
      <c r="L612" s="110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  <c r="AJ612" s="111"/>
      <c r="AK612" s="111"/>
      <c r="AL612" s="111"/>
      <c r="AM612" s="111"/>
      <c r="AN612" s="111"/>
      <c r="AO612" s="111"/>
      <c r="AP612" s="111"/>
      <c r="AQ612" s="111"/>
      <c r="AR612" s="111"/>
      <c r="AS612" s="111"/>
      <c r="AT612" s="111"/>
      <c r="AU612" s="111"/>
      <c r="AV612" s="111"/>
      <c r="AW612" s="111"/>
      <c r="AX612" s="111"/>
      <c r="AY612" s="111"/>
      <c r="AZ612" s="111"/>
      <c r="BA612" s="111"/>
      <c r="BB612" s="111"/>
      <c r="BC612" s="111"/>
      <c r="BD612" s="111"/>
      <c r="BE612" s="111"/>
      <c r="BF612" s="111"/>
      <c r="BG612" s="111"/>
      <c r="BH612" s="111"/>
      <c r="BI612" s="111"/>
      <c r="BJ612" s="111"/>
      <c r="BK612" s="111"/>
      <c r="BL612" s="111"/>
      <c r="BM612" s="111"/>
      <c r="BN612" s="111"/>
      <c r="BO612" s="111"/>
      <c r="BP612" s="111"/>
      <c r="BQ612" s="111"/>
      <c r="BR612" s="111"/>
      <c r="BS612" s="111"/>
      <c r="BT612" s="111"/>
      <c r="BU612" s="111"/>
      <c r="BV612" s="111"/>
    </row>
    <row r="613" spans="1:74" s="50" customFormat="1" ht="15.75" hidden="1" customHeight="1">
      <c r="A613" s="111">
        <v>609</v>
      </c>
      <c r="B613" s="3" t="s">
        <v>1225</v>
      </c>
      <c r="C613" s="17" t="s">
        <v>1226</v>
      </c>
      <c r="D613" s="3" t="s">
        <v>21</v>
      </c>
      <c r="E613" s="111"/>
      <c r="F613" s="111"/>
      <c r="G613" s="110">
        <v>0</v>
      </c>
      <c r="H613" s="3">
        <f t="shared" si="27"/>
        <v>0</v>
      </c>
      <c r="I613" s="3">
        <f t="shared" si="28"/>
        <v>0</v>
      </c>
      <c r="J613" s="110">
        <f t="shared" si="29"/>
        <v>0</v>
      </c>
      <c r="K613" s="110"/>
      <c r="L613" s="110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  <c r="AJ613" s="111"/>
      <c r="AK613" s="111"/>
      <c r="AL613" s="111"/>
      <c r="AM613" s="111"/>
      <c r="AN613" s="111"/>
      <c r="AO613" s="111"/>
      <c r="AP613" s="111"/>
      <c r="AQ613" s="111"/>
      <c r="AR613" s="111"/>
      <c r="AS613" s="111"/>
      <c r="AT613" s="111"/>
      <c r="AU613" s="111"/>
      <c r="AV613" s="111"/>
      <c r="AW613" s="111"/>
      <c r="AX613" s="111"/>
      <c r="AY613" s="111"/>
      <c r="AZ613" s="111"/>
      <c r="BA613" s="111"/>
      <c r="BB613" s="111"/>
      <c r="BC613" s="111"/>
      <c r="BD613" s="111"/>
      <c r="BE613" s="111"/>
      <c r="BF613" s="111"/>
      <c r="BG613" s="111"/>
      <c r="BH613" s="111"/>
      <c r="BI613" s="111"/>
      <c r="BJ613" s="111"/>
      <c r="BK613" s="111"/>
      <c r="BL613" s="111"/>
      <c r="BM613" s="111"/>
      <c r="BN613" s="111"/>
      <c r="BO613" s="111"/>
      <c r="BP613" s="111"/>
      <c r="BQ613" s="111"/>
      <c r="BR613" s="111"/>
      <c r="BS613" s="111"/>
      <c r="BT613" s="111"/>
      <c r="BU613" s="111"/>
      <c r="BV613" s="111"/>
    </row>
    <row r="614" spans="1:74" s="50" customFormat="1" ht="15.75" hidden="1" customHeight="1">
      <c r="A614" s="111">
        <v>610</v>
      </c>
      <c r="B614" s="3" t="s">
        <v>1227</v>
      </c>
      <c r="C614" s="17" t="s">
        <v>1228</v>
      </c>
      <c r="D614" s="3" t="s">
        <v>21</v>
      </c>
      <c r="E614" s="111"/>
      <c r="F614" s="111"/>
      <c r="G614" s="110">
        <v>0</v>
      </c>
      <c r="H614" s="3">
        <f t="shared" si="27"/>
        <v>0</v>
      </c>
      <c r="I614" s="3">
        <f t="shared" si="28"/>
        <v>0</v>
      </c>
      <c r="J614" s="110">
        <f t="shared" si="29"/>
        <v>0</v>
      </c>
      <c r="K614" s="110"/>
      <c r="L614" s="110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  <c r="AJ614" s="111"/>
      <c r="AK614" s="111"/>
      <c r="AL614" s="111"/>
      <c r="AM614" s="111"/>
      <c r="AN614" s="111"/>
      <c r="AO614" s="111"/>
      <c r="AP614" s="111"/>
      <c r="AQ614" s="111"/>
      <c r="AR614" s="111"/>
      <c r="AS614" s="111"/>
      <c r="AT614" s="111"/>
      <c r="AU614" s="111"/>
      <c r="AV614" s="111"/>
      <c r="AW614" s="111"/>
      <c r="AX614" s="111"/>
      <c r="AY614" s="111"/>
      <c r="AZ614" s="111"/>
      <c r="BA614" s="111"/>
      <c r="BB614" s="111"/>
      <c r="BC614" s="111"/>
      <c r="BD614" s="111"/>
      <c r="BE614" s="111"/>
      <c r="BF614" s="111"/>
      <c r="BG614" s="111"/>
      <c r="BH614" s="111"/>
      <c r="BI614" s="111"/>
      <c r="BJ614" s="111"/>
      <c r="BK614" s="111"/>
      <c r="BL614" s="111"/>
      <c r="BM614" s="111"/>
      <c r="BN614" s="111"/>
      <c r="BO614" s="111"/>
      <c r="BP614" s="111"/>
      <c r="BQ614" s="111"/>
      <c r="BR614" s="111"/>
      <c r="BS614" s="111"/>
      <c r="BT614" s="111"/>
      <c r="BU614" s="111"/>
      <c r="BV614" s="111"/>
    </row>
    <row r="615" spans="1:74" s="50" customFormat="1" ht="15" hidden="1" customHeight="1">
      <c r="A615" s="111">
        <v>611</v>
      </c>
      <c r="B615" s="3" t="s">
        <v>1229</v>
      </c>
      <c r="C615" s="17" t="s">
        <v>1230</v>
      </c>
      <c r="D615" s="3" t="s">
        <v>21</v>
      </c>
      <c r="E615" s="111"/>
      <c r="F615" s="111"/>
      <c r="G615" s="110">
        <v>2</v>
      </c>
      <c r="H615" s="3">
        <f t="shared" si="27"/>
        <v>0</v>
      </c>
      <c r="I615" s="3">
        <f t="shared" si="28"/>
        <v>0</v>
      </c>
      <c r="J615" s="110">
        <f t="shared" si="29"/>
        <v>2</v>
      </c>
      <c r="K615" s="110"/>
      <c r="L615" s="110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  <c r="AJ615" s="111"/>
      <c r="AK615" s="111"/>
      <c r="AL615" s="111"/>
      <c r="AM615" s="111"/>
      <c r="AN615" s="111"/>
      <c r="AO615" s="111"/>
      <c r="AP615" s="111"/>
      <c r="AQ615" s="111"/>
      <c r="AR615" s="111"/>
      <c r="AS615" s="111"/>
      <c r="AT615" s="111"/>
      <c r="AU615" s="111"/>
      <c r="AV615" s="111"/>
      <c r="AW615" s="111"/>
      <c r="AX615" s="111"/>
      <c r="AY615" s="111"/>
      <c r="AZ615" s="111"/>
      <c r="BA615" s="111"/>
      <c r="BB615" s="111"/>
      <c r="BC615" s="111"/>
      <c r="BD615" s="111"/>
      <c r="BE615" s="111"/>
      <c r="BF615" s="111"/>
      <c r="BG615" s="111"/>
      <c r="BH615" s="111"/>
      <c r="BI615" s="111"/>
      <c r="BJ615" s="111"/>
      <c r="BK615" s="111"/>
      <c r="BL615" s="111"/>
      <c r="BM615" s="111"/>
      <c r="BN615" s="111"/>
      <c r="BO615" s="111"/>
      <c r="BP615" s="111"/>
      <c r="BQ615" s="111"/>
      <c r="BR615" s="111"/>
      <c r="BS615" s="111"/>
      <c r="BT615" s="111"/>
      <c r="BU615" s="111"/>
      <c r="BV615" s="111"/>
    </row>
    <row r="616" spans="1:74" s="50" customFormat="1" ht="15" hidden="1" customHeight="1">
      <c r="A616" s="111">
        <v>612</v>
      </c>
      <c r="B616" s="3" t="s">
        <v>1231</v>
      </c>
      <c r="C616" s="17" t="s">
        <v>1232</v>
      </c>
      <c r="D616" s="3" t="s">
        <v>21</v>
      </c>
      <c r="E616" s="111"/>
      <c r="F616" s="111"/>
      <c r="G616" s="110">
        <v>2</v>
      </c>
      <c r="H616" s="3">
        <f t="shared" si="27"/>
        <v>0</v>
      </c>
      <c r="I616" s="3">
        <f t="shared" si="28"/>
        <v>0</v>
      </c>
      <c r="J616" s="110">
        <f t="shared" si="29"/>
        <v>2</v>
      </c>
      <c r="K616" s="110"/>
      <c r="L616" s="110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  <c r="AJ616" s="111"/>
      <c r="AK616" s="111"/>
      <c r="AL616" s="111"/>
      <c r="AM616" s="111"/>
      <c r="AN616" s="111"/>
      <c r="AO616" s="111"/>
      <c r="AP616" s="111"/>
      <c r="AQ616" s="111"/>
      <c r="AR616" s="111"/>
      <c r="AS616" s="111"/>
      <c r="AT616" s="111"/>
      <c r="AU616" s="111"/>
      <c r="AV616" s="111"/>
      <c r="AW616" s="111"/>
      <c r="AX616" s="111"/>
      <c r="AY616" s="111"/>
      <c r="AZ616" s="111"/>
      <c r="BA616" s="111"/>
      <c r="BB616" s="111"/>
      <c r="BC616" s="111"/>
      <c r="BD616" s="111"/>
      <c r="BE616" s="111"/>
      <c r="BF616" s="111"/>
      <c r="BG616" s="111"/>
      <c r="BH616" s="111"/>
      <c r="BI616" s="111"/>
      <c r="BJ616" s="111"/>
      <c r="BK616" s="111"/>
      <c r="BL616" s="111"/>
      <c r="BM616" s="111"/>
      <c r="BN616" s="111"/>
      <c r="BO616" s="111"/>
      <c r="BP616" s="111"/>
      <c r="BQ616" s="111"/>
      <c r="BR616" s="111"/>
      <c r="BS616" s="111"/>
      <c r="BT616" s="111"/>
      <c r="BU616" s="111"/>
      <c r="BV616" s="111"/>
    </row>
    <row r="617" spans="1:74" s="50" customFormat="1" ht="15" hidden="1" customHeight="1">
      <c r="A617" s="111">
        <v>613</v>
      </c>
      <c r="B617" s="3" t="s">
        <v>1233</v>
      </c>
      <c r="C617" s="17" t="s">
        <v>1234</v>
      </c>
      <c r="D617" s="3" t="s">
        <v>21</v>
      </c>
      <c r="E617" s="111"/>
      <c r="F617" s="111"/>
      <c r="G617" s="110">
        <v>50</v>
      </c>
      <c r="H617" s="3">
        <f t="shared" si="27"/>
        <v>0</v>
      </c>
      <c r="I617" s="3">
        <f t="shared" si="28"/>
        <v>0</v>
      </c>
      <c r="J617" s="110">
        <f t="shared" si="29"/>
        <v>50</v>
      </c>
      <c r="K617" s="110"/>
      <c r="L617" s="110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  <c r="AJ617" s="111"/>
      <c r="AK617" s="111"/>
      <c r="AL617" s="111"/>
      <c r="AM617" s="111"/>
      <c r="AN617" s="111"/>
      <c r="AO617" s="111"/>
      <c r="AP617" s="111"/>
      <c r="AQ617" s="111"/>
      <c r="AR617" s="111"/>
      <c r="AS617" s="111"/>
      <c r="AT617" s="111"/>
      <c r="AU617" s="111"/>
      <c r="AV617" s="111"/>
      <c r="AW617" s="111"/>
      <c r="AX617" s="111"/>
      <c r="AY617" s="111"/>
      <c r="AZ617" s="111"/>
      <c r="BA617" s="111"/>
      <c r="BB617" s="111"/>
      <c r="BC617" s="111"/>
      <c r="BD617" s="111"/>
      <c r="BE617" s="111"/>
      <c r="BF617" s="111"/>
      <c r="BG617" s="111"/>
      <c r="BH617" s="111"/>
      <c r="BI617" s="111"/>
      <c r="BJ617" s="111"/>
      <c r="BK617" s="111"/>
      <c r="BL617" s="111"/>
      <c r="BM617" s="111"/>
      <c r="BN617" s="111"/>
      <c r="BO617" s="111"/>
      <c r="BP617" s="111"/>
      <c r="BQ617" s="111"/>
      <c r="BR617" s="111"/>
      <c r="BS617" s="111"/>
      <c r="BT617" s="111"/>
      <c r="BU617" s="111"/>
      <c r="BV617" s="111"/>
    </row>
    <row r="618" spans="1:74" s="50" customFormat="1" ht="15" hidden="1" customHeight="1">
      <c r="A618" s="111">
        <v>614</v>
      </c>
      <c r="B618" s="3" t="s">
        <v>1235</v>
      </c>
      <c r="C618" s="17" t="s">
        <v>1236</v>
      </c>
      <c r="D618" s="3" t="s">
        <v>21</v>
      </c>
      <c r="E618" s="111"/>
      <c r="F618" s="111"/>
      <c r="G618" s="110">
        <v>1</v>
      </c>
      <c r="H618" s="3">
        <f t="shared" si="27"/>
        <v>0</v>
      </c>
      <c r="I618" s="3">
        <f t="shared" si="28"/>
        <v>0</v>
      </c>
      <c r="J618" s="110">
        <f t="shared" si="29"/>
        <v>1</v>
      </c>
      <c r="K618" s="110"/>
      <c r="L618" s="110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  <c r="AM618" s="111"/>
      <c r="AN618" s="111"/>
      <c r="AO618" s="111"/>
      <c r="AP618" s="111"/>
      <c r="AQ618" s="111"/>
      <c r="AR618" s="111"/>
      <c r="AS618" s="111"/>
      <c r="AT618" s="111"/>
      <c r="AU618" s="111"/>
      <c r="AV618" s="111"/>
      <c r="AW618" s="111"/>
      <c r="AX618" s="111"/>
      <c r="AY618" s="111"/>
      <c r="AZ618" s="111"/>
      <c r="BA618" s="111"/>
      <c r="BB618" s="111"/>
      <c r="BC618" s="111"/>
      <c r="BD618" s="111"/>
      <c r="BE618" s="111"/>
      <c r="BF618" s="111"/>
      <c r="BG618" s="111"/>
      <c r="BH618" s="111"/>
      <c r="BI618" s="111"/>
      <c r="BJ618" s="111"/>
      <c r="BK618" s="111"/>
      <c r="BL618" s="111"/>
      <c r="BM618" s="111"/>
      <c r="BN618" s="111"/>
      <c r="BO618" s="111"/>
      <c r="BP618" s="111"/>
      <c r="BQ618" s="111"/>
      <c r="BR618" s="111"/>
      <c r="BS618" s="111"/>
      <c r="BT618" s="111"/>
      <c r="BU618" s="111"/>
      <c r="BV618" s="111"/>
    </row>
    <row r="619" spans="1:74" s="50" customFormat="1" ht="15" hidden="1" customHeight="1">
      <c r="A619" s="142">
        <v>615</v>
      </c>
      <c r="B619" s="143" t="s">
        <v>1237</v>
      </c>
      <c r="C619" s="144" t="s">
        <v>1238</v>
      </c>
      <c r="D619" s="143" t="s">
        <v>21</v>
      </c>
      <c r="E619" s="109"/>
      <c r="F619" s="109"/>
      <c r="G619" s="110">
        <v>1</v>
      </c>
      <c r="H619" s="3">
        <f t="shared" si="27"/>
        <v>0</v>
      </c>
      <c r="I619" s="3">
        <f t="shared" si="28"/>
        <v>0</v>
      </c>
      <c r="J619" s="110">
        <f t="shared" si="29"/>
        <v>1</v>
      </c>
      <c r="K619" s="110"/>
      <c r="L619" s="110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  <c r="AJ619" s="111"/>
      <c r="AK619" s="111"/>
      <c r="AL619" s="111"/>
      <c r="AM619" s="111"/>
      <c r="AN619" s="111"/>
      <c r="AO619" s="111"/>
      <c r="AP619" s="111"/>
      <c r="AQ619" s="111"/>
      <c r="AR619" s="111"/>
      <c r="AS619" s="111"/>
      <c r="AT619" s="111"/>
      <c r="AU619" s="111"/>
      <c r="AV619" s="111"/>
      <c r="AW619" s="111"/>
      <c r="AX619" s="111"/>
      <c r="AY619" s="111"/>
      <c r="AZ619" s="111"/>
      <c r="BA619" s="111"/>
      <c r="BB619" s="111"/>
      <c r="BC619" s="111"/>
      <c r="BD619" s="111"/>
      <c r="BE619" s="111"/>
      <c r="BF619" s="111"/>
      <c r="BG619" s="111"/>
      <c r="BH619" s="111"/>
      <c r="BI619" s="111"/>
      <c r="BJ619" s="111"/>
      <c r="BK619" s="111"/>
      <c r="BL619" s="111"/>
      <c r="BM619" s="111"/>
      <c r="BN619" s="111"/>
      <c r="BO619" s="111"/>
      <c r="BP619" s="111"/>
      <c r="BQ619" s="111"/>
      <c r="BR619" s="111"/>
      <c r="BS619" s="111"/>
      <c r="BT619" s="111"/>
      <c r="BU619" s="111"/>
      <c r="BV619" s="111"/>
    </row>
    <row r="620" spans="1:74" s="50" customFormat="1" ht="15" hidden="1" customHeight="1">
      <c r="A620" s="142">
        <v>616</v>
      </c>
      <c r="B620" s="143" t="s">
        <v>1239</v>
      </c>
      <c r="C620" s="144" t="s">
        <v>1240</v>
      </c>
      <c r="D620" s="143" t="s">
        <v>21</v>
      </c>
      <c r="E620" s="109"/>
      <c r="F620" s="109"/>
      <c r="G620" s="110">
        <v>3</v>
      </c>
      <c r="H620" s="3">
        <f t="shared" si="27"/>
        <v>0</v>
      </c>
      <c r="I620" s="3">
        <f t="shared" si="28"/>
        <v>0</v>
      </c>
      <c r="J620" s="110">
        <f t="shared" si="29"/>
        <v>3</v>
      </c>
      <c r="K620" s="110"/>
      <c r="L620" s="110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  <c r="AJ620" s="111"/>
      <c r="AK620" s="111"/>
      <c r="AL620" s="111"/>
      <c r="AM620" s="111"/>
      <c r="AN620" s="111"/>
      <c r="AO620" s="111"/>
      <c r="AP620" s="111"/>
      <c r="AQ620" s="111"/>
      <c r="AR620" s="111"/>
      <c r="AS620" s="111"/>
      <c r="AT620" s="111"/>
      <c r="AU620" s="111"/>
      <c r="AV620" s="111"/>
      <c r="AW620" s="111"/>
      <c r="AX620" s="111"/>
      <c r="AY620" s="111"/>
      <c r="AZ620" s="111"/>
      <c r="BA620" s="111"/>
      <c r="BB620" s="111"/>
      <c r="BC620" s="111"/>
      <c r="BD620" s="111"/>
      <c r="BE620" s="111"/>
      <c r="BF620" s="111"/>
      <c r="BG620" s="111"/>
      <c r="BH620" s="111"/>
      <c r="BI620" s="111"/>
      <c r="BJ620" s="111"/>
      <c r="BK620" s="111"/>
      <c r="BL620" s="111"/>
      <c r="BM620" s="111"/>
      <c r="BN620" s="111"/>
      <c r="BO620" s="111"/>
      <c r="BP620" s="111"/>
      <c r="BQ620" s="111"/>
      <c r="BR620" s="111"/>
      <c r="BS620" s="111"/>
      <c r="BT620" s="111"/>
      <c r="BU620" s="111"/>
      <c r="BV620" s="111"/>
    </row>
    <row r="621" spans="1:74" s="50" customFormat="1" ht="15" hidden="1" customHeight="1">
      <c r="A621" s="142">
        <v>617</v>
      </c>
      <c r="B621" s="143" t="s">
        <v>1241</v>
      </c>
      <c r="C621" s="144" t="s">
        <v>1242</v>
      </c>
      <c r="D621" s="143" t="s">
        <v>21</v>
      </c>
      <c r="E621" s="109"/>
      <c r="F621" s="109"/>
      <c r="G621" s="110">
        <v>13</v>
      </c>
      <c r="H621" s="3">
        <f t="shared" si="27"/>
        <v>0</v>
      </c>
      <c r="I621" s="3">
        <f t="shared" si="28"/>
        <v>0</v>
      </c>
      <c r="J621" s="110">
        <f t="shared" si="29"/>
        <v>13</v>
      </c>
      <c r="K621" s="110"/>
      <c r="L621" s="110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  <c r="AJ621" s="111"/>
      <c r="AK621" s="111"/>
      <c r="AL621" s="111"/>
      <c r="AM621" s="111"/>
      <c r="AN621" s="111"/>
      <c r="AO621" s="111"/>
      <c r="AP621" s="111"/>
      <c r="AQ621" s="111"/>
      <c r="AR621" s="111"/>
      <c r="AS621" s="111"/>
      <c r="AT621" s="111"/>
      <c r="AU621" s="111"/>
      <c r="AV621" s="111"/>
      <c r="AW621" s="111"/>
      <c r="AX621" s="111"/>
      <c r="AY621" s="111"/>
      <c r="AZ621" s="111"/>
      <c r="BA621" s="111"/>
      <c r="BB621" s="111"/>
      <c r="BC621" s="111"/>
      <c r="BD621" s="111"/>
      <c r="BE621" s="111"/>
      <c r="BF621" s="111"/>
      <c r="BG621" s="111"/>
      <c r="BH621" s="111"/>
      <c r="BI621" s="111"/>
      <c r="BJ621" s="111"/>
      <c r="BK621" s="111"/>
      <c r="BL621" s="111"/>
      <c r="BM621" s="111"/>
      <c r="BN621" s="111"/>
      <c r="BO621" s="111"/>
      <c r="BP621" s="111"/>
      <c r="BQ621" s="111"/>
      <c r="BR621" s="111"/>
      <c r="BS621" s="111"/>
      <c r="BT621" s="111"/>
      <c r="BU621" s="111"/>
      <c r="BV621" s="111"/>
    </row>
    <row r="622" spans="1:74" s="92" customFormat="1" ht="15" hidden="1" customHeight="1">
      <c r="A622" s="142">
        <v>618</v>
      </c>
      <c r="B622" s="143" t="s">
        <v>1243</v>
      </c>
      <c r="C622" s="144" t="s">
        <v>1244</v>
      </c>
      <c r="D622" s="143" t="s">
        <v>21</v>
      </c>
      <c r="E622" s="109"/>
      <c r="F622" s="109"/>
      <c r="G622" s="108">
        <v>3</v>
      </c>
      <c r="H622" s="26">
        <f t="shared" si="27"/>
        <v>0</v>
      </c>
      <c r="I622" s="26">
        <f t="shared" si="28"/>
        <v>0</v>
      </c>
      <c r="J622" s="108">
        <f t="shared" si="29"/>
        <v>3</v>
      </c>
      <c r="K622" s="108"/>
      <c r="L622" s="108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  <c r="AO622" s="109"/>
      <c r="AP622" s="109"/>
      <c r="AQ622" s="109"/>
      <c r="AR622" s="109"/>
      <c r="AS622" s="109"/>
      <c r="AT622" s="109"/>
      <c r="AU622" s="109"/>
      <c r="AV622" s="109"/>
      <c r="AW622" s="109"/>
      <c r="AX622" s="109"/>
      <c r="AY622" s="109"/>
      <c r="AZ622" s="109"/>
      <c r="BA622" s="109"/>
      <c r="BB622" s="109"/>
      <c r="BC622" s="109"/>
      <c r="BD622" s="109"/>
      <c r="BE622" s="109"/>
      <c r="BF622" s="109"/>
      <c r="BG622" s="109"/>
      <c r="BH622" s="109"/>
      <c r="BI622" s="109"/>
      <c r="BJ622" s="109"/>
      <c r="BK622" s="109"/>
      <c r="BL622" s="109"/>
      <c r="BM622" s="109"/>
      <c r="BN622" s="109"/>
      <c r="BO622" s="109"/>
      <c r="BP622" s="109"/>
      <c r="BQ622" s="109"/>
      <c r="BR622" s="109"/>
      <c r="BS622" s="109"/>
      <c r="BT622" s="109"/>
      <c r="BU622" s="109"/>
      <c r="BV622" s="109"/>
    </row>
    <row r="623" spans="1:74" s="50" customFormat="1" ht="15" hidden="1" customHeight="1">
      <c r="A623" s="111">
        <v>619</v>
      </c>
      <c r="B623" s="3" t="s">
        <v>1245</v>
      </c>
      <c r="C623" s="17" t="s">
        <v>1246</v>
      </c>
      <c r="D623" s="3" t="s">
        <v>21</v>
      </c>
      <c r="E623" s="109"/>
      <c r="F623" s="109"/>
      <c r="G623" s="110">
        <v>6</v>
      </c>
      <c r="H623" s="3">
        <f t="shared" si="27"/>
        <v>0</v>
      </c>
      <c r="I623" s="3">
        <f t="shared" si="28"/>
        <v>0</v>
      </c>
      <c r="J623" s="110">
        <f t="shared" si="29"/>
        <v>6</v>
      </c>
      <c r="K623" s="110"/>
      <c r="L623" s="110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  <c r="AJ623" s="111"/>
      <c r="AK623" s="111"/>
      <c r="AL623" s="111"/>
      <c r="AM623" s="111"/>
      <c r="AN623" s="111"/>
      <c r="AO623" s="111"/>
      <c r="AP623" s="111"/>
      <c r="AQ623" s="111"/>
      <c r="AR623" s="111"/>
      <c r="AS623" s="111"/>
      <c r="AT623" s="111"/>
      <c r="AU623" s="111"/>
      <c r="AV623" s="111"/>
      <c r="AW623" s="111"/>
      <c r="AX623" s="111"/>
      <c r="AY623" s="111"/>
      <c r="AZ623" s="111"/>
      <c r="BA623" s="111"/>
      <c r="BB623" s="111"/>
      <c r="BC623" s="111"/>
      <c r="BD623" s="111"/>
      <c r="BE623" s="111"/>
      <c r="BF623" s="111"/>
      <c r="BG623" s="111"/>
      <c r="BH623" s="111"/>
      <c r="BI623" s="111"/>
      <c r="BJ623" s="111"/>
      <c r="BK623" s="111"/>
      <c r="BL623" s="111"/>
      <c r="BM623" s="111"/>
      <c r="BN623" s="111"/>
      <c r="BO623" s="111"/>
      <c r="BP623" s="111"/>
      <c r="BQ623" s="111"/>
      <c r="BR623" s="111"/>
      <c r="BS623" s="111"/>
      <c r="BT623" s="111"/>
      <c r="BU623" s="111"/>
      <c r="BV623" s="111"/>
    </row>
    <row r="624" spans="1:74" s="50" customFormat="1" ht="15" hidden="1" customHeight="1">
      <c r="A624" s="142">
        <v>620</v>
      </c>
      <c r="B624" s="143" t="s">
        <v>1247</v>
      </c>
      <c r="C624" s="144" t="s">
        <v>1248</v>
      </c>
      <c r="D624" s="143" t="s">
        <v>21</v>
      </c>
      <c r="E624" s="109"/>
      <c r="F624" s="109"/>
      <c r="G624" s="110">
        <v>10</v>
      </c>
      <c r="H624" s="3">
        <f t="shared" si="27"/>
        <v>0</v>
      </c>
      <c r="I624" s="3">
        <f t="shared" si="28"/>
        <v>0</v>
      </c>
      <c r="J624" s="110">
        <f t="shared" si="29"/>
        <v>10</v>
      </c>
      <c r="K624" s="110"/>
      <c r="L624" s="110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  <c r="AJ624" s="111"/>
      <c r="AK624" s="111"/>
      <c r="AL624" s="111"/>
      <c r="AM624" s="111"/>
      <c r="AN624" s="111"/>
      <c r="AO624" s="111"/>
      <c r="AP624" s="111"/>
      <c r="AQ624" s="111"/>
      <c r="AR624" s="111"/>
      <c r="AS624" s="111"/>
      <c r="AT624" s="111"/>
      <c r="AU624" s="111"/>
      <c r="AV624" s="111"/>
      <c r="AW624" s="111"/>
      <c r="AX624" s="111"/>
      <c r="AY624" s="111"/>
      <c r="AZ624" s="111"/>
      <c r="BA624" s="111"/>
      <c r="BB624" s="111"/>
      <c r="BC624" s="111"/>
      <c r="BD624" s="111"/>
      <c r="BE624" s="111"/>
      <c r="BF624" s="111"/>
      <c r="BG624" s="111"/>
      <c r="BH624" s="111"/>
      <c r="BI624" s="111"/>
      <c r="BJ624" s="111"/>
      <c r="BK624" s="111"/>
      <c r="BL624" s="111"/>
      <c r="BM624" s="111"/>
      <c r="BN624" s="111"/>
      <c r="BO624" s="111"/>
      <c r="BP624" s="111"/>
      <c r="BQ624" s="111"/>
      <c r="BR624" s="111"/>
      <c r="BS624" s="111"/>
      <c r="BT624" s="111"/>
      <c r="BU624" s="111"/>
      <c r="BV624" s="111"/>
    </row>
    <row r="625" spans="1:74" s="50" customFormat="1" ht="15" hidden="1" customHeight="1">
      <c r="A625" s="109">
        <v>621</v>
      </c>
      <c r="B625" s="26" t="s">
        <v>1249</v>
      </c>
      <c r="C625" s="27" t="s">
        <v>1250</v>
      </c>
      <c r="D625" s="26" t="s">
        <v>21</v>
      </c>
      <c r="E625" s="109"/>
      <c r="F625" s="109"/>
      <c r="G625" s="110">
        <v>37</v>
      </c>
      <c r="H625" s="3">
        <f t="shared" si="27"/>
        <v>0</v>
      </c>
      <c r="I625" s="3">
        <f t="shared" si="28"/>
        <v>0</v>
      </c>
      <c r="J625" s="110">
        <f t="shared" si="29"/>
        <v>37</v>
      </c>
      <c r="K625" s="110"/>
      <c r="L625" s="110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  <c r="AJ625" s="111"/>
      <c r="AK625" s="111"/>
      <c r="AL625" s="111"/>
      <c r="AM625" s="111"/>
      <c r="AN625" s="111"/>
      <c r="AO625" s="111"/>
      <c r="AP625" s="111"/>
      <c r="AQ625" s="111"/>
      <c r="AR625" s="111"/>
      <c r="AS625" s="111"/>
      <c r="AT625" s="111"/>
      <c r="AU625" s="111"/>
      <c r="AV625" s="111"/>
      <c r="AW625" s="111"/>
      <c r="AX625" s="111"/>
      <c r="AY625" s="111"/>
      <c r="AZ625" s="111"/>
      <c r="BA625" s="111"/>
      <c r="BB625" s="111"/>
      <c r="BC625" s="111"/>
      <c r="BD625" s="111"/>
      <c r="BE625" s="111"/>
      <c r="BF625" s="111"/>
      <c r="BG625" s="111"/>
      <c r="BH625" s="111"/>
      <c r="BI625" s="111"/>
      <c r="BJ625" s="111"/>
      <c r="BK625" s="111"/>
      <c r="BL625" s="111"/>
      <c r="BM625" s="111"/>
      <c r="BN625" s="111"/>
      <c r="BO625" s="111"/>
      <c r="BP625" s="111"/>
      <c r="BQ625" s="111"/>
      <c r="BR625" s="111"/>
      <c r="BS625" s="111"/>
      <c r="BT625" s="111"/>
      <c r="BU625" s="111"/>
      <c r="BV625" s="111"/>
    </row>
    <row r="626" spans="1:74" s="50" customFormat="1" ht="15" hidden="1" customHeight="1">
      <c r="A626" s="109">
        <v>622</v>
      </c>
      <c r="B626" s="26" t="s">
        <v>1251</v>
      </c>
      <c r="C626" s="27" t="s">
        <v>1252</v>
      </c>
      <c r="D626" s="26" t="s">
        <v>21</v>
      </c>
      <c r="E626" s="109"/>
      <c r="F626" s="109"/>
      <c r="G626" s="110">
        <v>200</v>
      </c>
      <c r="H626" s="3">
        <f t="shared" si="27"/>
        <v>0</v>
      </c>
      <c r="I626" s="3">
        <f t="shared" si="28"/>
        <v>0</v>
      </c>
      <c r="J626" s="110">
        <f t="shared" si="29"/>
        <v>200</v>
      </c>
      <c r="K626" s="110"/>
      <c r="L626" s="110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  <c r="AJ626" s="111"/>
      <c r="AK626" s="111"/>
      <c r="AL626" s="111"/>
      <c r="AM626" s="111"/>
      <c r="AN626" s="111"/>
      <c r="AO626" s="111"/>
      <c r="AP626" s="111"/>
      <c r="AQ626" s="111"/>
      <c r="AR626" s="111"/>
      <c r="AS626" s="111"/>
      <c r="AT626" s="111"/>
      <c r="AU626" s="111"/>
      <c r="AV626" s="111"/>
      <c r="AW626" s="111"/>
      <c r="AX626" s="111"/>
      <c r="AY626" s="111"/>
      <c r="AZ626" s="111"/>
      <c r="BA626" s="111"/>
      <c r="BB626" s="111"/>
      <c r="BC626" s="111"/>
      <c r="BD626" s="111"/>
      <c r="BE626" s="111"/>
      <c r="BF626" s="111"/>
      <c r="BG626" s="111"/>
      <c r="BH626" s="111"/>
      <c r="BI626" s="111"/>
      <c r="BJ626" s="111"/>
      <c r="BK626" s="111"/>
      <c r="BL626" s="111"/>
      <c r="BM626" s="111"/>
      <c r="BN626" s="111"/>
      <c r="BO626" s="111"/>
      <c r="BP626" s="111"/>
      <c r="BQ626" s="111"/>
      <c r="BR626" s="111"/>
      <c r="BS626" s="111"/>
      <c r="BT626" s="111"/>
      <c r="BU626" s="111"/>
      <c r="BV626" s="111"/>
    </row>
    <row r="627" spans="1:74" s="50" customFormat="1" ht="15" hidden="1" customHeight="1">
      <c r="A627" s="109">
        <v>623</v>
      </c>
      <c r="B627" s="26" t="s">
        <v>1253</v>
      </c>
      <c r="C627" s="27" t="s">
        <v>1254</v>
      </c>
      <c r="D627" s="26" t="s">
        <v>21</v>
      </c>
      <c r="E627" s="109"/>
      <c r="F627" s="109"/>
      <c r="G627" s="110">
        <v>2</v>
      </c>
      <c r="H627" s="3">
        <f t="shared" si="27"/>
        <v>0</v>
      </c>
      <c r="I627" s="3">
        <f t="shared" si="28"/>
        <v>0</v>
      </c>
      <c r="J627" s="110">
        <f t="shared" si="29"/>
        <v>2</v>
      </c>
      <c r="K627" s="110"/>
      <c r="L627" s="110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  <c r="AJ627" s="111"/>
      <c r="AK627" s="111"/>
      <c r="AL627" s="111"/>
      <c r="AM627" s="111"/>
      <c r="AN627" s="111"/>
      <c r="AO627" s="111"/>
      <c r="AP627" s="111"/>
      <c r="AQ627" s="111"/>
      <c r="AR627" s="111"/>
      <c r="AS627" s="111"/>
      <c r="AT627" s="111"/>
      <c r="AU627" s="111"/>
      <c r="AV627" s="111"/>
      <c r="AW627" s="111"/>
      <c r="AX627" s="111"/>
      <c r="AY627" s="111"/>
      <c r="AZ627" s="111"/>
      <c r="BA627" s="111"/>
      <c r="BB627" s="111"/>
      <c r="BC627" s="111"/>
      <c r="BD627" s="111"/>
      <c r="BE627" s="111"/>
      <c r="BF627" s="111"/>
      <c r="BG627" s="111"/>
      <c r="BH627" s="111"/>
      <c r="BI627" s="111"/>
      <c r="BJ627" s="111"/>
      <c r="BK627" s="111"/>
      <c r="BL627" s="111"/>
      <c r="BM627" s="111"/>
      <c r="BN627" s="111"/>
      <c r="BO627" s="111"/>
      <c r="BP627" s="111"/>
      <c r="BQ627" s="111"/>
      <c r="BR627" s="111"/>
      <c r="BS627" s="111"/>
      <c r="BT627" s="111"/>
      <c r="BU627" s="111"/>
      <c r="BV627" s="111"/>
    </row>
    <row r="628" spans="1:74" s="50" customFormat="1" ht="15" hidden="1" customHeight="1">
      <c r="A628" s="109">
        <v>624</v>
      </c>
      <c r="B628" s="26" t="s">
        <v>1255</v>
      </c>
      <c r="C628" s="27" t="s">
        <v>1256</v>
      </c>
      <c r="D628" s="26" t="s">
        <v>21</v>
      </c>
      <c r="E628" s="109"/>
      <c r="F628" s="109"/>
      <c r="G628" s="110">
        <v>2</v>
      </c>
      <c r="H628" s="3">
        <f t="shared" si="27"/>
        <v>0</v>
      </c>
      <c r="I628" s="3">
        <f t="shared" si="28"/>
        <v>0</v>
      </c>
      <c r="J628" s="110">
        <f t="shared" si="29"/>
        <v>2</v>
      </c>
      <c r="K628" s="110"/>
      <c r="L628" s="110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  <c r="AJ628" s="111"/>
      <c r="AK628" s="111"/>
      <c r="AL628" s="111"/>
      <c r="AM628" s="111"/>
      <c r="AN628" s="111"/>
      <c r="AO628" s="111"/>
      <c r="AP628" s="111"/>
      <c r="AQ628" s="111"/>
      <c r="AR628" s="111"/>
      <c r="AS628" s="111"/>
      <c r="AT628" s="111"/>
      <c r="AU628" s="111"/>
      <c r="AV628" s="111"/>
      <c r="AW628" s="111"/>
      <c r="AX628" s="111"/>
      <c r="AY628" s="111"/>
      <c r="AZ628" s="111"/>
      <c r="BA628" s="111"/>
      <c r="BB628" s="111"/>
      <c r="BC628" s="111"/>
      <c r="BD628" s="111"/>
      <c r="BE628" s="111"/>
      <c r="BF628" s="111"/>
      <c r="BG628" s="111"/>
      <c r="BH628" s="111"/>
      <c r="BI628" s="111"/>
      <c r="BJ628" s="111"/>
      <c r="BK628" s="111"/>
      <c r="BL628" s="111"/>
      <c r="BM628" s="111"/>
      <c r="BN628" s="111"/>
      <c r="BO628" s="111"/>
      <c r="BP628" s="111"/>
      <c r="BQ628" s="111"/>
      <c r="BR628" s="111"/>
      <c r="BS628" s="111"/>
      <c r="BT628" s="111"/>
      <c r="BU628" s="111"/>
      <c r="BV628" s="111"/>
    </row>
    <row r="629" spans="1:74" s="50" customFormat="1" ht="15" hidden="1" customHeight="1">
      <c r="A629" s="109">
        <v>625</v>
      </c>
      <c r="B629" s="26" t="s">
        <v>1257</v>
      </c>
      <c r="C629" s="27" t="s">
        <v>1258</v>
      </c>
      <c r="D629" s="26" t="s">
        <v>21</v>
      </c>
      <c r="E629" s="109"/>
      <c r="F629" s="109"/>
      <c r="G629" s="110">
        <v>2</v>
      </c>
      <c r="H629" s="3">
        <f t="shared" si="27"/>
        <v>0</v>
      </c>
      <c r="I629" s="3">
        <f t="shared" si="28"/>
        <v>0</v>
      </c>
      <c r="J629" s="110">
        <f t="shared" si="29"/>
        <v>2</v>
      </c>
      <c r="K629" s="110"/>
      <c r="L629" s="110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  <c r="AJ629" s="111"/>
      <c r="AK629" s="111"/>
      <c r="AL629" s="111"/>
      <c r="AM629" s="111"/>
      <c r="AN629" s="111"/>
      <c r="AO629" s="111"/>
      <c r="AP629" s="111"/>
      <c r="AQ629" s="111"/>
      <c r="AR629" s="111"/>
      <c r="AS629" s="111"/>
      <c r="AT629" s="111"/>
      <c r="AU629" s="111"/>
      <c r="AV629" s="111"/>
      <c r="AW629" s="111"/>
      <c r="AX629" s="111"/>
      <c r="AY629" s="111"/>
      <c r="AZ629" s="111"/>
      <c r="BA629" s="111"/>
      <c r="BB629" s="111"/>
      <c r="BC629" s="111"/>
      <c r="BD629" s="111"/>
      <c r="BE629" s="111"/>
      <c r="BF629" s="111"/>
      <c r="BG629" s="111"/>
      <c r="BH629" s="111"/>
      <c r="BI629" s="111"/>
      <c r="BJ629" s="111"/>
      <c r="BK629" s="111"/>
      <c r="BL629" s="111"/>
      <c r="BM629" s="111"/>
      <c r="BN629" s="111"/>
      <c r="BO629" s="111"/>
      <c r="BP629" s="111"/>
      <c r="BQ629" s="111"/>
      <c r="BR629" s="111"/>
      <c r="BS629" s="111"/>
      <c r="BT629" s="111"/>
      <c r="BU629" s="111"/>
      <c r="BV629" s="111"/>
    </row>
    <row r="630" spans="1:74" s="50" customFormat="1" ht="15" hidden="1" customHeight="1">
      <c r="A630" s="109">
        <v>626</v>
      </c>
      <c r="B630" s="26" t="s">
        <v>1259</v>
      </c>
      <c r="C630" s="113" t="s">
        <v>1260</v>
      </c>
      <c r="D630" s="26" t="s">
        <v>21</v>
      </c>
      <c r="E630" s="109"/>
      <c r="F630" s="109"/>
      <c r="G630" s="110">
        <v>2</v>
      </c>
      <c r="H630" s="3">
        <f t="shared" si="27"/>
        <v>0</v>
      </c>
      <c r="I630" s="3">
        <f t="shared" si="28"/>
        <v>0</v>
      </c>
      <c r="J630" s="110">
        <f t="shared" si="29"/>
        <v>2</v>
      </c>
      <c r="K630" s="110"/>
      <c r="L630" s="110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  <c r="AJ630" s="111"/>
      <c r="AK630" s="111"/>
      <c r="AL630" s="111"/>
      <c r="AM630" s="111"/>
      <c r="AN630" s="111"/>
      <c r="AO630" s="111"/>
      <c r="AP630" s="111"/>
      <c r="AQ630" s="111"/>
      <c r="AR630" s="111"/>
      <c r="AS630" s="111"/>
      <c r="AT630" s="111"/>
      <c r="AU630" s="111"/>
      <c r="AV630" s="111"/>
      <c r="AW630" s="111"/>
      <c r="AX630" s="111"/>
      <c r="AY630" s="111"/>
      <c r="AZ630" s="111"/>
      <c r="BA630" s="111"/>
      <c r="BB630" s="111"/>
      <c r="BC630" s="111"/>
      <c r="BD630" s="111"/>
      <c r="BE630" s="111"/>
      <c r="BF630" s="111"/>
      <c r="BG630" s="111"/>
      <c r="BH630" s="111"/>
      <c r="BI630" s="111"/>
      <c r="BJ630" s="111"/>
      <c r="BK630" s="111"/>
      <c r="BL630" s="111"/>
      <c r="BM630" s="111"/>
      <c r="BN630" s="111"/>
      <c r="BO630" s="111"/>
      <c r="BP630" s="111"/>
      <c r="BQ630" s="111"/>
      <c r="BR630" s="111"/>
      <c r="BS630" s="111"/>
      <c r="BT630" s="111"/>
      <c r="BU630" s="111"/>
      <c r="BV630" s="111"/>
    </row>
    <row r="631" spans="1:74" s="50" customFormat="1" ht="15" hidden="1" customHeight="1">
      <c r="A631" s="109">
        <v>627</v>
      </c>
      <c r="B631" s="26" t="s">
        <v>1261</v>
      </c>
      <c r="C631" s="27" t="s">
        <v>1262</v>
      </c>
      <c r="D631" s="26" t="s">
        <v>21</v>
      </c>
      <c r="E631" s="109"/>
      <c r="F631" s="109"/>
      <c r="G631" s="110">
        <v>82</v>
      </c>
      <c r="H631" s="3">
        <f t="shared" ref="H631:H694" si="30">SUM(M631+O631+Q631+S631+U631+W631+Y631+AA631+AC631+AE631+AG631+AI631+AK631+AM631+AO631+AQ631+AS631+AU631+AW631+AY631+BA631+BC631+BE631+BG631+BI631+BK631+BM631+BO631+BQ631+BS631+BU631)</f>
        <v>0</v>
      </c>
      <c r="I631" s="3">
        <f t="shared" ref="I631:I694" si="31">SUM(N631+P631+R631+T631+V631+X631+Z631+AB631+AD631+AF631+AH631+AJ631+AL631+AN631+AP631+AR631+AT631+AV631+AX631+AZ631+BB631+BD631+BF631+BH631+BJ631+BL631+BN631+BP631+BR631+BT631+BV631)</f>
        <v>0</v>
      </c>
      <c r="J631" s="110">
        <f t="shared" ref="J631:J694" si="32">G631+H631-I631</f>
        <v>82</v>
      </c>
      <c r="K631" s="110"/>
      <c r="L631" s="110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  <c r="AJ631" s="111"/>
      <c r="AK631" s="111"/>
      <c r="AL631" s="111"/>
      <c r="AM631" s="111"/>
      <c r="AN631" s="111"/>
      <c r="AO631" s="111"/>
      <c r="AP631" s="111"/>
      <c r="AQ631" s="111"/>
      <c r="AR631" s="111"/>
      <c r="AS631" s="111"/>
      <c r="AT631" s="111"/>
      <c r="AU631" s="111"/>
      <c r="AV631" s="111"/>
      <c r="AW631" s="111"/>
      <c r="AX631" s="111"/>
      <c r="AY631" s="111"/>
      <c r="AZ631" s="111"/>
      <c r="BA631" s="111"/>
      <c r="BB631" s="111"/>
      <c r="BC631" s="111"/>
      <c r="BD631" s="111"/>
      <c r="BE631" s="111"/>
      <c r="BF631" s="111"/>
      <c r="BG631" s="111"/>
      <c r="BH631" s="111"/>
      <c r="BI631" s="111"/>
      <c r="BJ631" s="111"/>
      <c r="BK631" s="111"/>
      <c r="BL631" s="111"/>
      <c r="BM631" s="111"/>
      <c r="BN631" s="111"/>
      <c r="BO631" s="111"/>
      <c r="BP631" s="111"/>
      <c r="BQ631" s="111"/>
      <c r="BR631" s="111"/>
      <c r="BS631" s="111"/>
      <c r="BT631" s="111"/>
      <c r="BU631" s="111"/>
      <c r="BV631" s="111"/>
    </row>
    <row r="632" spans="1:74" s="50" customFormat="1" ht="15" hidden="1" customHeight="1">
      <c r="A632" s="109">
        <v>628</v>
      </c>
      <c r="B632" s="26" t="s">
        <v>1263</v>
      </c>
      <c r="C632" s="27" t="s">
        <v>1264</v>
      </c>
      <c r="D632" s="26" t="s">
        <v>21</v>
      </c>
      <c r="E632" s="109"/>
      <c r="F632" s="109"/>
      <c r="G632" s="110">
        <v>19</v>
      </c>
      <c r="H632" s="3">
        <f t="shared" si="30"/>
        <v>0</v>
      </c>
      <c r="I632" s="3">
        <f t="shared" si="31"/>
        <v>0</v>
      </c>
      <c r="J632" s="110">
        <f t="shared" si="32"/>
        <v>19</v>
      </c>
      <c r="K632" s="110"/>
      <c r="L632" s="110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/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/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/>
      <c r="BP632" s="111"/>
      <c r="BQ632" s="111"/>
      <c r="BR632" s="111"/>
      <c r="BS632" s="111"/>
      <c r="BT632" s="111"/>
      <c r="BU632" s="111"/>
      <c r="BV632" s="111"/>
    </row>
    <row r="633" spans="1:74" s="50" customFormat="1" ht="15" hidden="1" customHeight="1">
      <c r="A633" s="109">
        <v>629</v>
      </c>
      <c r="B633" s="26" t="s">
        <v>1265</v>
      </c>
      <c r="C633" s="27" t="s">
        <v>1266</v>
      </c>
      <c r="D633" s="26" t="s">
        <v>21</v>
      </c>
      <c r="E633" s="109"/>
      <c r="F633" s="109"/>
      <c r="G633" s="110">
        <v>144</v>
      </c>
      <c r="H633" s="3">
        <f t="shared" si="30"/>
        <v>0</v>
      </c>
      <c r="I633" s="3">
        <f t="shared" si="31"/>
        <v>0</v>
      </c>
      <c r="J633" s="110">
        <f t="shared" si="32"/>
        <v>144</v>
      </c>
      <c r="K633" s="110"/>
      <c r="L633" s="110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/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/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/>
      <c r="BP633" s="111"/>
      <c r="BQ633" s="111"/>
      <c r="BR633" s="111"/>
      <c r="BS633" s="111"/>
      <c r="BT633" s="111"/>
      <c r="BU633" s="111"/>
      <c r="BV633" s="111"/>
    </row>
    <row r="634" spans="1:74" s="50" customFormat="1" ht="15" hidden="1" customHeight="1">
      <c r="A634" s="142">
        <v>630</v>
      </c>
      <c r="B634" s="142" t="s">
        <v>1267</v>
      </c>
      <c r="C634" s="286" t="s">
        <v>1268</v>
      </c>
      <c r="D634" s="143" t="s">
        <v>21</v>
      </c>
      <c r="E634" s="109"/>
      <c r="F634" s="109"/>
      <c r="G634" s="110">
        <v>6</v>
      </c>
      <c r="H634" s="3">
        <f t="shared" si="30"/>
        <v>0</v>
      </c>
      <c r="I634" s="3">
        <f t="shared" si="31"/>
        <v>0</v>
      </c>
      <c r="J634" s="110">
        <f t="shared" si="32"/>
        <v>6</v>
      </c>
      <c r="K634" s="110"/>
      <c r="L634" s="110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  <c r="AJ634" s="111"/>
      <c r="AK634" s="111"/>
      <c r="AL634" s="111"/>
      <c r="AM634" s="111"/>
      <c r="AN634" s="111"/>
      <c r="AO634" s="111"/>
      <c r="AP634" s="111"/>
      <c r="AQ634" s="111"/>
      <c r="AR634" s="111"/>
      <c r="AS634" s="111"/>
      <c r="AT634" s="111"/>
      <c r="AU634" s="111"/>
      <c r="AV634" s="111"/>
      <c r="AW634" s="111"/>
      <c r="AX634" s="111"/>
      <c r="AY634" s="111"/>
      <c r="AZ634" s="111"/>
      <c r="BA634" s="111"/>
      <c r="BB634" s="111"/>
      <c r="BC634" s="111"/>
      <c r="BD634" s="111"/>
      <c r="BE634" s="111"/>
      <c r="BF634" s="111"/>
      <c r="BG634" s="111"/>
      <c r="BH634" s="111"/>
      <c r="BI634" s="111"/>
      <c r="BJ634" s="111"/>
      <c r="BK634" s="111"/>
      <c r="BL634" s="111"/>
      <c r="BM634" s="111"/>
      <c r="BN634" s="111"/>
      <c r="BO634" s="111"/>
      <c r="BP634" s="111"/>
      <c r="BQ634" s="111"/>
      <c r="BR634" s="111"/>
      <c r="BS634" s="111"/>
      <c r="BT634" s="111"/>
      <c r="BU634" s="111"/>
      <c r="BV634" s="111"/>
    </row>
    <row r="635" spans="1:74" s="50" customFormat="1" ht="15" hidden="1" customHeight="1">
      <c r="A635" s="142">
        <v>631</v>
      </c>
      <c r="B635" s="250" t="s">
        <v>1269</v>
      </c>
      <c r="C635" s="251" t="s">
        <v>1270</v>
      </c>
      <c r="D635" s="143" t="s">
        <v>21</v>
      </c>
      <c r="E635" s="109"/>
      <c r="F635" s="109"/>
      <c r="G635" s="110">
        <v>8</v>
      </c>
      <c r="H635" s="3">
        <f t="shared" si="30"/>
        <v>0</v>
      </c>
      <c r="I635" s="3">
        <f t="shared" si="31"/>
        <v>0</v>
      </c>
      <c r="J635" s="110">
        <f t="shared" si="32"/>
        <v>8</v>
      </c>
      <c r="K635" s="110"/>
      <c r="L635" s="110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/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/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/>
      <c r="BP635" s="111"/>
      <c r="BQ635" s="111"/>
      <c r="BR635" s="111"/>
      <c r="BS635" s="111"/>
      <c r="BT635" s="111"/>
      <c r="BU635" s="111"/>
      <c r="BV635" s="111"/>
    </row>
    <row r="636" spans="1:74" s="50" customFormat="1" ht="15" hidden="1" customHeight="1">
      <c r="A636" s="142">
        <v>632</v>
      </c>
      <c r="B636" s="143" t="s">
        <v>1271</v>
      </c>
      <c r="C636" s="144" t="s">
        <v>1272</v>
      </c>
      <c r="D636" s="143" t="s">
        <v>21</v>
      </c>
      <c r="E636" s="109"/>
      <c r="F636" s="109"/>
      <c r="G636" s="110">
        <v>6</v>
      </c>
      <c r="H636" s="3">
        <f t="shared" si="30"/>
        <v>0</v>
      </c>
      <c r="I636" s="3">
        <f t="shared" si="31"/>
        <v>0</v>
      </c>
      <c r="J636" s="110">
        <f t="shared" si="32"/>
        <v>6</v>
      </c>
      <c r="K636" s="110"/>
      <c r="L636" s="110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  <c r="AJ636" s="111"/>
      <c r="AK636" s="111"/>
      <c r="AL636" s="111"/>
      <c r="AM636" s="111"/>
      <c r="AN636" s="111"/>
      <c r="AO636" s="111"/>
      <c r="AP636" s="111"/>
      <c r="AQ636" s="111"/>
      <c r="AR636" s="111"/>
      <c r="AS636" s="111"/>
      <c r="AT636" s="111"/>
      <c r="AU636" s="111"/>
      <c r="AV636" s="111"/>
      <c r="AW636" s="111"/>
      <c r="AX636" s="111"/>
      <c r="AY636" s="111"/>
      <c r="AZ636" s="111"/>
      <c r="BA636" s="111"/>
      <c r="BB636" s="111"/>
      <c r="BC636" s="111"/>
      <c r="BD636" s="111"/>
      <c r="BE636" s="111"/>
      <c r="BF636" s="111"/>
      <c r="BG636" s="111"/>
      <c r="BH636" s="111"/>
      <c r="BI636" s="111"/>
      <c r="BJ636" s="111"/>
      <c r="BK636" s="111"/>
      <c r="BL636" s="111"/>
      <c r="BM636" s="111"/>
      <c r="BN636" s="111"/>
      <c r="BO636" s="111"/>
      <c r="BP636" s="111"/>
      <c r="BQ636" s="111"/>
      <c r="BR636" s="111"/>
      <c r="BS636" s="111"/>
      <c r="BT636" s="111"/>
      <c r="BU636" s="111"/>
      <c r="BV636" s="111"/>
    </row>
    <row r="637" spans="1:74" s="50" customFormat="1" ht="15" hidden="1" customHeight="1">
      <c r="A637" s="142">
        <v>633</v>
      </c>
      <c r="B637" s="143" t="s">
        <v>1273</v>
      </c>
      <c r="C637" s="144" t="s">
        <v>1274</v>
      </c>
      <c r="D637" s="143" t="s">
        <v>21</v>
      </c>
      <c r="E637" s="109"/>
      <c r="F637" s="109"/>
      <c r="G637" s="110">
        <v>6</v>
      </c>
      <c r="H637" s="3">
        <f t="shared" si="30"/>
        <v>0</v>
      </c>
      <c r="I637" s="3">
        <f t="shared" si="31"/>
        <v>0</v>
      </c>
      <c r="J637" s="110">
        <f t="shared" si="32"/>
        <v>6</v>
      </c>
      <c r="K637" s="110"/>
      <c r="L637" s="110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  <c r="AJ637" s="111"/>
      <c r="AK637" s="111"/>
      <c r="AL637" s="111"/>
      <c r="AM637" s="111"/>
      <c r="AN637" s="111"/>
      <c r="AO637" s="111"/>
      <c r="AP637" s="111"/>
      <c r="AQ637" s="111"/>
      <c r="AR637" s="111"/>
      <c r="AS637" s="111"/>
      <c r="AT637" s="111"/>
      <c r="AU637" s="111"/>
      <c r="AV637" s="111"/>
      <c r="AW637" s="111"/>
      <c r="AX637" s="111"/>
      <c r="AY637" s="111"/>
      <c r="AZ637" s="111"/>
      <c r="BA637" s="111"/>
      <c r="BB637" s="111"/>
      <c r="BC637" s="111"/>
      <c r="BD637" s="111"/>
      <c r="BE637" s="111"/>
      <c r="BF637" s="111"/>
      <c r="BG637" s="111"/>
      <c r="BH637" s="111"/>
      <c r="BI637" s="111"/>
      <c r="BJ637" s="111"/>
      <c r="BK637" s="111"/>
      <c r="BL637" s="111"/>
      <c r="BM637" s="111"/>
      <c r="BN637" s="111"/>
      <c r="BO637" s="111"/>
      <c r="BP637" s="111"/>
      <c r="BQ637" s="111"/>
      <c r="BR637" s="111"/>
      <c r="BS637" s="111"/>
      <c r="BT637" s="111"/>
      <c r="BU637" s="111"/>
      <c r="BV637" s="111"/>
    </row>
    <row r="638" spans="1:74" s="50" customFormat="1" ht="15" hidden="1" customHeight="1">
      <c r="A638" s="142">
        <v>634</v>
      </c>
      <c r="B638" s="143" t="s">
        <v>1275</v>
      </c>
      <c r="C638" s="144" t="s">
        <v>1276</v>
      </c>
      <c r="D638" s="143" t="s">
        <v>21</v>
      </c>
      <c r="E638" s="109"/>
      <c r="F638" s="109"/>
      <c r="G638" s="110">
        <v>5</v>
      </c>
      <c r="H638" s="3">
        <f t="shared" si="30"/>
        <v>0</v>
      </c>
      <c r="I638" s="3">
        <f t="shared" si="31"/>
        <v>0</v>
      </c>
      <c r="J638" s="110">
        <f t="shared" si="32"/>
        <v>5</v>
      </c>
      <c r="K638" s="110"/>
      <c r="L638" s="110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  <c r="AJ638" s="111"/>
      <c r="AK638" s="111"/>
      <c r="AL638" s="111"/>
      <c r="AM638" s="111"/>
      <c r="AN638" s="111"/>
      <c r="AO638" s="111"/>
      <c r="AP638" s="111"/>
      <c r="AQ638" s="111"/>
      <c r="AR638" s="111"/>
      <c r="AS638" s="111"/>
      <c r="AT638" s="111"/>
      <c r="AU638" s="111"/>
      <c r="AV638" s="111"/>
      <c r="AW638" s="111"/>
      <c r="AX638" s="111"/>
      <c r="AY638" s="111"/>
      <c r="AZ638" s="111"/>
      <c r="BA638" s="111"/>
      <c r="BB638" s="111"/>
      <c r="BC638" s="111"/>
      <c r="BD638" s="111"/>
      <c r="BE638" s="111"/>
      <c r="BF638" s="111"/>
      <c r="BG638" s="111"/>
      <c r="BH638" s="111"/>
      <c r="BI638" s="111"/>
      <c r="BJ638" s="111"/>
      <c r="BK638" s="111"/>
      <c r="BL638" s="111"/>
      <c r="BM638" s="111"/>
      <c r="BN638" s="111"/>
      <c r="BO638" s="111"/>
      <c r="BP638" s="111"/>
      <c r="BQ638" s="111"/>
      <c r="BR638" s="111"/>
      <c r="BS638" s="111"/>
      <c r="BT638" s="111"/>
      <c r="BU638" s="111"/>
      <c r="BV638" s="111"/>
    </row>
    <row r="639" spans="1:74" s="50" customFormat="1" ht="15" hidden="1" customHeight="1">
      <c r="A639" s="142">
        <v>635</v>
      </c>
      <c r="B639" s="142" t="s">
        <v>1277</v>
      </c>
      <c r="C639" s="286" t="s">
        <v>1278</v>
      </c>
      <c r="D639" s="143" t="s">
        <v>21</v>
      </c>
      <c r="E639" s="109"/>
      <c r="F639" s="109"/>
      <c r="G639" s="110">
        <v>5</v>
      </c>
      <c r="H639" s="3">
        <f t="shared" si="30"/>
        <v>0</v>
      </c>
      <c r="I639" s="3">
        <f t="shared" si="31"/>
        <v>0</v>
      </c>
      <c r="J639" s="110">
        <f t="shared" si="32"/>
        <v>5</v>
      </c>
      <c r="K639" s="110"/>
      <c r="L639" s="110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  <c r="AJ639" s="111"/>
      <c r="AK639" s="111"/>
      <c r="AL639" s="111"/>
      <c r="AM639" s="111"/>
      <c r="AN639" s="111"/>
      <c r="AO639" s="111"/>
      <c r="AP639" s="111"/>
      <c r="AQ639" s="111"/>
      <c r="AR639" s="111"/>
      <c r="AS639" s="111"/>
      <c r="AT639" s="111"/>
      <c r="AU639" s="111"/>
      <c r="AV639" s="111"/>
      <c r="AW639" s="111"/>
      <c r="AX639" s="111"/>
      <c r="AY639" s="111"/>
      <c r="AZ639" s="111"/>
      <c r="BA639" s="111"/>
      <c r="BB639" s="111"/>
      <c r="BC639" s="111"/>
      <c r="BD639" s="111"/>
      <c r="BE639" s="111"/>
      <c r="BF639" s="111"/>
      <c r="BG639" s="111"/>
      <c r="BH639" s="111"/>
      <c r="BI639" s="111"/>
      <c r="BJ639" s="111"/>
      <c r="BK639" s="111"/>
      <c r="BL639" s="111"/>
      <c r="BM639" s="111"/>
      <c r="BN639" s="111"/>
      <c r="BO639" s="111"/>
      <c r="BP639" s="111"/>
      <c r="BQ639" s="111"/>
      <c r="BR639" s="111"/>
      <c r="BS639" s="111"/>
      <c r="BT639" s="111"/>
      <c r="BU639" s="111"/>
      <c r="BV639" s="111"/>
    </row>
    <row r="640" spans="1:74" s="50" customFormat="1" ht="15" hidden="1" customHeight="1">
      <c r="A640" s="142">
        <v>636</v>
      </c>
      <c r="B640" s="252" t="s">
        <v>1279</v>
      </c>
      <c r="C640" s="268" t="s">
        <v>1280</v>
      </c>
      <c r="D640" s="143" t="s">
        <v>21</v>
      </c>
      <c r="E640" s="109"/>
      <c r="F640" s="109"/>
      <c r="G640" s="110">
        <v>15</v>
      </c>
      <c r="H640" s="3">
        <f t="shared" si="30"/>
        <v>0</v>
      </c>
      <c r="I640" s="3">
        <f t="shared" si="31"/>
        <v>0</v>
      </c>
      <c r="J640" s="110">
        <f t="shared" si="32"/>
        <v>15</v>
      </c>
      <c r="K640" s="110"/>
      <c r="L640" s="110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  <c r="AJ640" s="111"/>
      <c r="AK640" s="111"/>
      <c r="AL640" s="111"/>
      <c r="AM640" s="111"/>
      <c r="AN640" s="111"/>
      <c r="AO640" s="111"/>
      <c r="AP640" s="111"/>
      <c r="AQ640" s="111"/>
      <c r="AR640" s="111"/>
      <c r="AS640" s="111"/>
      <c r="AT640" s="111"/>
      <c r="AU640" s="111"/>
      <c r="AV640" s="111"/>
      <c r="AW640" s="111"/>
      <c r="AX640" s="111"/>
      <c r="AY640" s="111"/>
      <c r="AZ640" s="111"/>
      <c r="BA640" s="111"/>
      <c r="BB640" s="111"/>
      <c r="BC640" s="111"/>
      <c r="BD640" s="111"/>
      <c r="BE640" s="111"/>
      <c r="BF640" s="111"/>
      <c r="BG640" s="111"/>
      <c r="BH640" s="111"/>
      <c r="BI640" s="111"/>
      <c r="BJ640" s="111"/>
      <c r="BK640" s="111"/>
      <c r="BL640" s="111"/>
      <c r="BM640" s="111"/>
      <c r="BN640" s="111"/>
      <c r="BO640" s="111"/>
      <c r="BP640" s="111"/>
      <c r="BQ640" s="111"/>
      <c r="BR640" s="111"/>
      <c r="BS640" s="111"/>
      <c r="BT640" s="111"/>
      <c r="BU640" s="111"/>
      <c r="BV640" s="111"/>
    </row>
    <row r="641" spans="1:74" s="92" customFormat="1" ht="15" hidden="1" customHeight="1">
      <c r="A641" s="142">
        <v>637</v>
      </c>
      <c r="B641" s="143" t="s">
        <v>1281</v>
      </c>
      <c r="C641" s="144" t="s">
        <v>1282</v>
      </c>
      <c r="D641" s="143" t="s">
        <v>21</v>
      </c>
      <c r="E641" s="109"/>
      <c r="F641" s="109"/>
      <c r="G641" s="108">
        <v>4</v>
      </c>
      <c r="H641" s="26">
        <f t="shared" si="30"/>
        <v>0</v>
      </c>
      <c r="I641" s="26">
        <f t="shared" si="31"/>
        <v>0</v>
      </c>
      <c r="J641" s="108">
        <f t="shared" si="32"/>
        <v>4</v>
      </c>
      <c r="K641" s="108"/>
      <c r="L641" s="108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  <c r="AO641" s="109"/>
      <c r="AP641" s="109"/>
      <c r="AQ641" s="109"/>
      <c r="AR641" s="109"/>
      <c r="AS641" s="109"/>
      <c r="AT641" s="109"/>
      <c r="AU641" s="109"/>
      <c r="AV641" s="109"/>
      <c r="AW641" s="109"/>
      <c r="AX641" s="109"/>
      <c r="AY641" s="109"/>
      <c r="AZ641" s="109"/>
      <c r="BA641" s="109"/>
      <c r="BB641" s="109"/>
      <c r="BC641" s="109"/>
      <c r="BD641" s="109"/>
      <c r="BE641" s="109"/>
      <c r="BF641" s="109"/>
      <c r="BG641" s="109"/>
      <c r="BH641" s="109"/>
      <c r="BI641" s="109"/>
      <c r="BJ641" s="109"/>
      <c r="BK641" s="109"/>
      <c r="BL641" s="109"/>
      <c r="BM641" s="109"/>
      <c r="BN641" s="109"/>
      <c r="BO641" s="109"/>
      <c r="BP641" s="109"/>
      <c r="BQ641" s="109"/>
      <c r="BR641" s="109"/>
      <c r="BS641" s="109"/>
      <c r="BT641" s="109"/>
      <c r="BU641" s="109"/>
      <c r="BV641" s="109"/>
    </row>
    <row r="642" spans="1:74" s="92" customFormat="1" ht="15" hidden="1" customHeight="1">
      <c r="A642" s="109">
        <v>638</v>
      </c>
      <c r="B642" s="26" t="s">
        <v>1283</v>
      </c>
      <c r="C642" s="27" t="s">
        <v>1284</v>
      </c>
      <c r="D642" s="26" t="s">
        <v>21</v>
      </c>
      <c r="E642" s="109"/>
      <c r="F642" s="109"/>
      <c r="G642" s="108">
        <v>66</v>
      </c>
      <c r="H642" s="26">
        <f t="shared" si="30"/>
        <v>0</v>
      </c>
      <c r="I642" s="26">
        <f t="shared" si="31"/>
        <v>0</v>
      </c>
      <c r="J642" s="108">
        <f t="shared" si="32"/>
        <v>66</v>
      </c>
      <c r="K642" s="108"/>
      <c r="L642" s="108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  <c r="AO642" s="109"/>
      <c r="AP642" s="109"/>
      <c r="AQ642" s="109"/>
      <c r="AR642" s="109"/>
      <c r="AS642" s="109"/>
      <c r="AT642" s="109"/>
      <c r="AU642" s="109"/>
      <c r="AV642" s="109"/>
      <c r="AW642" s="109"/>
      <c r="AX642" s="109"/>
      <c r="AY642" s="109"/>
      <c r="AZ642" s="109"/>
      <c r="BA642" s="109"/>
      <c r="BB642" s="109"/>
      <c r="BC642" s="109"/>
      <c r="BD642" s="109"/>
      <c r="BE642" s="109"/>
      <c r="BF642" s="109"/>
      <c r="BG642" s="109"/>
      <c r="BH642" s="109"/>
      <c r="BI642" s="109"/>
      <c r="BJ642" s="109"/>
      <c r="BK642" s="109"/>
      <c r="BL642" s="109"/>
      <c r="BM642" s="109"/>
      <c r="BN642" s="109"/>
      <c r="BO642" s="109"/>
      <c r="BP642" s="109"/>
      <c r="BQ642" s="109"/>
      <c r="BR642" s="109"/>
      <c r="BS642" s="109"/>
      <c r="BT642" s="109"/>
      <c r="BU642" s="109"/>
      <c r="BV642" s="109"/>
    </row>
    <row r="643" spans="1:74" s="92" customFormat="1" ht="15" hidden="1" customHeight="1">
      <c r="A643" s="109">
        <v>639</v>
      </c>
      <c r="B643" s="26" t="s">
        <v>1285</v>
      </c>
      <c r="C643" s="27" t="s">
        <v>1286</v>
      </c>
      <c r="D643" s="26" t="s">
        <v>21</v>
      </c>
      <c r="E643" s="109"/>
      <c r="F643" s="109"/>
      <c r="G643" s="108">
        <v>6</v>
      </c>
      <c r="H643" s="26">
        <f t="shared" si="30"/>
        <v>0</v>
      </c>
      <c r="I643" s="26">
        <f t="shared" si="31"/>
        <v>0</v>
      </c>
      <c r="J643" s="108">
        <f t="shared" si="32"/>
        <v>6</v>
      </c>
      <c r="K643" s="108"/>
      <c r="L643" s="108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  <c r="AO643" s="109"/>
      <c r="AP643" s="109"/>
      <c r="AQ643" s="109"/>
      <c r="AR643" s="109"/>
      <c r="AS643" s="109"/>
      <c r="AT643" s="109"/>
      <c r="AU643" s="109"/>
      <c r="AV643" s="109"/>
      <c r="AW643" s="109"/>
      <c r="AX643" s="109"/>
      <c r="AY643" s="109"/>
      <c r="AZ643" s="109"/>
      <c r="BA643" s="109"/>
      <c r="BB643" s="109"/>
      <c r="BC643" s="109"/>
      <c r="BD643" s="109"/>
      <c r="BE643" s="109"/>
      <c r="BF643" s="109"/>
      <c r="BG643" s="109"/>
      <c r="BH643" s="109"/>
      <c r="BI643" s="109"/>
      <c r="BJ643" s="109"/>
      <c r="BK643" s="109"/>
      <c r="BL643" s="109"/>
      <c r="BM643" s="109"/>
      <c r="BN643" s="109"/>
      <c r="BO643" s="109"/>
      <c r="BP643" s="109"/>
      <c r="BQ643" s="109"/>
      <c r="BR643" s="109"/>
      <c r="BS643" s="109"/>
      <c r="BT643" s="109"/>
      <c r="BU643" s="109"/>
      <c r="BV643" s="109"/>
    </row>
    <row r="644" spans="1:74" s="92" customFormat="1" ht="15" hidden="1" customHeight="1">
      <c r="A644" s="109">
        <v>640</v>
      </c>
      <c r="B644" s="26" t="s">
        <v>1287</v>
      </c>
      <c r="C644" s="27" t="s">
        <v>1288</v>
      </c>
      <c r="D644" s="26" t="s">
        <v>21</v>
      </c>
      <c r="E644" s="109"/>
      <c r="F644" s="109"/>
      <c r="G644" s="108">
        <v>4</v>
      </c>
      <c r="H644" s="26">
        <f t="shared" si="30"/>
        <v>0</v>
      </c>
      <c r="I644" s="26">
        <f t="shared" si="31"/>
        <v>0</v>
      </c>
      <c r="J644" s="108">
        <f t="shared" si="32"/>
        <v>4</v>
      </c>
      <c r="K644" s="108"/>
      <c r="L644" s="108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  <c r="AO644" s="109"/>
      <c r="AP644" s="109"/>
      <c r="AQ644" s="109"/>
      <c r="AR644" s="109"/>
      <c r="AS644" s="109"/>
      <c r="AT644" s="109"/>
      <c r="AU644" s="109"/>
      <c r="AV644" s="109"/>
      <c r="AW644" s="109"/>
      <c r="AX644" s="109"/>
      <c r="AY644" s="109"/>
      <c r="AZ644" s="109"/>
      <c r="BA644" s="109"/>
      <c r="BB644" s="109"/>
      <c r="BC644" s="109"/>
      <c r="BD644" s="109"/>
      <c r="BE644" s="109"/>
      <c r="BF644" s="109"/>
      <c r="BG644" s="109"/>
      <c r="BH644" s="109"/>
      <c r="BI644" s="109"/>
      <c r="BJ644" s="109"/>
      <c r="BK644" s="109"/>
      <c r="BL644" s="109"/>
      <c r="BM644" s="109"/>
      <c r="BN644" s="109"/>
      <c r="BO644" s="109"/>
      <c r="BP644" s="109"/>
      <c r="BQ644" s="109"/>
      <c r="BR644" s="109"/>
      <c r="BS644" s="109"/>
      <c r="BT644" s="109"/>
      <c r="BU644" s="109"/>
      <c r="BV644" s="109"/>
    </row>
    <row r="645" spans="1:74" s="50" customFormat="1" ht="15.75" hidden="1" customHeight="1">
      <c r="A645" s="146">
        <v>641</v>
      </c>
      <c r="B645" s="147" t="s">
        <v>1289</v>
      </c>
      <c r="C645" s="148" t="s">
        <v>1290</v>
      </c>
      <c r="D645" s="147" t="s">
        <v>21</v>
      </c>
      <c r="E645" s="254"/>
      <c r="F645" s="254"/>
      <c r="G645" s="110">
        <v>0</v>
      </c>
      <c r="H645" s="3">
        <f t="shared" si="30"/>
        <v>0</v>
      </c>
      <c r="I645" s="3">
        <f t="shared" si="31"/>
        <v>0</v>
      </c>
      <c r="J645" s="110">
        <f t="shared" si="32"/>
        <v>0</v>
      </c>
      <c r="K645" s="110"/>
      <c r="L645" s="110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3"/>
      <c r="AI645" s="111"/>
      <c r="AJ645" s="111"/>
      <c r="AK645" s="111"/>
      <c r="AL645" s="111"/>
      <c r="AM645" s="111"/>
      <c r="AN645" s="111"/>
      <c r="AO645" s="111"/>
      <c r="AP645" s="111"/>
      <c r="AQ645" s="111"/>
      <c r="AR645" s="111"/>
      <c r="AS645" s="111"/>
      <c r="AT645" s="111"/>
      <c r="AU645" s="111"/>
      <c r="AV645" s="111"/>
      <c r="AW645" s="111"/>
      <c r="AX645" s="111"/>
      <c r="AY645" s="111"/>
      <c r="AZ645" s="111"/>
      <c r="BA645" s="111"/>
      <c r="BB645" s="111"/>
      <c r="BC645" s="111"/>
      <c r="BD645" s="111"/>
      <c r="BE645" s="111"/>
      <c r="BF645" s="111"/>
      <c r="BG645" s="111"/>
      <c r="BH645" s="111"/>
      <c r="BI645" s="111"/>
      <c r="BJ645" s="111"/>
      <c r="BK645" s="111"/>
      <c r="BL645" s="111"/>
      <c r="BM645" s="111"/>
      <c r="BN645" s="111"/>
      <c r="BO645" s="111"/>
      <c r="BP645" s="111"/>
      <c r="BQ645" s="111"/>
      <c r="BR645" s="111"/>
      <c r="BS645" s="111"/>
      <c r="BT645" s="111"/>
      <c r="BU645" s="111"/>
      <c r="BV645" s="111"/>
    </row>
    <row r="646" spans="1:74" s="50" customFormat="1" ht="15" hidden="1" customHeight="1">
      <c r="A646" s="142">
        <v>642</v>
      </c>
      <c r="B646" s="143" t="s">
        <v>1291</v>
      </c>
      <c r="C646" s="144" t="s">
        <v>1292</v>
      </c>
      <c r="D646" s="143" t="s">
        <v>21</v>
      </c>
      <c r="E646" s="109"/>
      <c r="F646" s="109"/>
      <c r="G646" s="110">
        <v>18</v>
      </c>
      <c r="H646" s="3">
        <f t="shared" si="30"/>
        <v>0</v>
      </c>
      <c r="I646" s="3">
        <f t="shared" si="31"/>
        <v>6</v>
      </c>
      <c r="J646" s="110">
        <f t="shared" si="32"/>
        <v>12</v>
      </c>
      <c r="K646" s="110"/>
      <c r="L646" s="110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3">
        <v>6</v>
      </c>
      <c r="AI646" s="111"/>
      <c r="AJ646" s="111"/>
      <c r="AK646" s="111"/>
      <c r="AL646" s="111"/>
      <c r="AM646" s="111"/>
      <c r="AN646" s="111"/>
      <c r="AO646" s="111"/>
      <c r="AP646" s="111"/>
      <c r="AQ646" s="111"/>
      <c r="AR646" s="111"/>
      <c r="AS646" s="111"/>
      <c r="AT646" s="111"/>
      <c r="AU646" s="111"/>
      <c r="AV646" s="111"/>
      <c r="AW646" s="111"/>
      <c r="AX646" s="111"/>
      <c r="AY646" s="111"/>
      <c r="AZ646" s="111"/>
      <c r="BA646" s="111"/>
      <c r="BB646" s="111"/>
      <c r="BC646" s="111"/>
      <c r="BD646" s="111"/>
      <c r="BE646" s="111"/>
      <c r="BF646" s="111"/>
      <c r="BG646" s="111"/>
      <c r="BH646" s="111"/>
      <c r="BI646" s="111"/>
      <c r="BJ646" s="111"/>
      <c r="BK646" s="111"/>
      <c r="BL646" s="111"/>
      <c r="BM646" s="111"/>
      <c r="BN646" s="111"/>
      <c r="BO646" s="111"/>
      <c r="BP646" s="111"/>
      <c r="BQ646" s="111"/>
      <c r="BR646" s="111"/>
      <c r="BS646" s="111"/>
      <c r="BT646" s="111"/>
      <c r="BU646" s="111"/>
      <c r="BV646" s="111"/>
    </row>
    <row r="647" spans="1:74" s="50" customFormat="1" ht="15" hidden="1" customHeight="1">
      <c r="A647" s="142">
        <v>643</v>
      </c>
      <c r="B647" s="143" t="s">
        <v>1293</v>
      </c>
      <c r="C647" s="144" t="s">
        <v>1294</v>
      </c>
      <c r="D647" s="143" t="s">
        <v>21</v>
      </c>
      <c r="E647" s="109"/>
      <c r="F647" s="109"/>
      <c r="G647" s="110">
        <v>17</v>
      </c>
      <c r="H647" s="3">
        <f t="shared" si="30"/>
        <v>0</v>
      </c>
      <c r="I647" s="3">
        <f t="shared" si="31"/>
        <v>6</v>
      </c>
      <c r="J647" s="110">
        <f t="shared" si="32"/>
        <v>11</v>
      </c>
      <c r="K647" s="110"/>
      <c r="L647" s="110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>
        <v>6</v>
      </c>
      <c r="AI647" s="111"/>
      <c r="AJ647" s="111"/>
      <c r="AK647" s="111"/>
      <c r="AL647" s="111"/>
      <c r="AM647" s="111"/>
      <c r="AN647" s="111"/>
      <c r="AO647" s="111"/>
      <c r="AP647" s="111"/>
      <c r="AQ647" s="111"/>
      <c r="AR647" s="111"/>
      <c r="AS647" s="111"/>
      <c r="AT647" s="111"/>
      <c r="AU647" s="111"/>
      <c r="AV647" s="111"/>
      <c r="AW647" s="111"/>
      <c r="AX647" s="111"/>
      <c r="AY647" s="111"/>
      <c r="AZ647" s="111"/>
      <c r="BA647" s="111"/>
      <c r="BB647" s="111"/>
      <c r="BC647" s="111"/>
      <c r="BD647" s="111"/>
      <c r="BE647" s="111"/>
      <c r="BF647" s="111"/>
      <c r="BG647" s="111"/>
      <c r="BH647" s="111"/>
      <c r="BI647" s="111"/>
      <c r="BJ647" s="111"/>
      <c r="BK647" s="111"/>
      <c r="BL647" s="111"/>
      <c r="BM647" s="111"/>
      <c r="BN647" s="111"/>
      <c r="BO647" s="111"/>
      <c r="BP647" s="111"/>
      <c r="BQ647" s="111"/>
      <c r="BR647" s="111"/>
      <c r="BS647" s="111"/>
      <c r="BT647" s="111"/>
      <c r="BU647" s="111"/>
      <c r="BV647" s="111"/>
    </row>
    <row r="648" spans="1:74" s="50" customFormat="1" ht="15" hidden="1" customHeight="1">
      <c r="A648" s="109">
        <v>644</v>
      </c>
      <c r="B648" s="26" t="s">
        <v>1295</v>
      </c>
      <c r="C648" s="27" t="s">
        <v>1296</v>
      </c>
      <c r="D648" s="26" t="s">
        <v>21</v>
      </c>
      <c r="E648" s="109"/>
      <c r="F648" s="109"/>
      <c r="G648" s="110">
        <v>18</v>
      </c>
      <c r="H648" s="3">
        <f t="shared" si="30"/>
        <v>0</v>
      </c>
      <c r="I648" s="3">
        <f t="shared" si="31"/>
        <v>0</v>
      </c>
      <c r="J648" s="110">
        <f t="shared" si="32"/>
        <v>18</v>
      </c>
      <c r="K648" s="110"/>
      <c r="L648" s="110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  <c r="AJ648" s="111"/>
      <c r="AK648" s="111"/>
      <c r="AL648" s="111"/>
      <c r="AM648" s="111"/>
      <c r="AN648" s="111"/>
      <c r="AO648" s="111"/>
      <c r="AP648" s="111"/>
      <c r="AQ648" s="111"/>
      <c r="AR648" s="111"/>
      <c r="AS648" s="111"/>
      <c r="AT648" s="111"/>
      <c r="AU648" s="111"/>
      <c r="AV648" s="111"/>
      <c r="AW648" s="111"/>
      <c r="AX648" s="111"/>
      <c r="AY648" s="111"/>
      <c r="AZ648" s="111"/>
      <c r="BA648" s="111"/>
      <c r="BB648" s="111"/>
      <c r="BC648" s="111"/>
      <c r="BD648" s="111"/>
      <c r="BE648" s="111"/>
      <c r="BF648" s="111"/>
      <c r="BG648" s="111"/>
      <c r="BH648" s="111"/>
      <c r="BI648" s="111"/>
      <c r="BJ648" s="111"/>
      <c r="BK648" s="111"/>
      <c r="BL648" s="111"/>
      <c r="BM648" s="111"/>
      <c r="BN648" s="111"/>
      <c r="BO648" s="111"/>
      <c r="BP648" s="111"/>
      <c r="BQ648" s="111"/>
      <c r="BR648" s="111"/>
      <c r="BS648" s="111"/>
      <c r="BT648" s="111"/>
      <c r="BU648" s="111"/>
      <c r="BV648" s="111"/>
    </row>
    <row r="649" spans="1:74" s="50" customFormat="1" ht="15" hidden="1" customHeight="1">
      <c r="A649" s="109">
        <v>645</v>
      </c>
      <c r="B649" s="26" t="s">
        <v>1297</v>
      </c>
      <c r="C649" s="27" t="s">
        <v>1298</v>
      </c>
      <c r="D649" s="26" t="s">
        <v>21</v>
      </c>
      <c r="E649" s="109"/>
      <c r="F649" s="109"/>
      <c r="G649" s="110">
        <v>6</v>
      </c>
      <c r="H649" s="3">
        <f t="shared" si="30"/>
        <v>0</v>
      </c>
      <c r="I649" s="3">
        <f t="shared" si="31"/>
        <v>0</v>
      </c>
      <c r="J649" s="110">
        <f t="shared" si="32"/>
        <v>6</v>
      </c>
      <c r="K649" s="110"/>
      <c r="L649" s="110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  <c r="AJ649" s="111"/>
      <c r="AK649" s="111"/>
      <c r="AL649" s="111"/>
      <c r="AM649" s="111"/>
      <c r="AN649" s="111"/>
      <c r="AO649" s="111"/>
      <c r="AP649" s="111"/>
      <c r="AQ649" s="111"/>
      <c r="AR649" s="111"/>
      <c r="AS649" s="111"/>
      <c r="AT649" s="111"/>
      <c r="AU649" s="111"/>
      <c r="AV649" s="111"/>
      <c r="AW649" s="111"/>
      <c r="AX649" s="111"/>
      <c r="AY649" s="111"/>
      <c r="AZ649" s="111"/>
      <c r="BA649" s="111"/>
      <c r="BB649" s="111"/>
      <c r="BC649" s="111"/>
      <c r="BD649" s="111"/>
      <c r="BE649" s="111"/>
      <c r="BF649" s="111"/>
      <c r="BG649" s="111"/>
      <c r="BH649" s="111"/>
      <c r="BI649" s="111"/>
      <c r="BJ649" s="111"/>
      <c r="BK649" s="111"/>
      <c r="BL649" s="111"/>
      <c r="BM649" s="111"/>
      <c r="BN649" s="111"/>
      <c r="BO649" s="111"/>
      <c r="BP649" s="111"/>
      <c r="BQ649" s="111"/>
      <c r="BR649" s="111"/>
      <c r="BS649" s="111"/>
      <c r="BT649" s="111"/>
      <c r="BU649" s="111"/>
      <c r="BV649" s="111"/>
    </row>
    <row r="650" spans="1:74" s="92" customFormat="1" ht="15" hidden="1" customHeight="1">
      <c r="A650" s="109">
        <v>646</v>
      </c>
      <c r="B650" s="26" t="s">
        <v>1299</v>
      </c>
      <c r="C650" s="27" t="s">
        <v>1300</v>
      </c>
      <c r="D650" s="26" t="s">
        <v>21</v>
      </c>
      <c r="E650" s="109"/>
      <c r="F650" s="109"/>
      <c r="G650" s="108">
        <v>11</v>
      </c>
      <c r="H650" s="26">
        <f t="shared" si="30"/>
        <v>0</v>
      </c>
      <c r="I650" s="26">
        <f t="shared" si="31"/>
        <v>0</v>
      </c>
      <c r="J650" s="108">
        <f t="shared" si="32"/>
        <v>11</v>
      </c>
      <c r="K650" s="108"/>
      <c r="L650" s="108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  <c r="AO650" s="109"/>
      <c r="AP650" s="109"/>
      <c r="AQ650" s="109"/>
      <c r="AR650" s="109"/>
      <c r="AS650" s="109"/>
      <c r="AT650" s="109"/>
      <c r="AU650" s="109"/>
      <c r="AV650" s="109"/>
      <c r="AW650" s="109"/>
      <c r="AX650" s="109"/>
      <c r="AY650" s="109"/>
      <c r="AZ650" s="109"/>
      <c r="BA650" s="109"/>
      <c r="BB650" s="109"/>
      <c r="BC650" s="109"/>
      <c r="BD650" s="109"/>
      <c r="BE650" s="109"/>
      <c r="BF650" s="109"/>
      <c r="BG650" s="109"/>
      <c r="BH650" s="109"/>
      <c r="BI650" s="109"/>
      <c r="BJ650" s="109"/>
      <c r="BK650" s="109"/>
      <c r="BL650" s="109"/>
      <c r="BM650" s="109"/>
      <c r="BN650" s="109"/>
      <c r="BO650" s="109"/>
      <c r="BP650" s="109"/>
      <c r="BQ650" s="109"/>
      <c r="BR650" s="109"/>
      <c r="BS650" s="109"/>
      <c r="BT650" s="109"/>
      <c r="BU650" s="109"/>
      <c r="BV650" s="109"/>
    </row>
    <row r="651" spans="1:74" s="92" customFormat="1" ht="15" hidden="1" customHeight="1">
      <c r="A651" s="109">
        <v>647</v>
      </c>
      <c r="B651" s="112" t="s">
        <v>1301</v>
      </c>
      <c r="C651" s="115" t="s">
        <v>1302</v>
      </c>
      <c r="D651" s="26" t="s">
        <v>21</v>
      </c>
      <c r="E651" s="109"/>
      <c r="F651" s="109"/>
      <c r="G651" s="108">
        <v>44</v>
      </c>
      <c r="H651" s="26">
        <f t="shared" si="30"/>
        <v>0</v>
      </c>
      <c r="I651" s="26">
        <f t="shared" si="31"/>
        <v>0</v>
      </c>
      <c r="J651" s="108">
        <f t="shared" si="32"/>
        <v>44</v>
      </c>
      <c r="K651" s="108"/>
      <c r="L651" s="108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  <c r="AO651" s="109"/>
      <c r="AP651" s="109"/>
      <c r="AQ651" s="109"/>
      <c r="AR651" s="109"/>
      <c r="AS651" s="109"/>
      <c r="AT651" s="109"/>
      <c r="AU651" s="109"/>
      <c r="AV651" s="109"/>
      <c r="AW651" s="109"/>
      <c r="AX651" s="109"/>
      <c r="AY651" s="109"/>
      <c r="AZ651" s="109"/>
      <c r="BA651" s="109"/>
      <c r="BB651" s="109"/>
      <c r="BC651" s="109"/>
      <c r="BD651" s="109"/>
      <c r="BE651" s="109"/>
      <c r="BF651" s="109"/>
      <c r="BG651" s="109"/>
      <c r="BH651" s="109"/>
      <c r="BI651" s="109"/>
      <c r="BJ651" s="109"/>
      <c r="BK651" s="109"/>
      <c r="BL651" s="109"/>
      <c r="BM651" s="109"/>
      <c r="BN651" s="109"/>
      <c r="BO651" s="109"/>
      <c r="BP651" s="109"/>
      <c r="BQ651" s="109"/>
      <c r="BR651" s="109"/>
      <c r="BS651" s="109"/>
      <c r="BT651" s="109"/>
      <c r="BU651" s="109"/>
      <c r="BV651" s="109"/>
    </row>
    <row r="652" spans="1:74" s="92" customFormat="1" ht="15" hidden="1" customHeight="1">
      <c r="A652" s="109">
        <v>648</v>
      </c>
      <c r="B652" s="26" t="s">
        <v>1303</v>
      </c>
      <c r="C652" s="27" t="s">
        <v>1304</v>
      </c>
      <c r="D652" s="26" t="s">
        <v>21</v>
      </c>
      <c r="E652" s="109"/>
      <c r="F652" s="109"/>
      <c r="G652" s="108">
        <v>9</v>
      </c>
      <c r="H652" s="26">
        <f t="shared" si="30"/>
        <v>0</v>
      </c>
      <c r="I652" s="26">
        <f t="shared" si="31"/>
        <v>0</v>
      </c>
      <c r="J652" s="108">
        <f t="shared" si="32"/>
        <v>9</v>
      </c>
      <c r="K652" s="108"/>
      <c r="L652" s="108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  <c r="AO652" s="109"/>
      <c r="AP652" s="109"/>
      <c r="AQ652" s="109"/>
      <c r="AR652" s="109"/>
      <c r="AS652" s="109"/>
      <c r="AT652" s="109"/>
      <c r="AU652" s="109"/>
      <c r="AV652" s="109"/>
      <c r="AW652" s="109"/>
      <c r="AX652" s="109"/>
      <c r="AY652" s="109"/>
      <c r="AZ652" s="109"/>
      <c r="BA652" s="109"/>
      <c r="BB652" s="109"/>
      <c r="BC652" s="109"/>
      <c r="BD652" s="109"/>
      <c r="BE652" s="109"/>
      <c r="BF652" s="109"/>
      <c r="BG652" s="109"/>
      <c r="BH652" s="109"/>
      <c r="BI652" s="109"/>
      <c r="BJ652" s="109"/>
      <c r="BK652" s="109"/>
      <c r="BL652" s="109"/>
      <c r="BM652" s="109"/>
      <c r="BN652" s="109"/>
      <c r="BO652" s="109"/>
      <c r="BP652" s="109"/>
      <c r="BQ652" s="109"/>
      <c r="BR652" s="109"/>
      <c r="BS652" s="109"/>
      <c r="BT652" s="109"/>
      <c r="BU652" s="109"/>
      <c r="BV652" s="109"/>
    </row>
    <row r="653" spans="1:74" s="92" customFormat="1" ht="15" hidden="1" customHeight="1">
      <c r="A653" s="109">
        <v>649</v>
      </c>
      <c r="B653" s="26" t="s">
        <v>1305</v>
      </c>
      <c r="C653" s="27" t="s">
        <v>1306</v>
      </c>
      <c r="D653" s="26" t="s">
        <v>21</v>
      </c>
      <c r="E653" s="109"/>
      <c r="F653" s="109"/>
      <c r="G653" s="108">
        <v>10</v>
      </c>
      <c r="H653" s="26">
        <f t="shared" si="30"/>
        <v>0</v>
      </c>
      <c r="I653" s="26">
        <f t="shared" si="31"/>
        <v>0</v>
      </c>
      <c r="J653" s="108">
        <f t="shared" si="32"/>
        <v>10</v>
      </c>
      <c r="K653" s="108"/>
      <c r="L653" s="108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  <c r="AO653" s="109"/>
      <c r="AP653" s="109"/>
      <c r="AQ653" s="109"/>
      <c r="AR653" s="109"/>
      <c r="AS653" s="109"/>
      <c r="AT653" s="109"/>
      <c r="AU653" s="109"/>
      <c r="AV653" s="109"/>
      <c r="AW653" s="109"/>
      <c r="AX653" s="109"/>
      <c r="AY653" s="109"/>
      <c r="AZ653" s="109"/>
      <c r="BA653" s="109"/>
      <c r="BB653" s="109"/>
      <c r="BC653" s="109"/>
      <c r="BD653" s="109"/>
      <c r="BE653" s="109"/>
      <c r="BF653" s="109"/>
      <c r="BG653" s="109"/>
      <c r="BH653" s="109"/>
      <c r="BI653" s="109"/>
      <c r="BJ653" s="109"/>
      <c r="BK653" s="109"/>
      <c r="BL653" s="109"/>
      <c r="BM653" s="109"/>
      <c r="BN653" s="109"/>
      <c r="BO653" s="109"/>
      <c r="BP653" s="109"/>
      <c r="BQ653" s="109"/>
      <c r="BR653" s="109"/>
      <c r="BS653" s="109"/>
      <c r="BT653" s="109"/>
      <c r="BU653" s="109"/>
      <c r="BV653" s="109"/>
    </row>
    <row r="654" spans="1:74" s="92" customFormat="1" ht="15" hidden="1" customHeight="1">
      <c r="A654" s="109">
        <v>650</v>
      </c>
      <c r="B654" s="26" t="s">
        <v>1307</v>
      </c>
      <c r="C654" s="27" t="s">
        <v>1308</v>
      </c>
      <c r="D654" s="26" t="s">
        <v>21</v>
      </c>
      <c r="E654" s="109"/>
      <c r="F654" s="109"/>
      <c r="G654" s="108">
        <v>5</v>
      </c>
      <c r="H654" s="26">
        <f t="shared" si="30"/>
        <v>0</v>
      </c>
      <c r="I654" s="26">
        <f t="shared" si="31"/>
        <v>0</v>
      </c>
      <c r="J654" s="108">
        <f t="shared" si="32"/>
        <v>5</v>
      </c>
      <c r="K654" s="108"/>
      <c r="L654" s="108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  <c r="AO654" s="109"/>
      <c r="AP654" s="109"/>
      <c r="AQ654" s="109"/>
      <c r="AR654" s="109"/>
      <c r="AS654" s="109"/>
      <c r="AT654" s="109"/>
      <c r="AU654" s="109"/>
      <c r="AV654" s="109"/>
      <c r="AW654" s="109"/>
      <c r="AX654" s="109"/>
      <c r="AY654" s="109"/>
      <c r="AZ654" s="109"/>
      <c r="BA654" s="109"/>
      <c r="BB654" s="109"/>
      <c r="BC654" s="109"/>
      <c r="BD654" s="109"/>
      <c r="BE654" s="109"/>
      <c r="BF654" s="109"/>
      <c r="BG654" s="109"/>
      <c r="BH654" s="109"/>
      <c r="BI654" s="109"/>
      <c r="BJ654" s="109"/>
      <c r="BK654" s="109"/>
      <c r="BL654" s="109"/>
      <c r="BM654" s="109"/>
      <c r="BN654" s="109"/>
      <c r="BO654" s="109"/>
      <c r="BP654" s="109"/>
      <c r="BQ654" s="109"/>
      <c r="BR654" s="109"/>
      <c r="BS654" s="109"/>
      <c r="BT654" s="109"/>
      <c r="BU654" s="109"/>
      <c r="BV654" s="109"/>
    </row>
    <row r="655" spans="1:74" s="50" customFormat="1" ht="15" hidden="1" customHeight="1">
      <c r="A655" s="142">
        <v>651</v>
      </c>
      <c r="B655" s="143" t="s">
        <v>1309</v>
      </c>
      <c r="C655" s="144" t="s">
        <v>1310</v>
      </c>
      <c r="D655" s="143" t="s">
        <v>21</v>
      </c>
      <c r="E655" s="109"/>
      <c r="F655" s="109"/>
      <c r="G655" s="110">
        <v>646</v>
      </c>
      <c r="H655" s="3">
        <f t="shared" si="30"/>
        <v>0</v>
      </c>
      <c r="I655" s="3">
        <f t="shared" si="31"/>
        <v>144</v>
      </c>
      <c r="J655" s="110">
        <f t="shared" si="32"/>
        <v>502</v>
      </c>
      <c r="K655" s="110"/>
      <c r="L655" s="110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>
        <v>84</v>
      </c>
      <c r="AA655" s="111"/>
      <c r="AB655" s="111"/>
      <c r="AC655" s="111"/>
      <c r="AD655" s="111"/>
      <c r="AE655" s="111"/>
      <c r="AF655" s="111"/>
      <c r="AG655" s="111"/>
      <c r="AH655" s="111"/>
      <c r="AI655" s="111"/>
      <c r="AJ655" s="111"/>
      <c r="AK655" s="111"/>
      <c r="AL655" s="111"/>
      <c r="AM655" s="111"/>
      <c r="AN655" s="111"/>
      <c r="AO655" s="111"/>
      <c r="AP655" s="111">
        <v>60</v>
      </c>
      <c r="AQ655" s="111"/>
      <c r="AR655" s="111"/>
      <c r="AS655" s="111"/>
      <c r="AT655" s="111"/>
      <c r="AU655" s="111"/>
      <c r="AV655" s="111"/>
      <c r="AW655" s="111"/>
      <c r="AX655" s="111"/>
      <c r="AY655" s="111"/>
      <c r="AZ655" s="111"/>
      <c r="BA655" s="111"/>
      <c r="BB655" s="111"/>
      <c r="BC655" s="111"/>
      <c r="BD655" s="111"/>
      <c r="BE655" s="111"/>
      <c r="BF655" s="111"/>
      <c r="BG655" s="111"/>
      <c r="BH655" s="111"/>
      <c r="BI655" s="111"/>
      <c r="BJ655" s="111"/>
      <c r="BK655" s="111"/>
      <c r="BL655" s="111"/>
      <c r="BM655" s="111"/>
      <c r="BN655" s="111"/>
      <c r="BO655" s="111"/>
      <c r="BP655" s="111"/>
      <c r="BQ655" s="111"/>
      <c r="BR655" s="111"/>
      <c r="BS655" s="111"/>
      <c r="BT655" s="111"/>
      <c r="BU655" s="111"/>
      <c r="BV655" s="111"/>
    </row>
    <row r="656" spans="1:74" s="50" customFormat="1" ht="15" hidden="1" customHeight="1">
      <c r="A656" s="109">
        <v>652</v>
      </c>
      <c r="B656" s="109" t="s">
        <v>1311</v>
      </c>
      <c r="C656" s="114" t="s">
        <v>1312</v>
      </c>
      <c r="D656" s="26" t="s">
        <v>21</v>
      </c>
      <c r="E656" s="109"/>
      <c r="F656" s="109"/>
      <c r="G656" s="110">
        <v>4</v>
      </c>
      <c r="H656" s="3">
        <f t="shared" si="30"/>
        <v>0</v>
      </c>
      <c r="I656" s="3">
        <f t="shared" si="31"/>
        <v>0</v>
      </c>
      <c r="J656" s="110">
        <f t="shared" si="32"/>
        <v>4</v>
      </c>
      <c r="K656" s="110"/>
      <c r="L656" s="110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  <c r="AJ656" s="111"/>
      <c r="AK656" s="111"/>
      <c r="AL656" s="111"/>
      <c r="AM656" s="111"/>
      <c r="AN656" s="111"/>
      <c r="AO656" s="111"/>
      <c r="AP656" s="111"/>
      <c r="AQ656" s="111"/>
      <c r="AR656" s="111"/>
      <c r="AS656" s="111"/>
      <c r="AT656" s="111"/>
      <c r="AU656" s="111"/>
      <c r="AV656" s="111"/>
      <c r="AW656" s="111"/>
      <c r="AX656" s="111"/>
      <c r="AY656" s="111"/>
      <c r="AZ656" s="111"/>
      <c r="BA656" s="111"/>
      <c r="BB656" s="111"/>
      <c r="BC656" s="111"/>
      <c r="BD656" s="111"/>
      <c r="BE656" s="111"/>
      <c r="BF656" s="111"/>
      <c r="BG656" s="111"/>
      <c r="BH656" s="111"/>
      <c r="BI656" s="111"/>
      <c r="BJ656" s="111"/>
      <c r="BK656" s="111"/>
      <c r="BL656" s="111"/>
      <c r="BM656" s="111"/>
      <c r="BN656" s="111"/>
      <c r="BO656" s="111"/>
      <c r="BP656" s="111"/>
      <c r="BQ656" s="111"/>
      <c r="BR656" s="111"/>
      <c r="BS656" s="111"/>
      <c r="BT656" s="111"/>
      <c r="BU656" s="111"/>
      <c r="BV656" s="111"/>
    </row>
    <row r="657" spans="1:74" s="50" customFormat="1" ht="15" hidden="1" customHeight="1">
      <c r="A657" s="109">
        <v>653</v>
      </c>
      <c r="B657" s="26" t="s">
        <v>1313</v>
      </c>
      <c r="C657" s="27" t="s">
        <v>1314</v>
      </c>
      <c r="D657" s="26" t="s">
        <v>21</v>
      </c>
      <c r="E657" s="109"/>
      <c r="F657" s="109"/>
      <c r="G657" s="110">
        <v>0</v>
      </c>
      <c r="H657" s="3">
        <f t="shared" si="30"/>
        <v>0</v>
      </c>
      <c r="I657" s="3">
        <f t="shared" si="31"/>
        <v>0</v>
      </c>
      <c r="J657" s="110">
        <f t="shared" si="32"/>
        <v>0</v>
      </c>
      <c r="K657" s="110"/>
      <c r="L657" s="110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  <c r="AJ657" s="111"/>
      <c r="AK657" s="111"/>
      <c r="AL657" s="111"/>
      <c r="AM657" s="111"/>
      <c r="AN657" s="111"/>
      <c r="AO657" s="111"/>
      <c r="AP657" s="111"/>
      <c r="AQ657" s="111"/>
      <c r="AR657" s="111"/>
      <c r="AS657" s="111"/>
      <c r="AT657" s="111"/>
      <c r="AU657" s="111"/>
      <c r="AV657" s="111"/>
      <c r="AW657" s="111"/>
      <c r="AX657" s="111"/>
      <c r="AY657" s="111"/>
      <c r="AZ657" s="111"/>
      <c r="BA657" s="111"/>
      <c r="BB657" s="111"/>
      <c r="BC657" s="111"/>
      <c r="BD657" s="111"/>
      <c r="BE657" s="111"/>
      <c r="BF657" s="111"/>
      <c r="BG657" s="111"/>
      <c r="BH657" s="111"/>
      <c r="BI657" s="111"/>
      <c r="BJ657" s="111"/>
      <c r="BK657" s="111"/>
      <c r="BL657" s="111"/>
      <c r="BM657" s="111"/>
      <c r="BN657" s="111"/>
      <c r="BO657" s="111"/>
      <c r="BP657" s="111"/>
      <c r="BQ657" s="111"/>
      <c r="BR657" s="111"/>
      <c r="BS657" s="111"/>
      <c r="BT657" s="111"/>
      <c r="BU657" s="111"/>
      <c r="BV657" s="111"/>
    </row>
    <row r="658" spans="1:74" s="50" customFormat="1" ht="15" hidden="1" customHeight="1">
      <c r="A658" s="109">
        <v>654</v>
      </c>
      <c r="B658" s="26" t="s">
        <v>1315</v>
      </c>
      <c r="C658" s="27" t="s">
        <v>1316</v>
      </c>
      <c r="D658" s="26" t="s">
        <v>21</v>
      </c>
      <c r="E658" s="109"/>
      <c r="F658" s="109"/>
      <c r="G658" s="110">
        <v>12</v>
      </c>
      <c r="H658" s="3">
        <f t="shared" si="30"/>
        <v>0</v>
      </c>
      <c r="I658" s="3">
        <f t="shared" si="31"/>
        <v>0</v>
      </c>
      <c r="J658" s="110">
        <f t="shared" si="32"/>
        <v>12</v>
      </c>
      <c r="K658" s="110"/>
      <c r="L658" s="110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  <c r="AJ658" s="111"/>
      <c r="AK658" s="111"/>
      <c r="AL658" s="111"/>
      <c r="AM658" s="111"/>
      <c r="AN658" s="111"/>
      <c r="AO658" s="111"/>
      <c r="AP658" s="111"/>
      <c r="AQ658" s="111"/>
      <c r="AR658" s="111"/>
      <c r="AS658" s="111"/>
      <c r="AT658" s="111"/>
      <c r="AU658" s="111"/>
      <c r="AV658" s="111"/>
      <c r="AW658" s="111"/>
      <c r="AX658" s="111"/>
      <c r="AY658" s="111"/>
      <c r="AZ658" s="111"/>
      <c r="BA658" s="111"/>
      <c r="BB658" s="111"/>
      <c r="BC658" s="111"/>
      <c r="BD658" s="111"/>
      <c r="BE658" s="111"/>
      <c r="BF658" s="111"/>
      <c r="BG658" s="111"/>
      <c r="BH658" s="111"/>
      <c r="BI658" s="111"/>
      <c r="BJ658" s="111"/>
      <c r="BK658" s="111"/>
      <c r="BL658" s="111"/>
      <c r="BM658" s="111"/>
      <c r="BN658" s="111"/>
      <c r="BO658" s="111"/>
      <c r="BP658" s="111"/>
      <c r="BQ658" s="111"/>
      <c r="BR658" s="111"/>
      <c r="BS658" s="111"/>
      <c r="BT658" s="111"/>
      <c r="BU658" s="111"/>
      <c r="BV658" s="111"/>
    </row>
    <row r="659" spans="1:74" s="50" customFormat="1" ht="15" hidden="1" customHeight="1">
      <c r="A659" s="109">
        <v>655</v>
      </c>
      <c r="B659" s="116" t="s">
        <v>1317</v>
      </c>
      <c r="C659" s="138" t="s">
        <v>1318</v>
      </c>
      <c r="D659" s="26" t="s">
        <v>21</v>
      </c>
      <c r="E659" s="109"/>
      <c r="F659" s="109"/>
      <c r="G659" s="110">
        <v>0</v>
      </c>
      <c r="H659" s="3">
        <f t="shared" si="30"/>
        <v>0</v>
      </c>
      <c r="I659" s="3">
        <f t="shared" si="31"/>
        <v>0</v>
      </c>
      <c r="J659" s="110">
        <f t="shared" si="32"/>
        <v>0</v>
      </c>
      <c r="K659" s="110"/>
      <c r="L659" s="110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  <c r="AJ659" s="111"/>
      <c r="AK659" s="111"/>
      <c r="AL659" s="111"/>
      <c r="AM659" s="111"/>
      <c r="AN659" s="111"/>
      <c r="AO659" s="111"/>
      <c r="AP659" s="111"/>
      <c r="AQ659" s="111"/>
      <c r="AR659" s="111"/>
      <c r="AS659" s="111"/>
      <c r="AT659" s="111"/>
      <c r="AU659" s="111"/>
      <c r="AV659" s="111"/>
      <c r="AW659" s="111"/>
      <c r="AX659" s="111"/>
      <c r="AY659" s="111"/>
      <c r="AZ659" s="111"/>
      <c r="BA659" s="111"/>
      <c r="BB659" s="111"/>
      <c r="BC659" s="111"/>
      <c r="BD659" s="111"/>
      <c r="BE659" s="111"/>
      <c r="BF659" s="111"/>
      <c r="BG659" s="111"/>
      <c r="BH659" s="111"/>
      <c r="BI659" s="111"/>
      <c r="BJ659" s="111"/>
      <c r="BK659" s="111"/>
      <c r="BL659" s="111"/>
      <c r="BM659" s="111"/>
      <c r="BN659" s="111"/>
      <c r="BO659" s="111"/>
      <c r="BP659" s="111"/>
      <c r="BQ659" s="111"/>
      <c r="BR659" s="111"/>
      <c r="BS659" s="111"/>
      <c r="BT659" s="111"/>
      <c r="BU659" s="111"/>
      <c r="BV659" s="111"/>
    </row>
    <row r="660" spans="1:74" s="50" customFormat="1" ht="14.25" hidden="1" customHeight="1">
      <c r="A660" s="109">
        <v>656</v>
      </c>
      <c r="B660" s="112" t="s">
        <v>1319</v>
      </c>
      <c r="C660" s="129" t="s">
        <v>1320</v>
      </c>
      <c r="D660" s="26" t="s">
        <v>21</v>
      </c>
      <c r="E660" s="109"/>
      <c r="F660" s="109"/>
      <c r="G660" s="110">
        <v>0</v>
      </c>
      <c r="H660" s="3">
        <f t="shared" si="30"/>
        <v>0</v>
      </c>
      <c r="I660" s="3">
        <f t="shared" si="31"/>
        <v>0</v>
      </c>
      <c r="J660" s="110">
        <f t="shared" si="32"/>
        <v>0</v>
      </c>
      <c r="K660" s="110"/>
      <c r="L660" s="110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  <c r="AJ660" s="111"/>
      <c r="AK660" s="111"/>
      <c r="AL660" s="111"/>
      <c r="AM660" s="111"/>
      <c r="AN660" s="111"/>
      <c r="AO660" s="111"/>
      <c r="AP660" s="111"/>
      <c r="AQ660" s="111"/>
      <c r="AR660" s="111"/>
      <c r="AS660" s="111"/>
      <c r="AT660" s="111"/>
      <c r="AU660" s="111"/>
      <c r="AV660" s="111"/>
      <c r="AW660" s="111"/>
      <c r="AX660" s="111"/>
      <c r="AY660" s="111"/>
      <c r="AZ660" s="111"/>
      <c r="BA660" s="111"/>
      <c r="BB660" s="111"/>
      <c r="BC660" s="111"/>
      <c r="BD660" s="111"/>
      <c r="BE660" s="111"/>
      <c r="BF660" s="111"/>
      <c r="BG660" s="111"/>
      <c r="BH660" s="111"/>
      <c r="BI660" s="111"/>
      <c r="BJ660" s="111"/>
      <c r="BK660" s="111"/>
      <c r="BL660" s="111"/>
      <c r="BM660" s="111"/>
      <c r="BN660" s="111"/>
      <c r="BO660" s="111"/>
      <c r="BP660" s="111"/>
      <c r="BQ660" s="111"/>
      <c r="BR660" s="111"/>
      <c r="BS660" s="111"/>
      <c r="BT660" s="111"/>
      <c r="BU660" s="111"/>
      <c r="BV660" s="111"/>
    </row>
    <row r="661" spans="1:74" s="50" customFormat="1" ht="15" hidden="1" customHeight="1">
      <c r="A661" s="109">
        <v>657</v>
      </c>
      <c r="B661" s="112" t="s">
        <v>1321</v>
      </c>
      <c r="C661" s="141" t="s">
        <v>1322</v>
      </c>
      <c r="D661" s="26" t="s">
        <v>21</v>
      </c>
      <c r="E661" s="109"/>
      <c r="F661" s="109"/>
      <c r="G661" s="110">
        <v>10</v>
      </c>
      <c r="H661" s="3">
        <f t="shared" si="30"/>
        <v>0</v>
      </c>
      <c r="I661" s="3">
        <f t="shared" si="31"/>
        <v>0</v>
      </c>
      <c r="J661" s="110">
        <f t="shared" si="32"/>
        <v>10</v>
      </c>
      <c r="K661" s="110"/>
      <c r="L661" s="110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  <c r="AJ661" s="111"/>
      <c r="AK661" s="111"/>
      <c r="AL661" s="111"/>
      <c r="AM661" s="111"/>
      <c r="AN661" s="111"/>
      <c r="AO661" s="111"/>
      <c r="AP661" s="111"/>
      <c r="AQ661" s="111"/>
      <c r="AR661" s="111"/>
      <c r="AS661" s="111"/>
      <c r="AT661" s="111"/>
      <c r="AU661" s="111"/>
      <c r="AV661" s="111"/>
      <c r="AW661" s="111"/>
      <c r="AX661" s="111"/>
      <c r="AY661" s="111"/>
      <c r="AZ661" s="111"/>
      <c r="BA661" s="111"/>
      <c r="BB661" s="111"/>
      <c r="BC661" s="111"/>
      <c r="BD661" s="111"/>
      <c r="BE661" s="111"/>
      <c r="BF661" s="111"/>
      <c r="BG661" s="111"/>
      <c r="BH661" s="111"/>
      <c r="BI661" s="111"/>
      <c r="BJ661" s="111"/>
      <c r="BK661" s="111"/>
      <c r="BL661" s="111"/>
      <c r="BM661" s="111"/>
      <c r="BN661" s="111"/>
      <c r="BO661" s="111"/>
      <c r="BP661" s="111"/>
      <c r="BQ661" s="111"/>
      <c r="BR661" s="111"/>
      <c r="BS661" s="111"/>
      <c r="BT661" s="111"/>
      <c r="BU661" s="111"/>
      <c r="BV661" s="111"/>
    </row>
    <row r="662" spans="1:74" s="50" customFormat="1" ht="15" hidden="1" customHeight="1">
      <c r="A662" s="109">
        <v>658</v>
      </c>
      <c r="B662" s="26" t="s">
        <v>1323</v>
      </c>
      <c r="C662" s="27" t="s">
        <v>1324</v>
      </c>
      <c r="D662" s="26" t="s">
        <v>21</v>
      </c>
      <c r="E662" s="109"/>
      <c r="F662" s="109"/>
      <c r="G662" s="110">
        <v>0</v>
      </c>
      <c r="H662" s="3">
        <f t="shared" si="30"/>
        <v>0</v>
      </c>
      <c r="I662" s="3">
        <f t="shared" si="31"/>
        <v>0</v>
      </c>
      <c r="J662" s="110">
        <f t="shared" si="32"/>
        <v>0</v>
      </c>
      <c r="K662" s="110"/>
      <c r="L662" s="110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  <c r="AJ662" s="111"/>
      <c r="AK662" s="111"/>
      <c r="AL662" s="111"/>
      <c r="AM662" s="111"/>
      <c r="AN662" s="111"/>
      <c r="AO662" s="111"/>
      <c r="AP662" s="111"/>
      <c r="AQ662" s="111"/>
      <c r="AR662" s="111"/>
      <c r="AS662" s="111"/>
      <c r="AT662" s="111"/>
      <c r="AU662" s="111"/>
      <c r="AV662" s="111"/>
      <c r="AW662" s="111"/>
      <c r="AX662" s="111"/>
      <c r="AY662" s="111"/>
      <c r="AZ662" s="111"/>
      <c r="BA662" s="111"/>
      <c r="BB662" s="111"/>
      <c r="BC662" s="111"/>
      <c r="BD662" s="111"/>
      <c r="BE662" s="111"/>
      <c r="BF662" s="111"/>
      <c r="BG662" s="111"/>
      <c r="BH662" s="111"/>
      <c r="BI662" s="111"/>
      <c r="BJ662" s="111"/>
      <c r="BK662" s="111"/>
      <c r="BL662" s="111"/>
      <c r="BM662" s="111"/>
      <c r="BN662" s="111"/>
      <c r="BO662" s="111"/>
      <c r="BP662" s="111"/>
      <c r="BQ662" s="111"/>
      <c r="BR662" s="111"/>
      <c r="BS662" s="111"/>
      <c r="BT662" s="111"/>
      <c r="BU662" s="111"/>
      <c r="BV662" s="111"/>
    </row>
    <row r="663" spans="1:74" s="50" customFormat="1" ht="15" hidden="1" customHeight="1">
      <c r="A663" s="109">
        <v>659</v>
      </c>
      <c r="B663" s="26" t="s">
        <v>1325</v>
      </c>
      <c r="C663" s="27" t="s">
        <v>1326</v>
      </c>
      <c r="D663" s="26" t="s">
        <v>21</v>
      </c>
      <c r="E663" s="109"/>
      <c r="F663" s="109"/>
      <c r="G663" s="110">
        <v>2</v>
      </c>
      <c r="H663" s="3">
        <f t="shared" si="30"/>
        <v>0</v>
      </c>
      <c r="I663" s="3">
        <f t="shared" si="31"/>
        <v>0</v>
      </c>
      <c r="J663" s="110">
        <f t="shared" si="32"/>
        <v>2</v>
      </c>
      <c r="K663" s="110"/>
      <c r="L663" s="110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  <c r="AJ663" s="111"/>
      <c r="AK663" s="111"/>
      <c r="AL663" s="111"/>
      <c r="AM663" s="111"/>
      <c r="AN663" s="111"/>
      <c r="AO663" s="111"/>
      <c r="AP663" s="111"/>
      <c r="AQ663" s="111"/>
      <c r="AR663" s="111"/>
      <c r="AS663" s="111"/>
      <c r="AT663" s="111"/>
      <c r="AU663" s="111"/>
      <c r="AV663" s="111"/>
      <c r="AW663" s="111"/>
      <c r="AX663" s="111"/>
      <c r="AY663" s="111"/>
      <c r="AZ663" s="111"/>
      <c r="BA663" s="111"/>
      <c r="BB663" s="111"/>
      <c r="BC663" s="111"/>
      <c r="BD663" s="111"/>
      <c r="BE663" s="111"/>
      <c r="BF663" s="111"/>
      <c r="BG663" s="111"/>
      <c r="BH663" s="111"/>
      <c r="BI663" s="111"/>
      <c r="BJ663" s="111"/>
      <c r="BK663" s="111"/>
      <c r="BL663" s="111"/>
      <c r="BM663" s="111"/>
      <c r="BN663" s="111"/>
      <c r="BO663" s="111"/>
      <c r="BP663" s="111"/>
      <c r="BQ663" s="111"/>
      <c r="BR663" s="111"/>
      <c r="BS663" s="111"/>
      <c r="BT663" s="111"/>
      <c r="BU663" s="111"/>
      <c r="BV663" s="111"/>
    </row>
    <row r="664" spans="1:74" s="50" customFormat="1" ht="30" hidden="1" customHeight="1">
      <c r="A664" s="109">
        <v>660</v>
      </c>
      <c r="B664" s="26" t="s">
        <v>1327</v>
      </c>
      <c r="C664" s="27" t="s">
        <v>1328</v>
      </c>
      <c r="D664" s="26" t="s">
        <v>21</v>
      </c>
      <c r="E664" s="109"/>
      <c r="F664" s="109"/>
      <c r="G664" s="110">
        <v>2</v>
      </c>
      <c r="H664" s="3">
        <f t="shared" si="30"/>
        <v>0</v>
      </c>
      <c r="I664" s="3">
        <f t="shared" si="31"/>
        <v>0</v>
      </c>
      <c r="J664" s="110">
        <f t="shared" si="32"/>
        <v>2</v>
      </c>
      <c r="K664" s="110"/>
      <c r="L664" s="110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  <c r="AJ664" s="111"/>
      <c r="AK664" s="111"/>
      <c r="AL664" s="111"/>
      <c r="AM664" s="111"/>
      <c r="AN664" s="111"/>
      <c r="AO664" s="111"/>
      <c r="AP664" s="111"/>
      <c r="AQ664" s="111"/>
      <c r="AR664" s="111"/>
      <c r="AS664" s="111"/>
      <c r="AT664" s="111"/>
      <c r="AU664" s="111"/>
      <c r="AV664" s="111"/>
      <c r="AW664" s="111"/>
      <c r="AX664" s="111"/>
      <c r="AY664" s="111"/>
      <c r="AZ664" s="111"/>
      <c r="BA664" s="111"/>
      <c r="BB664" s="111"/>
      <c r="BC664" s="111"/>
      <c r="BD664" s="111"/>
      <c r="BE664" s="111"/>
      <c r="BF664" s="111"/>
      <c r="BG664" s="111"/>
      <c r="BH664" s="111"/>
      <c r="BI664" s="111"/>
      <c r="BJ664" s="111"/>
      <c r="BK664" s="111"/>
      <c r="BL664" s="111"/>
      <c r="BM664" s="111"/>
      <c r="BN664" s="111"/>
      <c r="BO664" s="111"/>
      <c r="BP664" s="111"/>
      <c r="BQ664" s="111"/>
      <c r="BR664" s="111"/>
      <c r="BS664" s="111"/>
      <c r="BT664" s="111"/>
      <c r="BU664" s="111"/>
      <c r="BV664" s="111"/>
    </row>
    <row r="665" spans="1:74" s="50" customFormat="1" ht="30" hidden="1" customHeight="1">
      <c r="A665" s="109">
        <v>661</v>
      </c>
      <c r="B665" s="26" t="s">
        <v>1329</v>
      </c>
      <c r="C665" s="27" t="s">
        <v>1330</v>
      </c>
      <c r="D665" s="26" t="s">
        <v>21</v>
      </c>
      <c r="E665" s="109"/>
      <c r="F665" s="109"/>
      <c r="G665" s="110">
        <v>0</v>
      </c>
      <c r="H665" s="3">
        <f t="shared" si="30"/>
        <v>0</v>
      </c>
      <c r="I665" s="3">
        <f t="shared" si="31"/>
        <v>0</v>
      </c>
      <c r="J665" s="110">
        <f t="shared" si="32"/>
        <v>0</v>
      </c>
      <c r="K665" s="110"/>
      <c r="L665" s="110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  <c r="AJ665" s="111"/>
      <c r="AK665" s="111"/>
      <c r="AL665" s="111"/>
      <c r="AM665" s="111"/>
      <c r="AN665" s="111"/>
      <c r="AO665" s="111"/>
      <c r="AP665" s="111"/>
      <c r="AQ665" s="111"/>
      <c r="AR665" s="111"/>
      <c r="AS665" s="111"/>
      <c r="AT665" s="111"/>
      <c r="AU665" s="111"/>
      <c r="AV665" s="111"/>
      <c r="AW665" s="111"/>
      <c r="AX665" s="111"/>
      <c r="AY665" s="111"/>
      <c r="AZ665" s="111"/>
      <c r="BA665" s="111"/>
      <c r="BB665" s="111"/>
      <c r="BC665" s="111"/>
      <c r="BD665" s="111"/>
      <c r="BE665" s="111"/>
      <c r="BF665" s="111"/>
      <c r="BG665" s="111"/>
      <c r="BH665" s="111"/>
      <c r="BI665" s="111"/>
      <c r="BJ665" s="111"/>
      <c r="BK665" s="111"/>
      <c r="BL665" s="111"/>
      <c r="BM665" s="111"/>
      <c r="BN665" s="111"/>
      <c r="BO665" s="111"/>
      <c r="BP665" s="111"/>
      <c r="BQ665" s="111"/>
      <c r="BR665" s="111"/>
      <c r="BS665" s="111"/>
      <c r="BT665" s="111"/>
      <c r="BU665" s="111"/>
      <c r="BV665" s="111"/>
    </row>
    <row r="666" spans="1:74" s="50" customFormat="1" ht="30" hidden="1" customHeight="1">
      <c r="A666" s="109">
        <v>662</v>
      </c>
      <c r="B666" s="26" t="s">
        <v>1331</v>
      </c>
      <c r="C666" s="27" t="s">
        <v>1332</v>
      </c>
      <c r="D666" s="26" t="s">
        <v>21</v>
      </c>
      <c r="E666" s="109"/>
      <c r="F666" s="109"/>
      <c r="G666" s="110">
        <v>0</v>
      </c>
      <c r="H666" s="3">
        <f t="shared" si="30"/>
        <v>0</v>
      </c>
      <c r="I666" s="3">
        <f t="shared" si="31"/>
        <v>0</v>
      </c>
      <c r="J666" s="110">
        <f t="shared" si="32"/>
        <v>0</v>
      </c>
      <c r="K666" s="110"/>
      <c r="L666" s="110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  <c r="AJ666" s="111"/>
      <c r="AK666" s="111"/>
      <c r="AL666" s="111"/>
      <c r="AM666" s="111"/>
      <c r="AN666" s="111"/>
      <c r="AO666" s="111"/>
      <c r="AP666" s="111"/>
      <c r="AQ666" s="111"/>
      <c r="AR666" s="111"/>
      <c r="AS666" s="111"/>
      <c r="AT666" s="111"/>
      <c r="AU666" s="111"/>
      <c r="AV666" s="111"/>
      <c r="AW666" s="111"/>
      <c r="AX666" s="111"/>
      <c r="AY666" s="111"/>
      <c r="AZ666" s="111"/>
      <c r="BA666" s="111"/>
      <c r="BB666" s="111"/>
      <c r="BC666" s="111"/>
      <c r="BD666" s="111"/>
      <c r="BE666" s="111"/>
      <c r="BF666" s="111"/>
      <c r="BG666" s="111"/>
      <c r="BH666" s="111"/>
      <c r="BI666" s="111"/>
      <c r="BJ666" s="111"/>
      <c r="BK666" s="111"/>
      <c r="BL666" s="111"/>
      <c r="BM666" s="111"/>
      <c r="BN666" s="111"/>
      <c r="BO666" s="111"/>
      <c r="BP666" s="111"/>
      <c r="BQ666" s="111"/>
      <c r="BR666" s="111"/>
      <c r="BS666" s="111"/>
      <c r="BT666" s="111"/>
      <c r="BU666" s="111"/>
      <c r="BV666" s="111"/>
    </row>
    <row r="667" spans="1:74" s="50" customFormat="1" ht="30" hidden="1" customHeight="1">
      <c r="A667" s="109">
        <v>663</v>
      </c>
      <c r="B667" s="26" t="s">
        <v>1333</v>
      </c>
      <c r="C667" s="27" t="s">
        <v>1334</v>
      </c>
      <c r="D667" s="26" t="s">
        <v>21</v>
      </c>
      <c r="E667" s="109"/>
      <c r="F667" s="109"/>
      <c r="G667" s="110">
        <v>0</v>
      </c>
      <c r="H667" s="3">
        <f t="shared" si="30"/>
        <v>0</v>
      </c>
      <c r="I667" s="3">
        <f t="shared" si="31"/>
        <v>0</v>
      </c>
      <c r="J667" s="110">
        <f t="shared" si="32"/>
        <v>0</v>
      </c>
      <c r="K667" s="110"/>
      <c r="L667" s="110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  <c r="AJ667" s="111"/>
      <c r="AK667" s="111"/>
      <c r="AL667" s="111"/>
      <c r="AM667" s="111"/>
      <c r="AN667" s="111"/>
      <c r="AO667" s="111"/>
      <c r="AP667" s="111"/>
      <c r="AQ667" s="111"/>
      <c r="AR667" s="111"/>
      <c r="AS667" s="111"/>
      <c r="AT667" s="111"/>
      <c r="AU667" s="111"/>
      <c r="AV667" s="111"/>
      <c r="AW667" s="111"/>
      <c r="AX667" s="111"/>
      <c r="AY667" s="111"/>
      <c r="AZ667" s="111"/>
      <c r="BA667" s="111"/>
      <c r="BB667" s="111"/>
      <c r="BC667" s="111"/>
      <c r="BD667" s="111"/>
      <c r="BE667" s="111"/>
      <c r="BF667" s="111"/>
      <c r="BG667" s="111"/>
      <c r="BH667" s="111"/>
      <c r="BI667" s="111"/>
      <c r="BJ667" s="111"/>
      <c r="BK667" s="111"/>
      <c r="BL667" s="111"/>
      <c r="BM667" s="111"/>
      <c r="BN667" s="111"/>
      <c r="BO667" s="111"/>
      <c r="BP667" s="111"/>
      <c r="BQ667" s="111"/>
      <c r="BR667" s="111"/>
      <c r="BS667" s="111"/>
      <c r="BT667" s="111"/>
      <c r="BU667" s="111"/>
      <c r="BV667" s="111"/>
    </row>
    <row r="668" spans="1:74" s="50" customFormat="1" ht="45" hidden="1" customHeight="1">
      <c r="A668" s="109">
        <v>664</v>
      </c>
      <c r="B668" s="26" t="s">
        <v>1335</v>
      </c>
      <c r="C668" s="113" t="s">
        <v>1336</v>
      </c>
      <c r="D668" s="26" t="s">
        <v>21</v>
      </c>
      <c r="E668" s="109"/>
      <c r="F668" s="109"/>
      <c r="G668" s="110">
        <v>0</v>
      </c>
      <c r="H668" s="3">
        <f t="shared" si="30"/>
        <v>0</v>
      </c>
      <c r="I668" s="3">
        <f t="shared" si="31"/>
        <v>0</v>
      </c>
      <c r="J668" s="110">
        <f t="shared" si="32"/>
        <v>0</v>
      </c>
      <c r="K668" s="110"/>
      <c r="L668" s="110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  <c r="AJ668" s="111"/>
      <c r="AK668" s="111"/>
      <c r="AL668" s="111"/>
      <c r="AM668" s="111"/>
      <c r="AN668" s="111"/>
      <c r="AO668" s="111"/>
      <c r="AP668" s="111"/>
      <c r="AQ668" s="111"/>
      <c r="AR668" s="111"/>
      <c r="AS668" s="111"/>
      <c r="AT668" s="111"/>
      <c r="AU668" s="111"/>
      <c r="AV668" s="111"/>
      <c r="AW668" s="111"/>
      <c r="AX668" s="111"/>
      <c r="AY668" s="111"/>
      <c r="AZ668" s="111"/>
      <c r="BA668" s="111"/>
      <c r="BB668" s="111"/>
      <c r="BC668" s="111"/>
      <c r="BD668" s="111"/>
      <c r="BE668" s="111"/>
      <c r="BF668" s="111"/>
      <c r="BG668" s="111"/>
      <c r="BH668" s="111"/>
      <c r="BI668" s="111"/>
      <c r="BJ668" s="111"/>
      <c r="BK668" s="111"/>
      <c r="BL668" s="111"/>
      <c r="BM668" s="111"/>
      <c r="BN668" s="111"/>
      <c r="BO668" s="111"/>
      <c r="BP668" s="111"/>
      <c r="BQ668" s="111"/>
      <c r="BR668" s="111"/>
      <c r="BS668" s="111"/>
      <c r="BT668" s="111"/>
      <c r="BU668" s="111"/>
      <c r="BV668" s="111"/>
    </row>
    <row r="669" spans="1:74" s="50" customFormat="1" ht="30" hidden="1" customHeight="1">
      <c r="A669" s="109">
        <v>665</v>
      </c>
      <c r="B669" s="26" t="s">
        <v>1337</v>
      </c>
      <c r="C669" s="113" t="s">
        <v>1338</v>
      </c>
      <c r="D669" s="26" t="s">
        <v>21</v>
      </c>
      <c r="E669" s="109"/>
      <c r="F669" s="109"/>
      <c r="G669" s="110">
        <v>0</v>
      </c>
      <c r="H669" s="3">
        <f t="shared" si="30"/>
        <v>0</v>
      </c>
      <c r="I669" s="3">
        <f t="shared" si="31"/>
        <v>0</v>
      </c>
      <c r="J669" s="110">
        <f t="shared" si="32"/>
        <v>0</v>
      </c>
      <c r="K669" s="110"/>
      <c r="L669" s="110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  <c r="AJ669" s="111"/>
      <c r="AK669" s="111"/>
      <c r="AL669" s="111"/>
      <c r="AM669" s="111"/>
      <c r="AN669" s="111"/>
      <c r="AO669" s="111"/>
      <c r="AP669" s="111"/>
      <c r="AQ669" s="111"/>
      <c r="AR669" s="111"/>
      <c r="AS669" s="111"/>
      <c r="AT669" s="111"/>
      <c r="AU669" s="111"/>
      <c r="AV669" s="111"/>
      <c r="AW669" s="111"/>
      <c r="AX669" s="111"/>
      <c r="AY669" s="111"/>
      <c r="AZ669" s="111"/>
      <c r="BA669" s="111"/>
      <c r="BB669" s="111"/>
      <c r="BC669" s="111"/>
      <c r="BD669" s="111"/>
      <c r="BE669" s="111"/>
      <c r="BF669" s="111"/>
      <c r="BG669" s="111"/>
      <c r="BH669" s="111"/>
      <c r="BI669" s="111"/>
      <c r="BJ669" s="111"/>
      <c r="BK669" s="111"/>
      <c r="BL669" s="111"/>
      <c r="BM669" s="111"/>
      <c r="BN669" s="111"/>
      <c r="BO669" s="111"/>
      <c r="BP669" s="111"/>
      <c r="BQ669" s="111"/>
      <c r="BR669" s="111"/>
      <c r="BS669" s="111"/>
      <c r="BT669" s="111"/>
      <c r="BU669" s="111"/>
      <c r="BV669" s="111"/>
    </row>
    <row r="670" spans="1:74" s="50" customFormat="1" ht="30" hidden="1" customHeight="1">
      <c r="A670" s="109">
        <v>666</v>
      </c>
      <c r="B670" s="116" t="s">
        <v>1339</v>
      </c>
      <c r="C670" s="113" t="s">
        <v>1340</v>
      </c>
      <c r="D670" s="26" t="s">
        <v>21</v>
      </c>
      <c r="E670" s="109"/>
      <c r="F670" s="109"/>
      <c r="G670" s="110">
        <v>0</v>
      </c>
      <c r="H670" s="3">
        <f t="shared" si="30"/>
        <v>0</v>
      </c>
      <c r="I670" s="3">
        <f t="shared" si="31"/>
        <v>0</v>
      </c>
      <c r="J670" s="110">
        <f t="shared" si="32"/>
        <v>0</v>
      </c>
      <c r="K670" s="110"/>
      <c r="L670" s="110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/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/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/>
      <c r="BP670" s="111"/>
      <c r="BQ670" s="111"/>
      <c r="BR670" s="111"/>
      <c r="BS670" s="111"/>
      <c r="BT670" s="111"/>
      <c r="BU670" s="111"/>
      <c r="BV670" s="111"/>
    </row>
    <row r="671" spans="1:74" s="50" customFormat="1" ht="30" hidden="1" customHeight="1">
      <c r="A671" s="109">
        <v>667</v>
      </c>
      <c r="B671" s="112" t="s">
        <v>1341</v>
      </c>
      <c r="C671" s="113" t="s">
        <v>1342</v>
      </c>
      <c r="D671" s="26" t="s">
        <v>21</v>
      </c>
      <c r="E671" s="109"/>
      <c r="F671" s="109"/>
      <c r="G671" s="110">
        <v>0</v>
      </c>
      <c r="H671" s="3">
        <f t="shared" si="30"/>
        <v>0</v>
      </c>
      <c r="I671" s="3">
        <f t="shared" si="31"/>
        <v>0</v>
      </c>
      <c r="J671" s="110">
        <f t="shared" si="32"/>
        <v>0</v>
      </c>
      <c r="K671" s="110"/>
      <c r="L671" s="110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/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/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/>
      <c r="BP671" s="111"/>
      <c r="BQ671" s="111"/>
      <c r="BR671" s="111"/>
      <c r="BS671" s="111"/>
      <c r="BT671" s="111"/>
      <c r="BU671" s="111"/>
      <c r="BV671" s="111"/>
    </row>
    <row r="672" spans="1:74" s="50" customFormat="1" ht="30" hidden="1" customHeight="1">
      <c r="A672" s="109">
        <v>668</v>
      </c>
      <c r="B672" s="26" t="s">
        <v>1343</v>
      </c>
      <c r="C672" s="27" t="s">
        <v>1344</v>
      </c>
      <c r="D672" s="26" t="s">
        <v>21</v>
      </c>
      <c r="E672" s="109"/>
      <c r="F672" s="109"/>
      <c r="G672" s="110">
        <v>0</v>
      </c>
      <c r="H672" s="3">
        <f t="shared" si="30"/>
        <v>0</v>
      </c>
      <c r="I672" s="3">
        <f t="shared" si="31"/>
        <v>0</v>
      </c>
      <c r="J672" s="110">
        <f t="shared" si="32"/>
        <v>0</v>
      </c>
      <c r="K672" s="110"/>
      <c r="L672" s="110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  <c r="AJ672" s="111"/>
      <c r="AK672" s="111"/>
      <c r="AL672" s="111"/>
      <c r="AM672" s="111"/>
      <c r="AN672" s="111"/>
      <c r="AO672" s="111"/>
      <c r="AP672" s="111"/>
      <c r="AQ672" s="111"/>
      <c r="AR672" s="111"/>
      <c r="AS672" s="111"/>
      <c r="AT672" s="111"/>
      <c r="AU672" s="111"/>
      <c r="AV672" s="111"/>
      <c r="AW672" s="111"/>
      <c r="AX672" s="111"/>
      <c r="AY672" s="111"/>
      <c r="AZ672" s="111"/>
      <c r="BA672" s="111"/>
      <c r="BB672" s="111"/>
      <c r="BC672" s="111"/>
      <c r="BD672" s="111"/>
      <c r="BE672" s="111"/>
      <c r="BF672" s="111"/>
      <c r="BG672" s="111"/>
      <c r="BH672" s="111"/>
      <c r="BI672" s="111"/>
      <c r="BJ672" s="111"/>
      <c r="BK672" s="111"/>
      <c r="BL672" s="111"/>
      <c r="BM672" s="111"/>
      <c r="BN672" s="111"/>
      <c r="BO672" s="111"/>
      <c r="BP672" s="111"/>
      <c r="BQ672" s="111"/>
      <c r="BR672" s="111"/>
      <c r="BS672" s="111"/>
      <c r="BT672" s="111"/>
      <c r="BU672" s="111"/>
      <c r="BV672" s="111"/>
    </row>
    <row r="673" spans="1:74" s="50" customFormat="1" ht="30" hidden="1" customHeight="1">
      <c r="A673" s="109">
        <v>669</v>
      </c>
      <c r="B673" s="26" t="s">
        <v>1345</v>
      </c>
      <c r="C673" s="27" t="s">
        <v>1346</v>
      </c>
      <c r="D673" s="26" t="s">
        <v>21</v>
      </c>
      <c r="E673" s="109"/>
      <c r="F673" s="109"/>
      <c r="G673" s="110">
        <v>14</v>
      </c>
      <c r="H673" s="3">
        <f t="shared" si="30"/>
        <v>0</v>
      </c>
      <c r="I673" s="3">
        <f t="shared" si="31"/>
        <v>0</v>
      </c>
      <c r="J673" s="110">
        <f t="shared" si="32"/>
        <v>14</v>
      </c>
      <c r="K673" s="110"/>
      <c r="L673" s="110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/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/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/>
      <c r="BP673" s="111"/>
      <c r="BQ673" s="111"/>
      <c r="BR673" s="111"/>
      <c r="BS673" s="111"/>
      <c r="BT673" s="111"/>
      <c r="BU673" s="111"/>
      <c r="BV673" s="111"/>
    </row>
    <row r="674" spans="1:74" s="50" customFormat="1" ht="15" hidden="1" customHeight="1">
      <c r="A674" s="109">
        <v>670</v>
      </c>
      <c r="B674" s="26" t="s">
        <v>1347</v>
      </c>
      <c r="C674" s="125" t="s">
        <v>1348</v>
      </c>
      <c r="D674" s="26" t="s">
        <v>21</v>
      </c>
      <c r="E674" s="109"/>
      <c r="F674" s="109"/>
      <c r="G674" s="108">
        <v>14</v>
      </c>
      <c r="H674" s="26">
        <f t="shared" si="30"/>
        <v>0</v>
      </c>
      <c r="I674" s="26">
        <f t="shared" si="31"/>
        <v>0</v>
      </c>
      <c r="J674" s="108">
        <f t="shared" si="32"/>
        <v>14</v>
      </c>
      <c r="K674" s="108"/>
      <c r="L674" s="108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  <c r="AJ674" s="111"/>
      <c r="AK674" s="111"/>
      <c r="AL674" s="111"/>
      <c r="AM674" s="111"/>
      <c r="AN674" s="111"/>
      <c r="AO674" s="111"/>
      <c r="AP674" s="111"/>
      <c r="AQ674" s="111"/>
      <c r="AR674" s="111"/>
      <c r="AS674" s="111"/>
      <c r="AT674" s="111"/>
      <c r="AU674" s="111"/>
      <c r="AV674" s="111"/>
      <c r="AW674" s="111"/>
      <c r="AX674" s="111"/>
      <c r="AY674" s="111"/>
      <c r="AZ674" s="111"/>
      <c r="BA674" s="111"/>
      <c r="BB674" s="111"/>
      <c r="BC674" s="111"/>
      <c r="BD674" s="111"/>
      <c r="BE674" s="111"/>
      <c r="BF674" s="111"/>
      <c r="BG674" s="111"/>
      <c r="BH674" s="111"/>
      <c r="BI674" s="111"/>
      <c r="BJ674" s="111"/>
      <c r="BK674" s="111"/>
      <c r="BL674" s="111"/>
      <c r="BM674" s="111"/>
      <c r="BN674" s="111"/>
      <c r="BO674" s="111"/>
      <c r="BP674" s="111"/>
      <c r="BQ674" s="111"/>
      <c r="BR674" s="111"/>
      <c r="BS674" s="111"/>
      <c r="BT674" s="111"/>
      <c r="BU674" s="111"/>
      <c r="BV674" s="111"/>
    </row>
    <row r="675" spans="1:74" s="50" customFormat="1" ht="15" hidden="1" customHeight="1">
      <c r="A675" s="109">
        <v>671</v>
      </c>
      <c r="B675" s="26" t="s">
        <v>1349</v>
      </c>
      <c r="C675" s="27" t="s">
        <v>1350</v>
      </c>
      <c r="D675" s="26" t="s">
        <v>21</v>
      </c>
      <c r="E675" s="109"/>
      <c r="F675" s="109"/>
      <c r="G675" s="110">
        <v>0</v>
      </c>
      <c r="H675" s="3">
        <f t="shared" si="30"/>
        <v>0</v>
      </c>
      <c r="I675" s="3">
        <f t="shared" si="31"/>
        <v>0</v>
      </c>
      <c r="J675" s="110">
        <f t="shared" si="32"/>
        <v>0</v>
      </c>
      <c r="K675" s="110"/>
      <c r="L675" s="110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  <c r="AJ675" s="111"/>
      <c r="AK675" s="111"/>
      <c r="AL675" s="111"/>
      <c r="AM675" s="111"/>
      <c r="AN675" s="111"/>
      <c r="AO675" s="111"/>
      <c r="AP675" s="111"/>
      <c r="AQ675" s="111"/>
      <c r="AR675" s="111"/>
      <c r="AS675" s="111"/>
      <c r="AT675" s="111"/>
      <c r="AU675" s="111"/>
      <c r="AV675" s="111"/>
      <c r="AW675" s="111"/>
      <c r="AX675" s="111"/>
      <c r="AY675" s="111"/>
      <c r="AZ675" s="111"/>
      <c r="BA675" s="111"/>
      <c r="BB675" s="111"/>
      <c r="BC675" s="111"/>
      <c r="BD675" s="111"/>
      <c r="BE675" s="111"/>
      <c r="BF675" s="111"/>
      <c r="BG675" s="111"/>
      <c r="BH675" s="111"/>
      <c r="BI675" s="111"/>
      <c r="BJ675" s="111"/>
      <c r="BK675" s="111"/>
      <c r="BL675" s="111"/>
      <c r="BM675" s="111"/>
      <c r="BN675" s="111"/>
      <c r="BO675" s="111"/>
      <c r="BP675" s="111"/>
      <c r="BQ675" s="111"/>
      <c r="BR675" s="111"/>
      <c r="BS675" s="111"/>
      <c r="BT675" s="111"/>
      <c r="BU675" s="111"/>
      <c r="BV675" s="111"/>
    </row>
    <row r="676" spans="1:74" s="50" customFormat="1" ht="15" hidden="1" customHeight="1">
      <c r="A676" s="109">
        <v>672</v>
      </c>
      <c r="B676" s="26" t="s">
        <v>1351</v>
      </c>
      <c r="C676" s="27" t="s">
        <v>1352</v>
      </c>
      <c r="D676" s="26" t="s">
        <v>21</v>
      </c>
      <c r="E676" s="109"/>
      <c r="F676" s="109"/>
      <c r="G676" s="110">
        <v>12</v>
      </c>
      <c r="H676" s="3">
        <f t="shared" si="30"/>
        <v>0</v>
      </c>
      <c r="I676" s="3">
        <f t="shared" si="31"/>
        <v>0</v>
      </c>
      <c r="J676" s="110">
        <f t="shared" si="32"/>
        <v>12</v>
      </c>
      <c r="K676" s="110"/>
      <c r="L676" s="110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  <c r="AJ676" s="111"/>
      <c r="AK676" s="111"/>
      <c r="AL676" s="111"/>
      <c r="AM676" s="111"/>
      <c r="AN676" s="111"/>
      <c r="AO676" s="111"/>
      <c r="AP676" s="111"/>
      <c r="AQ676" s="111"/>
      <c r="AR676" s="111"/>
      <c r="AS676" s="111"/>
      <c r="AT676" s="111"/>
      <c r="AU676" s="111"/>
      <c r="AV676" s="111"/>
      <c r="AW676" s="111"/>
      <c r="AX676" s="111"/>
      <c r="AY676" s="111"/>
      <c r="AZ676" s="111"/>
      <c r="BA676" s="111"/>
      <c r="BB676" s="111"/>
      <c r="BC676" s="111"/>
      <c r="BD676" s="111"/>
      <c r="BE676" s="111"/>
      <c r="BF676" s="111"/>
      <c r="BG676" s="111"/>
      <c r="BH676" s="111"/>
      <c r="BI676" s="111"/>
      <c r="BJ676" s="111"/>
      <c r="BK676" s="111"/>
      <c r="BL676" s="111"/>
      <c r="BM676" s="111"/>
      <c r="BN676" s="111"/>
      <c r="BO676" s="111"/>
      <c r="BP676" s="111"/>
      <c r="BQ676" s="111"/>
      <c r="BR676" s="111"/>
      <c r="BS676" s="111"/>
      <c r="BT676" s="111"/>
      <c r="BU676" s="111"/>
      <c r="BV676" s="111"/>
    </row>
    <row r="677" spans="1:74" s="50" customFormat="1" ht="15" hidden="1" customHeight="1">
      <c r="A677" s="109">
        <v>673</v>
      </c>
      <c r="B677" s="26" t="s">
        <v>1353</v>
      </c>
      <c r="C677" s="27" t="s">
        <v>1354</v>
      </c>
      <c r="D677" s="26" t="s">
        <v>21</v>
      </c>
      <c r="E677" s="109"/>
      <c r="F677" s="109"/>
      <c r="G677" s="110">
        <v>4</v>
      </c>
      <c r="H677" s="3">
        <f t="shared" si="30"/>
        <v>0</v>
      </c>
      <c r="I677" s="3">
        <f t="shared" si="31"/>
        <v>0</v>
      </c>
      <c r="J677" s="110">
        <f t="shared" si="32"/>
        <v>4</v>
      </c>
      <c r="K677" s="110"/>
      <c r="L677" s="110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  <c r="AJ677" s="111"/>
      <c r="AK677" s="111"/>
      <c r="AL677" s="111"/>
      <c r="AM677" s="111"/>
      <c r="AN677" s="111"/>
      <c r="AO677" s="111"/>
      <c r="AP677" s="111"/>
      <c r="AQ677" s="111"/>
      <c r="AR677" s="111"/>
      <c r="AS677" s="111"/>
      <c r="AT677" s="111"/>
      <c r="AU677" s="111"/>
      <c r="AV677" s="111"/>
      <c r="AW677" s="111"/>
      <c r="AX677" s="111"/>
      <c r="AY677" s="111"/>
      <c r="AZ677" s="111"/>
      <c r="BA677" s="111"/>
      <c r="BB677" s="111"/>
      <c r="BC677" s="111"/>
      <c r="BD677" s="111"/>
      <c r="BE677" s="111"/>
      <c r="BF677" s="111"/>
      <c r="BG677" s="111"/>
      <c r="BH677" s="111"/>
      <c r="BI677" s="111"/>
      <c r="BJ677" s="111"/>
      <c r="BK677" s="111"/>
      <c r="BL677" s="111"/>
      <c r="BM677" s="111"/>
      <c r="BN677" s="111"/>
      <c r="BO677" s="111"/>
      <c r="BP677" s="111"/>
      <c r="BQ677" s="111"/>
      <c r="BR677" s="111"/>
      <c r="BS677" s="111"/>
      <c r="BT677" s="111"/>
      <c r="BU677" s="111"/>
      <c r="BV677" s="111"/>
    </row>
    <row r="678" spans="1:74" s="50" customFormat="1" ht="15" hidden="1" customHeight="1">
      <c r="A678" s="109">
        <v>674</v>
      </c>
      <c r="B678" s="26" t="s">
        <v>1355</v>
      </c>
      <c r="C678" s="27" t="s">
        <v>1356</v>
      </c>
      <c r="D678" s="26" t="s">
        <v>21</v>
      </c>
      <c r="E678" s="109"/>
      <c r="F678" s="109"/>
      <c r="G678" s="110">
        <v>0</v>
      </c>
      <c r="H678" s="3">
        <f t="shared" si="30"/>
        <v>0</v>
      </c>
      <c r="I678" s="3">
        <f t="shared" si="31"/>
        <v>0</v>
      </c>
      <c r="J678" s="110">
        <f t="shared" si="32"/>
        <v>0</v>
      </c>
      <c r="K678" s="110"/>
      <c r="L678" s="110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  <c r="AJ678" s="111"/>
      <c r="AK678" s="111"/>
      <c r="AL678" s="111"/>
      <c r="AM678" s="111"/>
      <c r="AN678" s="111"/>
      <c r="AO678" s="111"/>
      <c r="AP678" s="111"/>
      <c r="AQ678" s="111"/>
      <c r="AR678" s="111"/>
      <c r="AS678" s="111"/>
      <c r="AT678" s="111"/>
      <c r="AU678" s="111"/>
      <c r="AV678" s="111"/>
      <c r="AW678" s="111"/>
      <c r="AX678" s="111"/>
      <c r="AY678" s="111"/>
      <c r="AZ678" s="111"/>
      <c r="BA678" s="111"/>
      <c r="BB678" s="111"/>
      <c r="BC678" s="111"/>
      <c r="BD678" s="111"/>
      <c r="BE678" s="111"/>
      <c r="BF678" s="111"/>
      <c r="BG678" s="111"/>
      <c r="BH678" s="111"/>
      <c r="BI678" s="111"/>
      <c r="BJ678" s="111"/>
      <c r="BK678" s="111"/>
      <c r="BL678" s="111"/>
      <c r="BM678" s="111"/>
      <c r="BN678" s="111"/>
      <c r="BO678" s="111"/>
      <c r="BP678" s="111"/>
      <c r="BQ678" s="111"/>
      <c r="BR678" s="111"/>
      <c r="BS678" s="111"/>
      <c r="BT678" s="111"/>
      <c r="BU678" s="111"/>
      <c r="BV678" s="111"/>
    </row>
    <row r="679" spans="1:74" s="50" customFormat="1" ht="15" hidden="1" customHeight="1">
      <c r="A679" s="109">
        <v>675</v>
      </c>
      <c r="B679" s="26" t="s">
        <v>1357</v>
      </c>
      <c r="C679" s="27" t="s">
        <v>1358</v>
      </c>
      <c r="D679" s="26" t="s">
        <v>21</v>
      </c>
      <c r="E679" s="109"/>
      <c r="F679" s="109"/>
      <c r="G679" s="110">
        <v>0</v>
      </c>
      <c r="H679" s="3">
        <f t="shared" si="30"/>
        <v>0</v>
      </c>
      <c r="I679" s="3">
        <f t="shared" si="31"/>
        <v>0</v>
      </c>
      <c r="J679" s="110">
        <f t="shared" si="32"/>
        <v>0</v>
      </c>
      <c r="K679" s="110"/>
      <c r="L679" s="110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  <c r="AJ679" s="111"/>
      <c r="AK679" s="111"/>
      <c r="AL679" s="111"/>
      <c r="AM679" s="111"/>
      <c r="AN679" s="111"/>
      <c r="AO679" s="111"/>
      <c r="AP679" s="111"/>
      <c r="AQ679" s="111"/>
      <c r="AR679" s="111"/>
      <c r="AS679" s="111"/>
      <c r="AT679" s="111"/>
      <c r="AU679" s="111"/>
      <c r="AV679" s="111"/>
      <c r="AW679" s="111"/>
      <c r="AX679" s="111"/>
      <c r="AY679" s="111"/>
      <c r="AZ679" s="111"/>
      <c r="BA679" s="111"/>
      <c r="BB679" s="111"/>
      <c r="BC679" s="111"/>
      <c r="BD679" s="111"/>
      <c r="BE679" s="111"/>
      <c r="BF679" s="111"/>
      <c r="BG679" s="111"/>
      <c r="BH679" s="111"/>
      <c r="BI679" s="111"/>
      <c r="BJ679" s="111"/>
      <c r="BK679" s="111"/>
      <c r="BL679" s="111"/>
      <c r="BM679" s="111"/>
      <c r="BN679" s="111"/>
      <c r="BO679" s="111"/>
      <c r="BP679" s="111"/>
      <c r="BQ679" s="111"/>
      <c r="BR679" s="111"/>
      <c r="BS679" s="111"/>
      <c r="BT679" s="111"/>
      <c r="BU679" s="111"/>
      <c r="BV679" s="111"/>
    </row>
    <row r="680" spans="1:74" s="50" customFormat="1" ht="15" hidden="1" customHeight="1">
      <c r="A680" s="109">
        <v>676</v>
      </c>
      <c r="B680" s="26" t="s">
        <v>1359</v>
      </c>
      <c r="C680" s="27" t="s">
        <v>1360</v>
      </c>
      <c r="D680" s="26" t="s">
        <v>21</v>
      </c>
      <c r="E680" s="109"/>
      <c r="F680" s="109"/>
      <c r="G680" s="110">
        <v>29</v>
      </c>
      <c r="H680" s="3">
        <f t="shared" si="30"/>
        <v>0</v>
      </c>
      <c r="I680" s="3">
        <f t="shared" si="31"/>
        <v>0</v>
      </c>
      <c r="J680" s="110">
        <f t="shared" si="32"/>
        <v>29</v>
      </c>
      <c r="K680" s="110"/>
      <c r="L680" s="110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  <c r="AJ680" s="111"/>
      <c r="AK680" s="111"/>
      <c r="AL680" s="111"/>
      <c r="AM680" s="111"/>
      <c r="AN680" s="111"/>
      <c r="AO680" s="111"/>
      <c r="AP680" s="111"/>
      <c r="AQ680" s="111"/>
      <c r="AR680" s="111"/>
      <c r="AS680" s="111"/>
      <c r="AT680" s="111"/>
      <c r="AU680" s="111"/>
      <c r="AV680" s="111"/>
      <c r="AW680" s="111"/>
      <c r="AX680" s="111"/>
      <c r="AY680" s="111"/>
      <c r="AZ680" s="111"/>
      <c r="BA680" s="111"/>
      <c r="BB680" s="111"/>
      <c r="BC680" s="111"/>
      <c r="BD680" s="111"/>
      <c r="BE680" s="111"/>
      <c r="BF680" s="111"/>
      <c r="BG680" s="111"/>
      <c r="BH680" s="111"/>
      <c r="BI680" s="111"/>
      <c r="BJ680" s="111"/>
      <c r="BK680" s="111"/>
      <c r="BL680" s="111"/>
      <c r="BM680" s="111"/>
      <c r="BN680" s="111"/>
      <c r="BO680" s="111"/>
      <c r="BP680" s="111"/>
      <c r="BQ680" s="111"/>
      <c r="BR680" s="111"/>
      <c r="BS680" s="111"/>
      <c r="BT680" s="111"/>
      <c r="BU680" s="111"/>
      <c r="BV680" s="111"/>
    </row>
    <row r="681" spans="1:74" s="50" customFormat="1" ht="15" hidden="1" customHeight="1">
      <c r="A681" s="109">
        <v>677</v>
      </c>
      <c r="B681" s="26" t="s">
        <v>1361</v>
      </c>
      <c r="C681" s="27" t="s">
        <v>1362</v>
      </c>
      <c r="D681" s="26" t="s">
        <v>21</v>
      </c>
      <c r="E681" s="109"/>
      <c r="F681" s="109"/>
      <c r="G681" s="110">
        <v>45</v>
      </c>
      <c r="H681" s="3">
        <f t="shared" si="30"/>
        <v>0</v>
      </c>
      <c r="I681" s="3">
        <f t="shared" si="31"/>
        <v>0</v>
      </c>
      <c r="J681" s="110">
        <f t="shared" si="32"/>
        <v>45</v>
      </c>
      <c r="K681" s="110"/>
      <c r="L681" s="110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  <c r="AJ681" s="111"/>
      <c r="AK681" s="111"/>
      <c r="AL681" s="111"/>
      <c r="AM681" s="111"/>
      <c r="AN681" s="111"/>
      <c r="AO681" s="111"/>
      <c r="AP681" s="111"/>
      <c r="AQ681" s="111"/>
      <c r="AR681" s="111"/>
      <c r="AS681" s="111"/>
      <c r="AT681" s="111"/>
      <c r="AU681" s="111"/>
      <c r="AV681" s="111"/>
      <c r="AW681" s="111"/>
      <c r="AX681" s="111"/>
      <c r="AY681" s="111"/>
      <c r="AZ681" s="111"/>
      <c r="BA681" s="111"/>
      <c r="BB681" s="111"/>
      <c r="BC681" s="111"/>
      <c r="BD681" s="111"/>
      <c r="BE681" s="111"/>
      <c r="BF681" s="111"/>
      <c r="BG681" s="111"/>
      <c r="BH681" s="111"/>
      <c r="BI681" s="111"/>
      <c r="BJ681" s="111"/>
      <c r="BK681" s="111"/>
      <c r="BL681" s="111"/>
      <c r="BM681" s="111"/>
      <c r="BN681" s="111"/>
      <c r="BO681" s="111"/>
      <c r="BP681" s="111"/>
      <c r="BQ681" s="111"/>
      <c r="BR681" s="111"/>
      <c r="BS681" s="111"/>
      <c r="BT681" s="111"/>
      <c r="BU681" s="111"/>
      <c r="BV681" s="111"/>
    </row>
    <row r="682" spans="1:74" s="50" customFormat="1" ht="15" hidden="1" customHeight="1">
      <c r="A682" s="109">
        <v>678</v>
      </c>
      <c r="B682" s="26" t="s">
        <v>1363</v>
      </c>
      <c r="C682" s="27" t="s">
        <v>1364</v>
      </c>
      <c r="D682" s="26" t="s">
        <v>21</v>
      </c>
      <c r="E682" s="109"/>
      <c r="F682" s="109"/>
      <c r="G682" s="110">
        <v>8</v>
      </c>
      <c r="H682" s="3">
        <f t="shared" si="30"/>
        <v>0</v>
      </c>
      <c r="I682" s="3">
        <f t="shared" si="31"/>
        <v>0</v>
      </c>
      <c r="J682" s="110">
        <f t="shared" si="32"/>
        <v>8</v>
      </c>
      <c r="K682" s="110"/>
      <c r="L682" s="110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  <c r="AJ682" s="111"/>
      <c r="AK682" s="111"/>
      <c r="AL682" s="111"/>
      <c r="AM682" s="111"/>
      <c r="AN682" s="111"/>
      <c r="AO682" s="111"/>
      <c r="AP682" s="111"/>
      <c r="AQ682" s="111"/>
      <c r="AR682" s="111"/>
      <c r="AS682" s="111"/>
      <c r="AT682" s="111"/>
      <c r="AU682" s="111"/>
      <c r="AV682" s="111"/>
      <c r="AW682" s="111"/>
      <c r="AX682" s="111"/>
      <c r="AY682" s="111"/>
      <c r="AZ682" s="111"/>
      <c r="BA682" s="111"/>
      <c r="BB682" s="111"/>
      <c r="BC682" s="111"/>
      <c r="BD682" s="111"/>
      <c r="BE682" s="111"/>
      <c r="BF682" s="111"/>
      <c r="BG682" s="111"/>
      <c r="BH682" s="111"/>
      <c r="BI682" s="111"/>
      <c r="BJ682" s="111"/>
      <c r="BK682" s="111"/>
      <c r="BL682" s="111"/>
      <c r="BM682" s="111"/>
      <c r="BN682" s="111"/>
      <c r="BO682" s="111"/>
      <c r="BP682" s="111"/>
      <c r="BQ682" s="111"/>
      <c r="BR682" s="111"/>
      <c r="BS682" s="111"/>
      <c r="BT682" s="111"/>
      <c r="BU682" s="111"/>
      <c r="BV682" s="111"/>
    </row>
    <row r="683" spans="1:74" s="50" customFormat="1" ht="15" hidden="1" customHeight="1">
      <c r="A683" s="109">
        <v>679</v>
      </c>
      <c r="B683" s="26" t="s">
        <v>1365</v>
      </c>
      <c r="C683" s="27" t="s">
        <v>1366</v>
      </c>
      <c r="D683" s="26" t="s">
        <v>21</v>
      </c>
      <c r="E683" s="109"/>
      <c r="F683" s="109"/>
      <c r="G683" s="110">
        <v>7</v>
      </c>
      <c r="H683" s="3">
        <f t="shared" si="30"/>
        <v>0</v>
      </c>
      <c r="I683" s="3">
        <f t="shared" si="31"/>
        <v>0</v>
      </c>
      <c r="J683" s="110">
        <f t="shared" si="32"/>
        <v>7</v>
      </c>
      <c r="K683" s="110"/>
      <c r="L683" s="110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  <c r="AJ683" s="111"/>
      <c r="AK683" s="111"/>
      <c r="AL683" s="111"/>
      <c r="AM683" s="111"/>
      <c r="AN683" s="111"/>
      <c r="AO683" s="111"/>
      <c r="AP683" s="111"/>
      <c r="AQ683" s="111"/>
      <c r="AR683" s="111"/>
      <c r="AS683" s="111"/>
      <c r="AT683" s="111"/>
      <c r="AU683" s="111"/>
      <c r="AV683" s="111"/>
      <c r="AW683" s="111"/>
      <c r="AX683" s="111"/>
      <c r="AY683" s="111"/>
      <c r="AZ683" s="111"/>
      <c r="BA683" s="111"/>
      <c r="BB683" s="111"/>
      <c r="BC683" s="111"/>
      <c r="BD683" s="111"/>
      <c r="BE683" s="111"/>
      <c r="BF683" s="111"/>
      <c r="BG683" s="111"/>
      <c r="BH683" s="111"/>
      <c r="BI683" s="111"/>
      <c r="BJ683" s="111"/>
      <c r="BK683" s="111"/>
      <c r="BL683" s="111"/>
      <c r="BM683" s="111"/>
      <c r="BN683" s="111"/>
      <c r="BO683" s="111"/>
      <c r="BP683" s="111"/>
      <c r="BQ683" s="111"/>
      <c r="BR683" s="111"/>
      <c r="BS683" s="111"/>
      <c r="BT683" s="111"/>
      <c r="BU683" s="111"/>
      <c r="BV683" s="111"/>
    </row>
    <row r="684" spans="1:74" s="92" customFormat="1" ht="15" hidden="1" customHeight="1">
      <c r="A684" s="109">
        <v>680</v>
      </c>
      <c r="B684" s="26" t="s">
        <v>1367</v>
      </c>
      <c r="C684" s="27" t="s">
        <v>1368</v>
      </c>
      <c r="D684" s="26" t="s">
        <v>21</v>
      </c>
      <c r="E684" s="109"/>
      <c r="F684" s="109"/>
      <c r="G684" s="108">
        <v>5</v>
      </c>
      <c r="H684" s="26">
        <f t="shared" si="30"/>
        <v>0</v>
      </c>
      <c r="I684" s="26">
        <f t="shared" si="31"/>
        <v>0</v>
      </c>
      <c r="J684" s="108">
        <f t="shared" si="32"/>
        <v>5</v>
      </c>
      <c r="K684" s="108"/>
      <c r="L684" s="108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  <c r="AO684" s="109"/>
      <c r="AP684" s="109"/>
      <c r="AQ684" s="109"/>
      <c r="AR684" s="109"/>
      <c r="AS684" s="109"/>
      <c r="AT684" s="109"/>
      <c r="AU684" s="109"/>
      <c r="AV684" s="109"/>
      <c r="AW684" s="109"/>
      <c r="AX684" s="109"/>
      <c r="AY684" s="109"/>
      <c r="AZ684" s="109"/>
      <c r="BA684" s="109"/>
      <c r="BB684" s="109"/>
      <c r="BC684" s="109"/>
      <c r="BD684" s="109"/>
      <c r="BE684" s="109"/>
      <c r="BF684" s="109"/>
      <c r="BG684" s="109"/>
      <c r="BH684" s="109"/>
      <c r="BI684" s="109"/>
      <c r="BJ684" s="109"/>
      <c r="BK684" s="109"/>
      <c r="BL684" s="109"/>
      <c r="BM684" s="109"/>
      <c r="BN684" s="109"/>
      <c r="BO684" s="109"/>
      <c r="BP684" s="109"/>
      <c r="BQ684" s="109"/>
      <c r="BR684" s="109"/>
      <c r="BS684" s="109"/>
      <c r="BT684" s="109"/>
      <c r="BU684" s="109"/>
      <c r="BV684" s="109"/>
    </row>
    <row r="685" spans="1:74" s="92" customFormat="1" ht="15" hidden="1" customHeight="1">
      <c r="A685" s="109">
        <v>681</v>
      </c>
      <c r="B685" s="26" t="s">
        <v>1369</v>
      </c>
      <c r="C685" s="27" t="s">
        <v>1370</v>
      </c>
      <c r="D685" s="26" t="s">
        <v>21</v>
      </c>
      <c r="E685" s="109"/>
      <c r="F685" s="109"/>
      <c r="G685" s="108">
        <v>7</v>
      </c>
      <c r="H685" s="26">
        <f t="shared" si="30"/>
        <v>0</v>
      </c>
      <c r="I685" s="26">
        <f t="shared" si="31"/>
        <v>0</v>
      </c>
      <c r="J685" s="108">
        <f t="shared" si="32"/>
        <v>7</v>
      </c>
      <c r="K685" s="108"/>
      <c r="L685" s="108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  <c r="AO685" s="109"/>
      <c r="AP685" s="109"/>
      <c r="AQ685" s="109"/>
      <c r="AR685" s="109"/>
      <c r="AS685" s="109"/>
      <c r="AT685" s="109"/>
      <c r="AU685" s="109"/>
      <c r="AV685" s="109"/>
      <c r="AW685" s="109"/>
      <c r="AX685" s="109"/>
      <c r="AY685" s="109"/>
      <c r="AZ685" s="109"/>
      <c r="BA685" s="109"/>
      <c r="BB685" s="109"/>
      <c r="BC685" s="109"/>
      <c r="BD685" s="109"/>
      <c r="BE685" s="109"/>
      <c r="BF685" s="109"/>
      <c r="BG685" s="109"/>
      <c r="BH685" s="109"/>
      <c r="BI685" s="109"/>
      <c r="BJ685" s="109"/>
      <c r="BK685" s="109"/>
      <c r="BL685" s="109"/>
      <c r="BM685" s="109"/>
      <c r="BN685" s="109"/>
      <c r="BO685" s="109"/>
      <c r="BP685" s="109"/>
      <c r="BQ685" s="109"/>
      <c r="BR685" s="109"/>
      <c r="BS685" s="109"/>
      <c r="BT685" s="109"/>
      <c r="BU685" s="109"/>
      <c r="BV685" s="109"/>
    </row>
    <row r="686" spans="1:74" s="50" customFormat="1" ht="15" hidden="1" customHeight="1">
      <c r="A686" s="109">
        <v>682</v>
      </c>
      <c r="B686" s="26" t="s">
        <v>1371</v>
      </c>
      <c r="C686" s="27" t="s">
        <v>1372</v>
      </c>
      <c r="D686" s="26" t="s">
        <v>21</v>
      </c>
      <c r="E686" s="109"/>
      <c r="F686" s="109"/>
      <c r="G686" s="110">
        <v>7</v>
      </c>
      <c r="H686" s="3">
        <f t="shared" si="30"/>
        <v>0</v>
      </c>
      <c r="I686" s="3">
        <f t="shared" si="31"/>
        <v>0</v>
      </c>
      <c r="J686" s="110">
        <f t="shared" si="32"/>
        <v>7</v>
      </c>
      <c r="K686" s="110"/>
      <c r="L686" s="110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  <c r="AJ686" s="111"/>
      <c r="AK686" s="111"/>
      <c r="AL686" s="111"/>
      <c r="AM686" s="111"/>
      <c r="AN686" s="111"/>
      <c r="AO686" s="111"/>
      <c r="AP686" s="111"/>
      <c r="AQ686" s="111"/>
      <c r="AR686" s="111"/>
      <c r="AS686" s="111"/>
      <c r="AT686" s="111"/>
      <c r="AU686" s="111"/>
      <c r="AV686" s="111"/>
      <c r="AW686" s="111"/>
      <c r="AX686" s="111"/>
      <c r="AY686" s="111"/>
      <c r="AZ686" s="111"/>
      <c r="BA686" s="111"/>
      <c r="BB686" s="111"/>
      <c r="BC686" s="111"/>
      <c r="BD686" s="111"/>
      <c r="BE686" s="111"/>
      <c r="BF686" s="111"/>
      <c r="BG686" s="111"/>
      <c r="BH686" s="111"/>
      <c r="BI686" s="111"/>
      <c r="BJ686" s="111"/>
      <c r="BK686" s="111"/>
      <c r="BL686" s="111"/>
      <c r="BM686" s="111"/>
      <c r="BN686" s="111"/>
      <c r="BO686" s="111"/>
      <c r="BP686" s="111"/>
      <c r="BQ686" s="111"/>
      <c r="BR686" s="111"/>
      <c r="BS686" s="111"/>
      <c r="BT686" s="111"/>
      <c r="BU686" s="111"/>
      <c r="BV686" s="111"/>
    </row>
    <row r="687" spans="1:74" s="50" customFormat="1" ht="15" hidden="1" customHeight="1">
      <c r="A687" s="109">
        <v>683</v>
      </c>
      <c r="B687" s="26" t="s">
        <v>1373</v>
      </c>
      <c r="C687" s="27" t="s">
        <v>1374</v>
      </c>
      <c r="D687" s="26" t="s">
        <v>21</v>
      </c>
      <c r="E687" s="109"/>
      <c r="F687" s="109"/>
      <c r="G687" s="110">
        <v>5</v>
      </c>
      <c r="H687" s="3">
        <f t="shared" si="30"/>
        <v>0</v>
      </c>
      <c r="I687" s="3">
        <f t="shared" si="31"/>
        <v>0</v>
      </c>
      <c r="J687" s="110">
        <f t="shared" si="32"/>
        <v>5</v>
      </c>
      <c r="K687" s="110"/>
      <c r="L687" s="110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  <c r="AJ687" s="111"/>
      <c r="AK687" s="111"/>
      <c r="AL687" s="111"/>
      <c r="AM687" s="111"/>
      <c r="AN687" s="111"/>
      <c r="AO687" s="111"/>
      <c r="AP687" s="111"/>
      <c r="AQ687" s="111"/>
      <c r="AR687" s="111"/>
      <c r="AS687" s="111"/>
      <c r="AT687" s="111"/>
      <c r="AU687" s="111"/>
      <c r="AV687" s="111"/>
      <c r="AW687" s="111"/>
      <c r="AX687" s="111"/>
      <c r="AY687" s="111"/>
      <c r="AZ687" s="111"/>
      <c r="BA687" s="111"/>
      <c r="BB687" s="111"/>
      <c r="BC687" s="111"/>
      <c r="BD687" s="111"/>
      <c r="BE687" s="111"/>
      <c r="BF687" s="111"/>
      <c r="BG687" s="111"/>
      <c r="BH687" s="111"/>
      <c r="BI687" s="111"/>
      <c r="BJ687" s="111"/>
      <c r="BK687" s="111"/>
      <c r="BL687" s="111"/>
      <c r="BM687" s="111"/>
      <c r="BN687" s="111"/>
      <c r="BO687" s="111"/>
      <c r="BP687" s="111"/>
      <c r="BQ687" s="111"/>
      <c r="BR687" s="111"/>
      <c r="BS687" s="111"/>
      <c r="BT687" s="111"/>
      <c r="BU687" s="111"/>
      <c r="BV687" s="111"/>
    </row>
    <row r="688" spans="1:74" s="50" customFormat="1" ht="30" hidden="1" customHeight="1">
      <c r="A688" s="109">
        <v>684</v>
      </c>
      <c r="B688" s="26" t="s">
        <v>1375</v>
      </c>
      <c r="C688" s="27" t="s">
        <v>1376</v>
      </c>
      <c r="D688" s="26" t="s">
        <v>21</v>
      </c>
      <c r="E688" s="109"/>
      <c r="F688" s="109"/>
      <c r="G688" s="110">
        <v>34</v>
      </c>
      <c r="H688" s="3">
        <f t="shared" si="30"/>
        <v>0</v>
      </c>
      <c r="I688" s="3">
        <f t="shared" si="31"/>
        <v>0</v>
      </c>
      <c r="J688" s="110">
        <f t="shared" si="32"/>
        <v>34</v>
      </c>
      <c r="K688" s="110"/>
      <c r="L688" s="110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  <c r="AJ688" s="111"/>
      <c r="AK688" s="111"/>
      <c r="AL688" s="111"/>
      <c r="AM688" s="111"/>
      <c r="AN688" s="111"/>
      <c r="AO688" s="111"/>
      <c r="AP688" s="111"/>
      <c r="AQ688" s="111"/>
      <c r="AR688" s="111"/>
      <c r="AS688" s="111"/>
      <c r="AT688" s="111"/>
      <c r="AU688" s="111"/>
      <c r="AV688" s="111"/>
      <c r="AW688" s="111"/>
      <c r="AX688" s="111"/>
      <c r="AY688" s="111"/>
      <c r="AZ688" s="111"/>
      <c r="BA688" s="111"/>
      <c r="BB688" s="111"/>
      <c r="BC688" s="111"/>
      <c r="BD688" s="111"/>
      <c r="BE688" s="111"/>
      <c r="BF688" s="111"/>
      <c r="BG688" s="111"/>
      <c r="BH688" s="111"/>
      <c r="BI688" s="111"/>
      <c r="BJ688" s="111"/>
      <c r="BK688" s="111"/>
      <c r="BL688" s="111"/>
      <c r="BM688" s="111"/>
      <c r="BN688" s="111"/>
      <c r="BO688" s="111"/>
      <c r="BP688" s="111"/>
      <c r="BQ688" s="111"/>
      <c r="BR688" s="111"/>
      <c r="BS688" s="111"/>
      <c r="BT688" s="111"/>
      <c r="BU688" s="111"/>
      <c r="BV688" s="111"/>
    </row>
    <row r="689" spans="1:74" s="50" customFormat="1" ht="15" hidden="1" customHeight="1">
      <c r="A689" s="109">
        <v>685</v>
      </c>
      <c r="B689" s="26" t="s">
        <v>1377</v>
      </c>
      <c r="C689" s="27" t="s">
        <v>1378</v>
      </c>
      <c r="D689" s="26" t="s">
        <v>21</v>
      </c>
      <c r="E689" s="109"/>
      <c r="F689" s="109"/>
      <c r="G689" s="110">
        <v>34</v>
      </c>
      <c r="H689" s="3">
        <f t="shared" si="30"/>
        <v>0</v>
      </c>
      <c r="I689" s="3">
        <f t="shared" si="31"/>
        <v>0</v>
      </c>
      <c r="J689" s="110">
        <f t="shared" si="32"/>
        <v>34</v>
      </c>
      <c r="K689" s="110"/>
      <c r="L689" s="110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  <c r="AJ689" s="111"/>
      <c r="AK689" s="111"/>
      <c r="AL689" s="111"/>
      <c r="AM689" s="111"/>
      <c r="AN689" s="111"/>
      <c r="AO689" s="111"/>
      <c r="AP689" s="111"/>
      <c r="AQ689" s="111"/>
      <c r="AR689" s="111"/>
      <c r="AS689" s="111"/>
      <c r="AT689" s="111"/>
      <c r="AU689" s="111"/>
      <c r="AV689" s="111"/>
      <c r="AW689" s="111"/>
      <c r="AX689" s="111"/>
      <c r="AY689" s="111"/>
      <c r="AZ689" s="111"/>
      <c r="BA689" s="111"/>
      <c r="BB689" s="111"/>
      <c r="BC689" s="111"/>
      <c r="BD689" s="111"/>
      <c r="BE689" s="111"/>
      <c r="BF689" s="111"/>
      <c r="BG689" s="111"/>
      <c r="BH689" s="111"/>
      <c r="BI689" s="111"/>
      <c r="BJ689" s="111"/>
      <c r="BK689" s="111"/>
      <c r="BL689" s="111"/>
      <c r="BM689" s="111"/>
      <c r="BN689" s="111"/>
      <c r="BO689" s="111"/>
      <c r="BP689" s="111"/>
      <c r="BQ689" s="111"/>
      <c r="BR689" s="111"/>
      <c r="BS689" s="111"/>
      <c r="BT689" s="111"/>
      <c r="BU689" s="111"/>
      <c r="BV689" s="111"/>
    </row>
    <row r="690" spans="1:74" s="50" customFormat="1" ht="15" hidden="1" customHeight="1">
      <c r="A690" s="109">
        <v>686</v>
      </c>
      <c r="B690" s="26" t="s">
        <v>1379</v>
      </c>
      <c r="C690" s="27" t="s">
        <v>1380</v>
      </c>
      <c r="D690" s="26" t="s">
        <v>21</v>
      </c>
      <c r="E690" s="109"/>
      <c r="F690" s="109"/>
      <c r="G690" s="110">
        <v>2</v>
      </c>
      <c r="H690" s="3">
        <f t="shared" si="30"/>
        <v>0</v>
      </c>
      <c r="I690" s="3">
        <f t="shared" si="31"/>
        <v>0</v>
      </c>
      <c r="J690" s="110">
        <f t="shared" si="32"/>
        <v>2</v>
      </c>
      <c r="K690" s="110"/>
      <c r="L690" s="110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  <c r="AJ690" s="111"/>
      <c r="AK690" s="111"/>
      <c r="AL690" s="111"/>
      <c r="AM690" s="111"/>
      <c r="AN690" s="111"/>
      <c r="AO690" s="111"/>
      <c r="AP690" s="111"/>
      <c r="AQ690" s="111"/>
      <c r="AR690" s="111"/>
      <c r="AS690" s="111"/>
      <c r="AT690" s="111"/>
      <c r="AU690" s="111"/>
      <c r="AV690" s="111"/>
      <c r="AW690" s="111"/>
      <c r="AX690" s="111"/>
      <c r="AY690" s="111"/>
      <c r="AZ690" s="111"/>
      <c r="BA690" s="111"/>
      <c r="BB690" s="111"/>
      <c r="BC690" s="111"/>
      <c r="BD690" s="111"/>
      <c r="BE690" s="111"/>
      <c r="BF690" s="111"/>
      <c r="BG690" s="111"/>
      <c r="BH690" s="111"/>
      <c r="BI690" s="111"/>
      <c r="BJ690" s="111"/>
      <c r="BK690" s="111"/>
      <c r="BL690" s="111"/>
      <c r="BM690" s="111"/>
      <c r="BN690" s="111"/>
      <c r="BO690" s="111"/>
      <c r="BP690" s="111"/>
      <c r="BQ690" s="111"/>
      <c r="BR690" s="111"/>
      <c r="BS690" s="111"/>
      <c r="BT690" s="111"/>
      <c r="BU690" s="111"/>
      <c r="BV690" s="111"/>
    </row>
    <row r="691" spans="1:74" s="50" customFormat="1" ht="15.75" hidden="1" customHeight="1">
      <c r="A691" s="109">
        <v>687</v>
      </c>
      <c r="B691" s="26" t="s">
        <v>1381</v>
      </c>
      <c r="C691" s="27" t="s">
        <v>1382</v>
      </c>
      <c r="D691" s="26" t="s">
        <v>21</v>
      </c>
      <c r="E691" s="109"/>
      <c r="F691" s="109"/>
      <c r="G691" s="110">
        <v>2</v>
      </c>
      <c r="H691" s="3">
        <f t="shared" si="30"/>
        <v>0</v>
      </c>
      <c r="I691" s="3">
        <f t="shared" si="31"/>
        <v>0</v>
      </c>
      <c r="J691" s="110">
        <f t="shared" si="32"/>
        <v>2</v>
      </c>
      <c r="K691" s="110"/>
      <c r="L691" s="110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  <c r="AJ691" s="111"/>
      <c r="AK691" s="111"/>
      <c r="AL691" s="111"/>
      <c r="AM691" s="111"/>
      <c r="AN691" s="111"/>
      <c r="AO691" s="111"/>
      <c r="AP691" s="111"/>
      <c r="AQ691" s="111"/>
      <c r="AR691" s="111"/>
      <c r="AS691" s="111"/>
      <c r="AT691" s="111"/>
      <c r="AU691" s="111"/>
      <c r="AV691" s="111"/>
      <c r="AW691" s="111"/>
      <c r="AX691" s="111"/>
      <c r="AY691" s="111"/>
      <c r="AZ691" s="111"/>
      <c r="BA691" s="111"/>
      <c r="BB691" s="111"/>
      <c r="BC691" s="111"/>
      <c r="BD691" s="111"/>
      <c r="BE691" s="111"/>
      <c r="BF691" s="111"/>
      <c r="BG691" s="111"/>
      <c r="BH691" s="111"/>
      <c r="BI691" s="111"/>
      <c r="BJ691" s="111"/>
      <c r="BK691" s="111"/>
      <c r="BL691" s="111"/>
      <c r="BM691" s="111"/>
      <c r="BN691" s="111"/>
      <c r="BO691" s="111"/>
      <c r="BP691" s="111"/>
      <c r="BQ691" s="111"/>
      <c r="BR691" s="111"/>
      <c r="BS691" s="111"/>
      <c r="BT691" s="111"/>
      <c r="BU691" s="111"/>
      <c r="BV691" s="111"/>
    </row>
    <row r="692" spans="1:74" s="50" customFormat="1" ht="15" hidden="1" customHeight="1">
      <c r="A692" s="109">
        <v>688</v>
      </c>
      <c r="B692" s="116" t="s">
        <v>1383</v>
      </c>
      <c r="C692" s="113" t="s">
        <v>1384</v>
      </c>
      <c r="D692" s="26" t="s">
        <v>21</v>
      </c>
      <c r="E692" s="109"/>
      <c r="F692" s="109"/>
      <c r="G692" s="110">
        <v>6</v>
      </c>
      <c r="H692" s="3">
        <f t="shared" si="30"/>
        <v>0</v>
      </c>
      <c r="I692" s="3">
        <f t="shared" si="31"/>
        <v>0</v>
      </c>
      <c r="J692" s="110">
        <f t="shared" si="32"/>
        <v>6</v>
      </c>
      <c r="K692" s="110"/>
      <c r="L692" s="110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  <c r="AJ692" s="111"/>
      <c r="AK692" s="111"/>
      <c r="AL692" s="111"/>
      <c r="AM692" s="111"/>
      <c r="AN692" s="111"/>
      <c r="AO692" s="111"/>
      <c r="AP692" s="111"/>
      <c r="AQ692" s="111"/>
      <c r="AR692" s="111"/>
      <c r="AS692" s="111"/>
      <c r="AT692" s="111"/>
      <c r="AU692" s="111"/>
      <c r="AV692" s="111"/>
      <c r="AW692" s="111"/>
      <c r="AX692" s="111"/>
      <c r="AY692" s="111"/>
      <c r="AZ692" s="111"/>
      <c r="BA692" s="111"/>
      <c r="BB692" s="111"/>
      <c r="BC692" s="111"/>
      <c r="BD692" s="111"/>
      <c r="BE692" s="111"/>
      <c r="BF692" s="111"/>
      <c r="BG692" s="111"/>
      <c r="BH692" s="111"/>
      <c r="BI692" s="111"/>
      <c r="BJ692" s="111"/>
      <c r="BK692" s="111"/>
      <c r="BL692" s="111"/>
      <c r="BM692" s="111"/>
      <c r="BN692" s="111"/>
      <c r="BO692" s="111"/>
      <c r="BP692" s="111"/>
      <c r="BQ692" s="111"/>
      <c r="BR692" s="111"/>
      <c r="BS692" s="111"/>
      <c r="BT692" s="111"/>
      <c r="BU692" s="111"/>
      <c r="BV692" s="111"/>
    </row>
    <row r="693" spans="1:74" s="50" customFormat="1" ht="15" hidden="1" customHeight="1">
      <c r="A693" s="109">
        <v>689</v>
      </c>
      <c r="B693" s="26" t="s">
        <v>1385</v>
      </c>
      <c r="C693" s="27" t="s">
        <v>1386</v>
      </c>
      <c r="D693" s="26" t="s">
        <v>21</v>
      </c>
      <c r="E693" s="109"/>
      <c r="F693" s="109"/>
      <c r="G693" s="110">
        <v>7</v>
      </c>
      <c r="H693" s="3">
        <f t="shared" si="30"/>
        <v>0</v>
      </c>
      <c r="I693" s="3">
        <f t="shared" si="31"/>
        <v>0</v>
      </c>
      <c r="J693" s="110">
        <f t="shared" si="32"/>
        <v>7</v>
      </c>
      <c r="K693" s="110"/>
      <c r="L693" s="110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  <c r="AJ693" s="111"/>
      <c r="AK693" s="111"/>
      <c r="AL693" s="111"/>
      <c r="AM693" s="111"/>
      <c r="AN693" s="111"/>
      <c r="AO693" s="111"/>
      <c r="AP693" s="111"/>
      <c r="AQ693" s="111"/>
      <c r="AR693" s="111"/>
      <c r="AS693" s="111"/>
      <c r="AT693" s="111"/>
      <c r="AU693" s="111"/>
      <c r="AV693" s="111"/>
      <c r="AW693" s="111"/>
      <c r="AX693" s="111"/>
      <c r="AY693" s="111"/>
      <c r="AZ693" s="111"/>
      <c r="BA693" s="111"/>
      <c r="BB693" s="111"/>
      <c r="BC693" s="111"/>
      <c r="BD693" s="111"/>
      <c r="BE693" s="111"/>
      <c r="BF693" s="111"/>
      <c r="BG693" s="111"/>
      <c r="BH693" s="111"/>
      <c r="BI693" s="111"/>
      <c r="BJ693" s="111"/>
      <c r="BK693" s="111"/>
      <c r="BL693" s="111"/>
      <c r="BM693" s="111"/>
      <c r="BN693" s="111"/>
      <c r="BO693" s="111"/>
      <c r="BP693" s="111"/>
      <c r="BQ693" s="111"/>
      <c r="BR693" s="111"/>
      <c r="BS693" s="111"/>
      <c r="BT693" s="111"/>
      <c r="BU693" s="111"/>
      <c r="BV693" s="111"/>
    </row>
    <row r="694" spans="1:74" s="50" customFormat="1" ht="30" hidden="1" customHeight="1">
      <c r="A694" s="109">
        <v>690</v>
      </c>
      <c r="B694" s="26" t="s">
        <v>1387</v>
      </c>
      <c r="C694" s="27" t="s">
        <v>1388</v>
      </c>
      <c r="D694" s="26" t="s">
        <v>21</v>
      </c>
      <c r="E694" s="109"/>
      <c r="F694" s="109"/>
      <c r="G694" s="110">
        <v>0</v>
      </c>
      <c r="H694" s="3">
        <f t="shared" si="30"/>
        <v>0</v>
      </c>
      <c r="I694" s="3">
        <f t="shared" si="31"/>
        <v>0</v>
      </c>
      <c r="J694" s="110">
        <f t="shared" si="32"/>
        <v>0</v>
      </c>
      <c r="K694" s="110"/>
      <c r="L694" s="110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  <c r="AJ694" s="111"/>
      <c r="AK694" s="111"/>
      <c r="AL694" s="111"/>
      <c r="AM694" s="111"/>
      <c r="AN694" s="111"/>
      <c r="AO694" s="111"/>
      <c r="AP694" s="111"/>
      <c r="AQ694" s="111"/>
      <c r="AR694" s="111"/>
      <c r="AS694" s="111"/>
      <c r="AT694" s="111"/>
      <c r="AU694" s="111"/>
      <c r="AV694" s="111"/>
      <c r="AW694" s="111"/>
      <c r="AX694" s="111"/>
      <c r="AY694" s="111"/>
      <c r="AZ694" s="111"/>
      <c r="BA694" s="111"/>
      <c r="BB694" s="111"/>
      <c r="BC694" s="111"/>
      <c r="BD694" s="111"/>
      <c r="BE694" s="111"/>
      <c r="BF694" s="111"/>
      <c r="BG694" s="111"/>
      <c r="BH694" s="111"/>
      <c r="BI694" s="111"/>
      <c r="BJ694" s="111"/>
      <c r="BK694" s="111"/>
      <c r="BL694" s="111"/>
      <c r="BM694" s="111"/>
      <c r="BN694" s="111"/>
      <c r="BO694" s="111"/>
      <c r="BP694" s="111"/>
      <c r="BQ694" s="111"/>
      <c r="BR694" s="111"/>
      <c r="BS694" s="111"/>
      <c r="BT694" s="111"/>
      <c r="BU694" s="111"/>
      <c r="BV694" s="111"/>
    </row>
    <row r="695" spans="1:74" s="50" customFormat="1" ht="30" hidden="1" customHeight="1">
      <c r="A695" s="109">
        <v>691</v>
      </c>
      <c r="B695" s="26" t="s">
        <v>1389</v>
      </c>
      <c r="C695" s="27" t="s">
        <v>1390</v>
      </c>
      <c r="D695" s="26" t="s">
        <v>21</v>
      </c>
      <c r="E695" s="109"/>
      <c r="F695" s="109"/>
      <c r="G695" s="110">
        <v>0</v>
      </c>
      <c r="H695" s="3">
        <f t="shared" ref="H695:H758" si="33">SUM(M695+O695+Q695+S695+U695+W695+Y695+AA695+AC695+AE695+AG695+AI695+AK695+AM695+AO695+AQ695+AS695+AU695+AW695+AY695+BA695+BC695+BE695+BG695+BI695+BK695+BM695+BO695+BQ695+BS695+BU695)</f>
        <v>0</v>
      </c>
      <c r="I695" s="3">
        <f t="shared" ref="I695:I758" si="34">SUM(N695+P695+R695+T695+V695+X695+Z695+AB695+AD695+AF695+AH695+AJ695+AL695+AN695+AP695+AR695+AT695+AV695+AX695+AZ695+BB695+BD695+BF695+BH695+BJ695+BL695+BN695+BP695+BR695+BT695+BV695)</f>
        <v>0</v>
      </c>
      <c r="J695" s="110">
        <f t="shared" ref="J695:J758" si="35">G695+H695-I695</f>
        <v>0</v>
      </c>
      <c r="K695" s="110"/>
      <c r="L695" s="110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  <c r="AJ695" s="111"/>
      <c r="AK695" s="111"/>
      <c r="AL695" s="111"/>
      <c r="AM695" s="111"/>
      <c r="AN695" s="111"/>
      <c r="AO695" s="111"/>
      <c r="AP695" s="111"/>
      <c r="AQ695" s="111"/>
      <c r="AR695" s="111"/>
      <c r="AS695" s="111"/>
      <c r="AT695" s="111"/>
      <c r="AU695" s="111"/>
      <c r="AV695" s="111"/>
      <c r="AW695" s="111"/>
      <c r="AX695" s="111"/>
      <c r="AY695" s="111"/>
      <c r="AZ695" s="111"/>
      <c r="BA695" s="111"/>
      <c r="BB695" s="111"/>
      <c r="BC695" s="111"/>
      <c r="BD695" s="111"/>
      <c r="BE695" s="111"/>
      <c r="BF695" s="111"/>
      <c r="BG695" s="111"/>
      <c r="BH695" s="111"/>
      <c r="BI695" s="111"/>
      <c r="BJ695" s="111"/>
      <c r="BK695" s="111"/>
      <c r="BL695" s="111"/>
      <c r="BM695" s="111"/>
      <c r="BN695" s="111"/>
      <c r="BO695" s="111"/>
      <c r="BP695" s="111"/>
      <c r="BQ695" s="111"/>
      <c r="BR695" s="111"/>
      <c r="BS695" s="111"/>
      <c r="BT695" s="111"/>
      <c r="BU695" s="111"/>
      <c r="BV695" s="111"/>
    </row>
    <row r="696" spans="1:74" s="50" customFormat="1" ht="30" hidden="1" customHeight="1">
      <c r="A696" s="109">
        <v>692</v>
      </c>
      <c r="B696" s="26" t="s">
        <v>1391</v>
      </c>
      <c r="C696" s="27" t="s">
        <v>1392</v>
      </c>
      <c r="D696" s="26" t="s">
        <v>21</v>
      </c>
      <c r="E696" s="109"/>
      <c r="F696" s="109"/>
      <c r="G696" s="110">
        <v>0</v>
      </c>
      <c r="H696" s="3">
        <f t="shared" si="33"/>
        <v>0</v>
      </c>
      <c r="I696" s="3">
        <f t="shared" si="34"/>
        <v>0</v>
      </c>
      <c r="J696" s="110">
        <f t="shared" si="35"/>
        <v>0</v>
      </c>
      <c r="K696" s="110"/>
      <c r="L696" s="110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  <c r="AJ696" s="111"/>
      <c r="AK696" s="111"/>
      <c r="AL696" s="111"/>
      <c r="AM696" s="111"/>
      <c r="AN696" s="111"/>
      <c r="AO696" s="111"/>
      <c r="AP696" s="111"/>
      <c r="AQ696" s="111"/>
      <c r="AR696" s="111"/>
      <c r="AS696" s="111"/>
      <c r="AT696" s="111"/>
      <c r="AU696" s="111"/>
      <c r="AV696" s="111"/>
      <c r="AW696" s="111"/>
      <c r="AX696" s="111"/>
      <c r="AY696" s="111"/>
      <c r="AZ696" s="111"/>
      <c r="BA696" s="111"/>
      <c r="BB696" s="111"/>
      <c r="BC696" s="111"/>
      <c r="BD696" s="111"/>
      <c r="BE696" s="111"/>
      <c r="BF696" s="111"/>
      <c r="BG696" s="111"/>
      <c r="BH696" s="111"/>
      <c r="BI696" s="111"/>
      <c r="BJ696" s="111"/>
      <c r="BK696" s="111"/>
      <c r="BL696" s="111"/>
      <c r="BM696" s="111"/>
      <c r="BN696" s="111"/>
      <c r="BO696" s="111"/>
      <c r="BP696" s="111"/>
      <c r="BQ696" s="111"/>
      <c r="BR696" s="111"/>
      <c r="BS696" s="111"/>
      <c r="BT696" s="111"/>
      <c r="BU696" s="111"/>
      <c r="BV696" s="111"/>
    </row>
    <row r="697" spans="1:74" s="50" customFormat="1" ht="15" hidden="1" customHeight="1">
      <c r="A697" s="109">
        <v>693</v>
      </c>
      <c r="B697" s="26" t="s">
        <v>1393</v>
      </c>
      <c r="C697" s="27" t="s">
        <v>1394</v>
      </c>
      <c r="D697" s="26" t="s">
        <v>21</v>
      </c>
      <c r="E697" s="109"/>
      <c r="F697" s="109"/>
      <c r="G697" s="110">
        <v>0</v>
      </c>
      <c r="H697" s="3">
        <f t="shared" si="33"/>
        <v>0</v>
      </c>
      <c r="I697" s="3">
        <f t="shared" si="34"/>
        <v>0</v>
      </c>
      <c r="J697" s="110">
        <f t="shared" si="35"/>
        <v>0</v>
      </c>
      <c r="K697" s="110"/>
      <c r="L697" s="110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  <c r="AJ697" s="111"/>
      <c r="AK697" s="111"/>
      <c r="AL697" s="111"/>
      <c r="AM697" s="111"/>
      <c r="AN697" s="111"/>
      <c r="AO697" s="111"/>
      <c r="AP697" s="111"/>
      <c r="AQ697" s="111"/>
      <c r="AR697" s="111"/>
      <c r="AS697" s="111"/>
      <c r="AT697" s="111"/>
      <c r="AU697" s="111"/>
      <c r="AV697" s="111"/>
      <c r="AW697" s="111"/>
      <c r="AX697" s="111"/>
      <c r="AY697" s="111"/>
      <c r="AZ697" s="111"/>
      <c r="BA697" s="111"/>
      <c r="BB697" s="111"/>
      <c r="BC697" s="111"/>
      <c r="BD697" s="111"/>
      <c r="BE697" s="111"/>
      <c r="BF697" s="111"/>
      <c r="BG697" s="111"/>
      <c r="BH697" s="111"/>
      <c r="BI697" s="111"/>
      <c r="BJ697" s="111"/>
      <c r="BK697" s="111"/>
      <c r="BL697" s="111"/>
      <c r="BM697" s="111"/>
      <c r="BN697" s="111"/>
      <c r="BO697" s="111"/>
      <c r="BP697" s="111"/>
      <c r="BQ697" s="111"/>
      <c r="BR697" s="111"/>
      <c r="BS697" s="111"/>
      <c r="BT697" s="111"/>
      <c r="BU697" s="111"/>
      <c r="BV697" s="111"/>
    </row>
    <row r="698" spans="1:74" s="50" customFormat="1" ht="15" hidden="1" customHeight="1">
      <c r="A698" s="109">
        <v>694</v>
      </c>
      <c r="B698" s="26" t="s">
        <v>1395</v>
      </c>
      <c r="C698" s="27" t="s">
        <v>1396</v>
      </c>
      <c r="D698" s="26" t="s">
        <v>21</v>
      </c>
      <c r="E698" s="109"/>
      <c r="F698" s="109"/>
      <c r="G698" s="110">
        <v>2</v>
      </c>
      <c r="H698" s="3">
        <f t="shared" si="33"/>
        <v>0</v>
      </c>
      <c r="I698" s="3">
        <f t="shared" si="34"/>
        <v>0</v>
      </c>
      <c r="J698" s="110">
        <f t="shared" si="35"/>
        <v>2</v>
      </c>
      <c r="K698" s="110"/>
      <c r="L698" s="110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  <c r="AJ698" s="111"/>
      <c r="AK698" s="111"/>
      <c r="AL698" s="111"/>
      <c r="AM698" s="111"/>
      <c r="AN698" s="111"/>
      <c r="AO698" s="111"/>
      <c r="AP698" s="111"/>
      <c r="AQ698" s="111"/>
      <c r="AR698" s="111"/>
      <c r="AS698" s="111"/>
      <c r="AT698" s="111"/>
      <c r="AU698" s="111"/>
      <c r="AV698" s="111"/>
      <c r="AW698" s="111"/>
      <c r="AX698" s="111"/>
      <c r="AY698" s="111"/>
      <c r="AZ698" s="111"/>
      <c r="BA698" s="111"/>
      <c r="BB698" s="111"/>
      <c r="BC698" s="111"/>
      <c r="BD698" s="111"/>
      <c r="BE698" s="111"/>
      <c r="BF698" s="111"/>
      <c r="BG698" s="111"/>
      <c r="BH698" s="111"/>
      <c r="BI698" s="111"/>
      <c r="BJ698" s="111"/>
      <c r="BK698" s="111"/>
      <c r="BL698" s="111"/>
      <c r="BM698" s="111"/>
      <c r="BN698" s="111"/>
      <c r="BO698" s="111"/>
      <c r="BP698" s="111"/>
      <c r="BQ698" s="111"/>
      <c r="BR698" s="111"/>
      <c r="BS698" s="111"/>
      <c r="BT698" s="111"/>
      <c r="BU698" s="111"/>
      <c r="BV698" s="111"/>
    </row>
    <row r="699" spans="1:74" s="50" customFormat="1" ht="15" hidden="1" customHeight="1">
      <c r="A699" s="109">
        <v>695</v>
      </c>
      <c r="B699" s="26" t="s">
        <v>1397</v>
      </c>
      <c r="C699" s="27" t="s">
        <v>1398</v>
      </c>
      <c r="D699" s="26" t="s">
        <v>21</v>
      </c>
      <c r="E699" s="109"/>
      <c r="F699" s="109"/>
      <c r="G699" s="110">
        <v>1</v>
      </c>
      <c r="H699" s="3">
        <f t="shared" si="33"/>
        <v>0</v>
      </c>
      <c r="I699" s="3">
        <f t="shared" si="34"/>
        <v>0</v>
      </c>
      <c r="J699" s="110">
        <f t="shared" si="35"/>
        <v>1</v>
      </c>
      <c r="K699" s="110"/>
      <c r="L699" s="110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  <c r="AJ699" s="111"/>
      <c r="AK699" s="111"/>
      <c r="AL699" s="111"/>
      <c r="AM699" s="111"/>
      <c r="AN699" s="111"/>
      <c r="AO699" s="111"/>
      <c r="AP699" s="111"/>
      <c r="AQ699" s="111"/>
      <c r="AR699" s="111"/>
      <c r="AS699" s="111"/>
      <c r="AT699" s="111"/>
      <c r="AU699" s="111"/>
      <c r="AV699" s="111"/>
      <c r="AW699" s="111"/>
      <c r="AX699" s="111"/>
      <c r="AY699" s="111"/>
      <c r="AZ699" s="111"/>
      <c r="BA699" s="111"/>
      <c r="BB699" s="111"/>
      <c r="BC699" s="111"/>
      <c r="BD699" s="111"/>
      <c r="BE699" s="111"/>
      <c r="BF699" s="111"/>
      <c r="BG699" s="111"/>
      <c r="BH699" s="111"/>
      <c r="BI699" s="111"/>
      <c r="BJ699" s="111"/>
      <c r="BK699" s="111"/>
      <c r="BL699" s="111"/>
      <c r="BM699" s="111"/>
      <c r="BN699" s="111"/>
      <c r="BO699" s="111"/>
      <c r="BP699" s="111"/>
      <c r="BQ699" s="111"/>
      <c r="BR699" s="111"/>
      <c r="BS699" s="111"/>
      <c r="BT699" s="111"/>
      <c r="BU699" s="111"/>
      <c r="BV699" s="111"/>
    </row>
    <row r="700" spans="1:74" s="50" customFormat="1" ht="15" hidden="1" customHeight="1">
      <c r="A700" s="109">
        <v>696</v>
      </c>
      <c r="B700" s="26" t="s">
        <v>1399</v>
      </c>
      <c r="C700" s="27" t="s">
        <v>1400</v>
      </c>
      <c r="D700" s="26" t="s">
        <v>21</v>
      </c>
      <c r="E700" s="109"/>
      <c r="F700" s="109"/>
      <c r="G700" s="110">
        <v>2</v>
      </c>
      <c r="H700" s="3">
        <f t="shared" si="33"/>
        <v>0</v>
      </c>
      <c r="I700" s="3">
        <f t="shared" si="34"/>
        <v>0</v>
      </c>
      <c r="J700" s="110">
        <f t="shared" si="35"/>
        <v>2</v>
      </c>
      <c r="K700" s="110"/>
      <c r="L700" s="110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  <c r="AJ700" s="111"/>
      <c r="AK700" s="111"/>
      <c r="AL700" s="111"/>
      <c r="AM700" s="111"/>
      <c r="AN700" s="111"/>
      <c r="AO700" s="111"/>
      <c r="AP700" s="111"/>
      <c r="AQ700" s="111"/>
      <c r="AR700" s="111"/>
      <c r="AS700" s="111"/>
      <c r="AT700" s="111"/>
      <c r="AU700" s="111"/>
      <c r="AV700" s="111"/>
      <c r="AW700" s="111"/>
      <c r="AX700" s="111"/>
      <c r="AY700" s="111"/>
      <c r="AZ700" s="111"/>
      <c r="BA700" s="111"/>
      <c r="BB700" s="111"/>
      <c r="BC700" s="111"/>
      <c r="BD700" s="111"/>
      <c r="BE700" s="111"/>
      <c r="BF700" s="111"/>
      <c r="BG700" s="111"/>
      <c r="BH700" s="111"/>
      <c r="BI700" s="111"/>
      <c r="BJ700" s="111"/>
      <c r="BK700" s="111"/>
      <c r="BL700" s="111"/>
      <c r="BM700" s="111"/>
      <c r="BN700" s="111"/>
      <c r="BO700" s="111"/>
      <c r="BP700" s="111"/>
      <c r="BQ700" s="111"/>
      <c r="BR700" s="111"/>
      <c r="BS700" s="111"/>
      <c r="BT700" s="111"/>
      <c r="BU700" s="111"/>
      <c r="BV700" s="111"/>
    </row>
    <row r="701" spans="1:74" s="50" customFormat="1" ht="15" hidden="1" customHeight="1">
      <c r="A701" s="109">
        <v>697</v>
      </c>
      <c r="B701" s="26" t="s">
        <v>1401</v>
      </c>
      <c r="C701" s="27" t="s">
        <v>1402</v>
      </c>
      <c r="D701" s="26" t="s">
        <v>21</v>
      </c>
      <c r="E701" s="109"/>
      <c r="F701" s="109"/>
      <c r="G701" s="110">
        <v>2</v>
      </c>
      <c r="H701" s="3">
        <f t="shared" si="33"/>
        <v>0</v>
      </c>
      <c r="I701" s="3">
        <f t="shared" si="34"/>
        <v>0</v>
      </c>
      <c r="J701" s="110">
        <f t="shared" si="35"/>
        <v>2</v>
      </c>
      <c r="K701" s="110"/>
      <c r="L701" s="110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  <c r="AJ701" s="111"/>
      <c r="AK701" s="111"/>
      <c r="AL701" s="111"/>
      <c r="AM701" s="111"/>
      <c r="AN701" s="111"/>
      <c r="AO701" s="111"/>
      <c r="AP701" s="111"/>
      <c r="AQ701" s="111"/>
      <c r="AR701" s="111"/>
      <c r="AS701" s="111"/>
      <c r="AT701" s="111"/>
      <c r="AU701" s="111"/>
      <c r="AV701" s="111"/>
      <c r="AW701" s="111"/>
      <c r="AX701" s="111"/>
      <c r="AY701" s="111"/>
      <c r="AZ701" s="111"/>
      <c r="BA701" s="111"/>
      <c r="BB701" s="111"/>
      <c r="BC701" s="111"/>
      <c r="BD701" s="111"/>
      <c r="BE701" s="111"/>
      <c r="BF701" s="111"/>
      <c r="BG701" s="111"/>
      <c r="BH701" s="111"/>
      <c r="BI701" s="111"/>
      <c r="BJ701" s="111"/>
      <c r="BK701" s="111"/>
      <c r="BL701" s="111"/>
      <c r="BM701" s="111"/>
      <c r="BN701" s="111"/>
      <c r="BO701" s="111"/>
      <c r="BP701" s="111"/>
      <c r="BQ701" s="111"/>
      <c r="BR701" s="111"/>
      <c r="BS701" s="111"/>
      <c r="BT701" s="111"/>
      <c r="BU701" s="111"/>
      <c r="BV701" s="111"/>
    </row>
    <row r="702" spans="1:74" s="50" customFormat="1" ht="15" hidden="1" customHeight="1">
      <c r="A702" s="109">
        <v>698</v>
      </c>
      <c r="B702" s="26" t="s">
        <v>1403</v>
      </c>
      <c r="C702" s="27" t="s">
        <v>1404</v>
      </c>
      <c r="D702" s="26" t="s">
        <v>21</v>
      </c>
      <c r="E702" s="109"/>
      <c r="F702" s="109"/>
      <c r="G702" s="110">
        <v>1</v>
      </c>
      <c r="H702" s="3">
        <f t="shared" si="33"/>
        <v>0</v>
      </c>
      <c r="I702" s="3">
        <f t="shared" si="34"/>
        <v>0</v>
      </c>
      <c r="J702" s="110">
        <f t="shared" si="35"/>
        <v>1</v>
      </c>
      <c r="K702" s="110"/>
      <c r="L702" s="110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  <c r="AJ702" s="111"/>
      <c r="AK702" s="111"/>
      <c r="AL702" s="111"/>
      <c r="AM702" s="111"/>
      <c r="AN702" s="111"/>
      <c r="AO702" s="111"/>
      <c r="AP702" s="111"/>
      <c r="AQ702" s="111"/>
      <c r="AR702" s="111"/>
      <c r="AS702" s="111"/>
      <c r="AT702" s="111"/>
      <c r="AU702" s="111"/>
      <c r="AV702" s="111"/>
      <c r="AW702" s="111"/>
      <c r="AX702" s="111"/>
      <c r="AY702" s="111"/>
      <c r="AZ702" s="111"/>
      <c r="BA702" s="111"/>
      <c r="BB702" s="111"/>
      <c r="BC702" s="111"/>
      <c r="BD702" s="111"/>
      <c r="BE702" s="111"/>
      <c r="BF702" s="111"/>
      <c r="BG702" s="111"/>
      <c r="BH702" s="111"/>
      <c r="BI702" s="111"/>
      <c r="BJ702" s="111"/>
      <c r="BK702" s="111"/>
      <c r="BL702" s="111"/>
      <c r="BM702" s="111"/>
      <c r="BN702" s="111"/>
      <c r="BO702" s="111"/>
      <c r="BP702" s="111"/>
      <c r="BQ702" s="111"/>
      <c r="BR702" s="111"/>
      <c r="BS702" s="111"/>
      <c r="BT702" s="111"/>
      <c r="BU702" s="111"/>
      <c r="BV702" s="111"/>
    </row>
    <row r="703" spans="1:74" s="50" customFormat="1" ht="15.75" hidden="1" customHeight="1">
      <c r="A703" s="109">
        <v>699</v>
      </c>
      <c r="B703" s="26" t="s">
        <v>1405</v>
      </c>
      <c r="C703" s="27" t="s">
        <v>1406</v>
      </c>
      <c r="D703" s="26" t="s">
        <v>21</v>
      </c>
      <c r="E703" s="109"/>
      <c r="F703" s="109"/>
      <c r="G703" s="110">
        <v>1</v>
      </c>
      <c r="H703" s="3">
        <f t="shared" si="33"/>
        <v>0</v>
      </c>
      <c r="I703" s="3">
        <f t="shared" si="34"/>
        <v>0</v>
      </c>
      <c r="J703" s="110">
        <f t="shared" si="35"/>
        <v>1</v>
      </c>
      <c r="K703" s="110"/>
      <c r="L703" s="110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  <c r="AJ703" s="111"/>
      <c r="AK703" s="111"/>
      <c r="AL703" s="111"/>
      <c r="AM703" s="111"/>
      <c r="AN703" s="111"/>
      <c r="AO703" s="111"/>
      <c r="AP703" s="111"/>
      <c r="AQ703" s="111"/>
      <c r="AR703" s="111"/>
      <c r="AS703" s="111"/>
      <c r="AT703" s="111"/>
      <c r="AU703" s="111"/>
      <c r="AV703" s="111"/>
      <c r="AW703" s="111"/>
      <c r="AX703" s="111"/>
      <c r="AY703" s="111"/>
      <c r="AZ703" s="111"/>
      <c r="BA703" s="111"/>
      <c r="BB703" s="111"/>
      <c r="BC703" s="111"/>
      <c r="BD703" s="111"/>
      <c r="BE703" s="111"/>
      <c r="BF703" s="111"/>
      <c r="BG703" s="111"/>
      <c r="BH703" s="111"/>
      <c r="BI703" s="111"/>
      <c r="BJ703" s="111"/>
      <c r="BK703" s="111"/>
      <c r="BL703" s="111"/>
      <c r="BM703" s="111"/>
      <c r="BN703" s="111"/>
      <c r="BO703" s="111"/>
      <c r="BP703" s="111"/>
      <c r="BQ703" s="111"/>
      <c r="BR703" s="111"/>
      <c r="BS703" s="111"/>
      <c r="BT703" s="111"/>
      <c r="BU703" s="111"/>
      <c r="BV703" s="111"/>
    </row>
    <row r="704" spans="1:74" s="50" customFormat="1" ht="15.75" hidden="1" customHeight="1">
      <c r="A704" s="109">
        <v>700</v>
      </c>
      <c r="B704" s="26" t="s">
        <v>1407</v>
      </c>
      <c r="C704" s="27" t="s">
        <v>1408</v>
      </c>
      <c r="D704" s="26" t="s">
        <v>21</v>
      </c>
      <c r="E704" s="109"/>
      <c r="F704" s="109"/>
      <c r="G704" s="110">
        <v>4</v>
      </c>
      <c r="H704" s="3">
        <f t="shared" si="33"/>
        <v>0</v>
      </c>
      <c r="I704" s="3">
        <f t="shared" si="34"/>
        <v>0</v>
      </c>
      <c r="J704" s="110">
        <f t="shared" si="35"/>
        <v>4</v>
      </c>
      <c r="K704" s="110"/>
      <c r="L704" s="110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  <c r="AJ704" s="111"/>
      <c r="AK704" s="111"/>
      <c r="AL704" s="111"/>
      <c r="AM704" s="111"/>
      <c r="AN704" s="111"/>
      <c r="AO704" s="111"/>
      <c r="AP704" s="111"/>
      <c r="AQ704" s="111"/>
      <c r="AR704" s="111"/>
      <c r="AS704" s="111"/>
      <c r="AT704" s="111"/>
      <c r="AU704" s="111"/>
      <c r="AV704" s="111"/>
      <c r="AW704" s="111"/>
      <c r="AX704" s="111"/>
      <c r="AY704" s="111"/>
      <c r="AZ704" s="111"/>
      <c r="BA704" s="111"/>
      <c r="BB704" s="111"/>
      <c r="BC704" s="111"/>
      <c r="BD704" s="111"/>
      <c r="BE704" s="111"/>
      <c r="BF704" s="111"/>
      <c r="BG704" s="111"/>
      <c r="BH704" s="111"/>
      <c r="BI704" s="111"/>
      <c r="BJ704" s="111"/>
      <c r="BK704" s="111"/>
      <c r="BL704" s="111"/>
      <c r="BM704" s="111"/>
      <c r="BN704" s="111"/>
      <c r="BO704" s="111"/>
      <c r="BP704" s="111"/>
      <c r="BQ704" s="111"/>
      <c r="BR704" s="111"/>
      <c r="BS704" s="111"/>
      <c r="BT704" s="111"/>
      <c r="BU704" s="111"/>
      <c r="BV704" s="111"/>
    </row>
    <row r="705" spans="1:74" s="92" customFormat="1" ht="15" hidden="1" customHeight="1">
      <c r="A705" s="142">
        <v>701</v>
      </c>
      <c r="B705" s="143" t="s">
        <v>1409</v>
      </c>
      <c r="C705" s="144" t="s">
        <v>1410</v>
      </c>
      <c r="D705" s="143" t="s">
        <v>21</v>
      </c>
      <c r="E705" s="109"/>
      <c r="F705" s="109"/>
      <c r="G705" s="108">
        <v>0</v>
      </c>
      <c r="H705" s="26">
        <f t="shared" si="33"/>
        <v>0</v>
      </c>
      <c r="I705" s="26">
        <f t="shared" si="34"/>
        <v>0</v>
      </c>
      <c r="J705" s="108">
        <f t="shared" si="35"/>
        <v>0</v>
      </c>
      <c r="K705" s="108"/>
      <c r="L705" s="108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  <c r="AO705" s="109"/>
      <c r="AP705" s="109"/>
      <c r="AQ705" s="109"/>
      <c r="AR705" s="109"/>
      <c r="AS705" s="109"/>
      <c r="AT705" s="109"/>
      <c r="AU705" s="109"/>
      <c r="AV705" s="109"/>
      <c r="AW705" s="109"/>
      <c r="AX705" s="109"/>
      <c r="AY705" s="109"/>
      <c r="AZ705" s="109"/>
      <c r="BA705" s="109"/>
      <c r="BB705" s="109"/>
      <c r="BC705" s="109"/>
      <c r="BD705" s="109"/>
      <c r="BE705" s="109"/>
      <c r="BF705" s="109"/>
      <c r="BG705" s="109"/>
      <c r="BH705" s="109"/>
      <c r="BI705" s="109"/>
      <c r="BJ705" s="109"/>
      <c r="BK705" s="109"/>
      <c r="BL705" s="109"/>
      <c r="BM705" s="109"/>
      <c r="BN705" s="109"/>
      <c r="BO705" s="109"/>
      <c r="BP705" s="109"/>
      <c r="BQ705" s="109"/>
      <c r="BR705" s="109"/>
      <c r="BS705" s="109"/>
      <c r="BT705" s="109"/>
      <c r="BU705" s="109"/>
      <c r="BV705" s="109"/>
    </row>
    <row r="706" spans="1:74" s="50" customFormat="1" ht="15" hidden="1" customHeight="1">
      <c r="A706" s="142">
        <v>702</v>
      </c>
      <c r="B706" s="143" t="s">
        <v>1411</v>
      </c>
      <c r="C706" s="144" t="s">
        <v>1412</v>
      </c>
      <c r="D706" s="143" t="s">
        <v>21</v>
      </c>
      <c r="E706" s="109"/>
      <c r="F706" s="109"/>
      <c r="G706" s="110">
        <v>8</v>
      </c>
      <c r="H706" s="3">
        <f t="shared" si="33"/>
        <v>0</v>
      </c>
      <c r="I706" s="3">
        <f t="shared" si="34"/>
        <v>0</v>
      </c>
      <c r="J706" s="110">
        <f t="shared" si="35"/>
        <v>8</v>
      </c>
      <c r="K706" s="110"/>
      <c r="L706" s="110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  <c r="AJ706" s="111"/>
      <c r="AK706" s="111"/>
      <c r="AL706" s="111"/>
      <c r="AM706" s="111"/>
      <c r="AN706" s="111"/>
      <c r="AO706" s="111"/>
      <c r="AP706" s="111"/>
      <c r="AQ706" s="111"/>
      <c r="AR706" s="111"/>
      <c r="AS706" s="111"/>
      <c r="AT706" s="111"/>
      <c r="AU706" s="111"/>
      <c r="AV706" s="111"/>
      <c r="AW706" s="111"/>
      <c r="AX706" s="111"/>
      <c r="AY706" s="111"/>
      <c r="AZ706" s="111"/>
      <c r="BA706" s="111"/>
      <c r="BB706" s="111"/>
      <c r="BC706" s="111"/>
      <c r="BD706" s="111"/>
      <c r="BE706" s="111"/>
      <c r="BF706" s="111"/>
      <c r="BG706" s="111"/>
      <c r="BH706" s="111"/>
      <c r="BI706" s="111"/>
      <c r="BJ706" s="111"/>
      <c r="BK706" s="111"/>
      <c r="BL706" s="111"/>
      <c r="BM706" s="111"/>
      <c r="BN706" s="111"/>
      <c r="BO706" s="111"/>
      <c r="BP706" s="111"/>
      <c r="BQ706" s="111"/>
      <c r="BR706" s="111"/>
      <c r="BS706" s="111"/>
      <c r="BT706" s="111"/>
      <c r="BU706" s="111"/>
      <c r="BV706" s="111"/>
    </row>
    <row r="707" spans="1:74" s="50" customFormat="1" ht="15" hidden="1" customHeight="1">
      <c r="A707" s="142">
        <v>703</v>
      </c>
      <c r="B707" s="143" t="s">
        <v>1413</v>
      </c>
      <c r="C707" s="144" t="s">
        <v>1414</v>
      </c>
      <c r="D707" s="143" t="s">
        <v>21</v>
      </c>
      <c r="E707" s="109"/>
      <c r="F707" s="109"/>
      <c r="G707" s="110">
        <v>6</v>
      </c>
      <c r="H707" s="3">
        <f t="shared" si="33"/>
        <v>0</v>
      </c>
      <c r="I707" s="3">
        <f t="shared" si="34"/>
        <v>0</v>
      </c>
      <c r="J707" s="110">
        <f t="shared" si="35"/>
        <v>6</v>
      </c>
      <c r="K707" s="110"/>
      <c r="L707" s="110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  <c r="AJ707" s="111"/>
      <c r="AK707" s="111"/>
      <c r="AL707" s="111"/>
      <c r="AM707" s="111"/>
      <c r="AN707" s="111"/>
      <c r="AO707" s="111"/>
      <c r="AP707" s="111"/>
      <c r="AQ707" s="111"/>
      <c r="AR707" s="111"/>
      <c r="AS707" s="111"/>
      <c r="AT707" s="111"/>
      <c r="AU707" s="111"/>
      <c r="AV707" s="111"/>
      <c r="AW707" s="111"/>
      <c r="AX707" s="111"/>
      <c r="AY707" s="111"/>
      <c r="AZ707" s="111"/>
      <c r="BA707" s="111"/>
      <c r="BB707" s="111"/>
      <c r="BC707" s="111"/>
      <c r="BD707" s="111"/>
      <c r="BE707" s="111"/>
      <c r="BF707" s="111"/>
      <c r="BG707" s="111"/>
      <c r="BH707" s="111"/>
      <c r="BI707" s="111"/>
      <c r="BJ707" s="111"/>
      <c r="BK707" s="111"/>
      <c r="BL707" s="111"/>
      <c r="BM707" s="111"/>
      <c r="BN707" s="111"/>
      <c r="BO707" s="111"/>
      <c r="BP707" s="111"/>
      <c r="BQ707" s="111"/>
      <c r="BR707" s="111"/>
      <c r="BS707" s="111"/>
      <c r="BT707" s="111"/>
      <c r="BU707" s="111"/>
      <c r="BV707" s="111"/>
    </row>
    <row r="708" spans="1:74" s="50" customFormat="1" ht="15" hidden="1" customHeight="1">
      <c r="A708" s="142">
        <v>704</v>
      </c>
      <c r="B708" s="143" t="s">
        <v>1415</v>
      </c>
      <c r="C708" s="144" t="s">
        <v>1416</v>
      </c>
      <c r="D708" s="143" t="s">
        <v>21</v>
      </c>
      <c r="E708" s="109"/>
      <c r="F708" s="109"/>
      <c r="G708" s="110">
        <v>12</v>
      </c>
      <c r="H708" s="3">
        <f t="shared" si="33"/>
        <v>0</v>
      </c>
      <c r="I708" s="3">
        <f t="shared" si="34"/>
        <v>0</v>
      </c>
      <c r="J708" s="110">
        <f t="shared" si="35"/>
        <v>12</v>
      </c>
      <c r="K708" s="110"/>
      <c r="L708" s="110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/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/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/>
      <c r="BP708" s="111"/>
      <c r="BQ708" s="111"/>
      <c r="BR708" s="111"/>
      <c r="BS708" s="111"/>
      <c r="BT708" s="111"/>
      <c r="BU708" s="111"/>
      <c r="BV708" s="111"/>
    </row>
    <row r="709" spans="1:74" s="50" customFormat="1" ht="15" hidden="1" customHeight="1">
      <c r="A709" s="142">
        <v>705</v>
      </c>
      <c r="B709" s="143" t="s">
        <v>1417</v>
      </c>
      <c r="C709" s="144" t="s">
        <v>1418</v>
      </c>
      <c r="D709" s="143" t="s">
        <v>21</v>
      </c>
      <c r="E709" s="109"/>
      <c r="F709" s="109"/>
      <c r="G709" s="110">
        <v>39</v>
      </c>
      <c r="H709" s="3">
        <f t="shared" si="33"/>
        <v>0</v>
      </c>
      <c r="I709" s="3">
        <f t="shared" si="34"/>
        <v>0</v>
      </c>
      <c r="J709" s="110">
        <f t="shared" si="35"/>
        <v>39</v>
      </c>
      <c r="K709" s="110"/>
      <c r="L709" s="110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/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</row>
    <row r="710" spans="1:74" s="50" customFormat="1" ht="15" hidden="1" customHeight="1">
      <c r="A710" s="109">
        <v>706</v>
      </c>
      <c r="B710" s="112" t="s">
        <v>1419</v>
      </c>
      <c r="C710" s="113" t="s">
        <v>1420</v>
      </c>
      <c r="D710" s="26" t="s">
        <v>21</v>
      </c>
      <c r="E710" s="109"/>
      <c r="F710" s="109"/>
      <c r="G710" s="110">
        <v>37</v>
      </c>
      <c r="H710" s="3">
        <f t="shared" si="33"/>
        <v>0</v>
      </c>
      <c r="I710" s="3">
        <f t="shared" si="34"/>
        <v>0</v>
      </c>
      <c r="J710" s="110">
        <f t="shared" si="35"/>
        <v>37</v>
      </c>
      <c r="K710" s="110"/>
      <c r="L710" s="110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  <c r="AJ710" s="111"/>
      <c r="AK710" s="111"/>
      <c r="AL710" s="111"/>
      <c r="AM710" s="111"/>
      <c r="AN710" s="111"/>
      <c r="AO710" s="111"/>
      <c r="AP710" s="111"/>
      <c r="AQ710" s="111"/>
      <c r="AR710" s="111"/>
      <c r="AS710" s="111"/>
      <c r="AT710" s="111"/>
      <c r="AU710" s="111"/>
      <c r="AV710" s="111"/>
      <c r="AW710" s="111"/>
      <c r="AX710" s="111"/>
      <c r="AY710" s="111"/>
      <c r="AZ710" s="111"/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</row>
    <row r="711" spans="1:74" s="50" customFormat="1" ht="30" hidden="1" customHeight="1">
      <c r="A711" s="109">
        <v>707</v>
      </c>
      <c r="B711" s="26" t="s">
        <v>1421</v>
      </c>
      <c r="C711" s="27" t="s">
        <v>1422</v>
      </c>
      <c r="D711" s="26" t="s">
        <v>21</v>
      </c>
      <c r="E711" s="109"/>
      <c r="F711" s="109"/>
      <c r="G711" s="110">
        <v>4</v>
      </c>
      <c r="H711" s="3">
        <f t="shared" si="33"/>
        <v>0</v>
      </c>
      <c r="I711" s="3">
        <f t="shared" si="34"/>
        <v>0</v>
      </c>
      <c r="J711" s="110">
        <f t="shared" si="35"/>
        <v>4</v>
      </c>
      <c r="K711" s="110"/>
      <c r="L711" s="110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/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</row>
    <row r="712" spans="1:74" s="50" customFormat="1" ht="30" hidden="1" customHeight="1">
      <c r="A712" s="109">
        <v>708</v>
      </c>
      <c r="B712" s="26" t="s">
        <v>1423</v>
      </c>
      <c r="C712" s="27" t="s">
        <v>1424</v>
      </c>
      <c r="D712" s="26" t="s">
        <v>21</v>
      </c>
      <c r="E712" s="109"/>
      <c r="F712" s="109"/>
      <c r="G712" s="110">
        <v>0</v>
      </c>
      <c r="H712" s="3">
        <f t="shared" si="33"/>
        <v>0</v>
      </c>
      <c r="I712" s="3">
        <f t="shared" si="34"/>
        <v>0</v>
      </c>
      <c r="J712" s="110">
        <f t="shared" si="35"/>
        <v>0</v>
      </c>
      <c r="K712" s="110"/>
      <c r="L712" s="110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  <c r="AJ712" s="111"/>
      <c r="AK712" s="111"/>
      <c r="AL712" s="111"/>
      <c r="AM712" s="111"/>
      <c r="AN712" s="111"/>
      <c r="AO712" s="111"/>
      <c r="AP712" s="111"/>
      <c r="AQ712" s="111"/>
      <c r="AR712" s="111"/>
      <c r="AS712" s="111"/>
      <c r="AT712" s="111"/>
      <c r="AU712" s="111"/>
      <c r="AV712" s="111"/>
      <c r="AW712" s="111"/>
      <c r="AX712" s="111"/>
      <c r="AY712" s="111"/>
      <c r="AZ712" s="111"/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</row>
    <row r="713" spans="1:74" s="50" customFormat="1" ht="30" hidden="1" customHeight="1">
      <c r="A713" s="109">
        <v>709</v>
      </c>
      <c r="B713" s="26" t="s">
        <v>1425</v>
      </c>
      <c r="C713" s="27" t="s">
        <v>1426</v>
      </c>
      <c r="D713" s="26" t="s">
        <v>21</v>
      </c>
      <c r="E713" s="109"/>
      <c r="F713" s="109"/>
      <c r="G713" s="110">
        <v>1</v>
      </c>
      <c r="H713" s="3">
        <f t="shared" si="33"/>
        <v>0</v>
      </c>
      <c r="I713" s="3">
        <f t="shared" si="34"/>
        <v>0</v>
      </c>
      <c r="J713" s="110">
        <f t="shared" si="35"/>
        <v>1</v>
      </c>
      <c r="K713" s="110"/>
      <c r="L713" s="110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  <c r="AJ713" s="111"/>
      <c r="AK713" s="111"/>
      <c r="AL713" s="111"/>
      <c r="AM713" s="111"/>
      <c r="AN713" s="111"/>
      <c r="AO713" s="111"/>
      <c r="AP713" s="111"/>
      <c r="AQ713" s="111"/>
      <c r="AR713" s="111"/>
      <c r="AS713" s="111"/>
      <c r="AT713" s="111"/>
      <c r="AU713" s="111"/>
      <c r="AV713" s="111"/>
      <c r="AW713" s="111"/>
      <c r="AX713" s="111"/>
      <c r="AY713" s="111"/>
      <c r="AZ713" s="111"/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</row>
    <row r="714" spans="1:74" s="50" customFormat="1" ht="30" hidden="1" customHeight="1">
      <c r="A714" s="109">
        <v>710</v>
      </c>
      <c r="B714" s="26" t="s">
        <v>1427</v>
      </c>
      <c r="C714" s="27" t="s">
        <v>1428</v>
      </c>
      <c r="D714" s="26" t="s">
        <v>21</v>
      </c>
      <c r="E714" s="109"/>
      <c r="F714" s="109"/>
      <c r="G714" s="110">
        <v>0</v>
      </c>
      <c r="H714" s="3">
        <f t="shared" si="33"/>
        <v>0</v>
      </c>
      <c r="I714" s="3">
        <f t="shared" si="34"/>
        <v>0</v>
      </c>
      <c r="J714" s="110">
        <f t="shared" si="35"/>
        <v>0</v>
      </c>
      <c r="K714" s="110"/>
      <c r="L714" s="110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  <c r="AJ714" s="111"/>
      <c r="AK714" s="111"/>
      <c r="AL714" s="111"/>
      <c r="AM714" s="111"/>
      <c r="AN714" s="111"/>
      <c r="AO714" s="111"/>
      <c r="AP714" s="111"/>
      <c r="AQ714" s="111"/>
      <c r="AR714" s="111"/>
      <c r="AS714" s="111"/>
      <c r="AT714" s="111"/>
      <c r="AU714" s="111"/>
      <c r="AV714" s="111"/>
      <c r="AW714" s="111"/>
      <c r="AX714" s="111"/>
      <c r="AY714" s="111"/>
      <c r="AZ714" s="111"/>
      <c r="BA714" s="111"/>
      <c r="BB714" s="111"/>
      <c r="BC714" s="111"/>
      <c r="BD714" s="111"/>
      <c r="BE714" s="111"/>
      <c r="BF714" s="111"/>
      <c r="BG714" s="111"/>
      <c r="BH714" s="111"/>
      <c r="BI714" s="111"/>
      <c r="BJ714" s="111"/>
      <c r="BK714" s="111"/>
      <c r="BL714" s="111"/>
      <c r="BM714" s="111"/>
      <c r="BN714" s="111"/>
      <c r="BO714" s="111"/>
      <c r="BP714" s="111"/>
      <c r="BQ714" s="111"/>
      <c r="BR714" s="111"/>
      <c r="BS714" s="111"/>
      <c r="BT714" s="111"/>
      <c r="BU714" s="111"/>
      <c r="BV714" s="111"/>
    </row>
    <row r="715" spans="1:74" s="50" customFormat="1" ht="30" hidden="1" customHeight="1">
      <c r="A715" s="109">
        <v>711</v>
      </c>
      <c r="B715" s="26" t="s">
        <v>1429</v>
      </c>
      <c r="C715" s="27" t="s">
        <v>1430</v>
      </c>
      <c r="D715" s="26" t="s">
        <v>21</v>
      </c>
      <c r="E715" s="109"/>
      <c r="F715" s="109"/>
      <c r="G715" s="110">
        <v>1</v>
      </c>
      <c r="H715" s="3">
        <f t="shared" si="33"/>
        <v>0</v>
      </c>
      <c r="I715" s="3">
        <f t="shared" si="34"/>
        <v>0</v>
      </c>
      <c r="J715" s="110">
        <f t="shared" si="35"/>
        <v>1</v>
      </c>
      <c r="K715" s="110"/>
      <c r="L715" s="110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  <c r="AJ715" s="111"/>
      <c r="AK715" s="111"/>
      <c r="AL715" s="111"/>
      <c r="AM715" s="111"/>
      <c r="AN715" s="111"/>
      <c r="AO715" s="111"/>
      <c r="AP715" s="111"/>
      <c r="AQ715" s="111"/>
      <c r="AR715" s="111"/>
      <c r="AS715" s="111"/>
      <c r="AT715" s="111"/>
      <c r="AU715" s="111"/>
      <c r="AV715" s="111"/>
      <c r="AW715" s="111"/>
      <c r="AX715" s="111"/>
      <c r="AY715" s="111"/>
      <c r="AZ715" s="111"/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</row>
    <row r="716" spans="1:74" s="50" customFormat="1" ht="30" hidden="1" customHeight="1">
      <c r="A716" s="109">
        <v>712</v>
      </c>
      <c r="B716" s="26" t="s">
        <v>1431</v>
      </c>
      <c r="C716" s="27" t="s">
        <v>1432</v>
      </c>
      <c r="D716" s="26" t="s">
        <v>21</v>
      </c>
      <c r="E716" s="109"/>
      <c r="F716" s="109"/>
      <c r="G716" s="110">
        <v>1</v>
      </c>
      <c r="H716" s="3">
        <f t="shared" si="33"/>
        <v>0</v>
      </c>
      <c r="I716" s="3">
        <f t="shared" si="34"/>
        <v>0</v>
      </c>
      <c r="J716" s="110">
        <f t="shared" si="35"/>
        <v>1</v>
      </c>
      <c r="K716" s="110"/>
      <c r="L716" s="110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  <c r="AJ716" s="111"/>
      <c r="AK716" s="111"/>
      <c r="AL716" s="111"/>
      <c r="AM716" s="111"/>
      <c r="AN716" s="111"/>
      <c r="AO716" s="111"/>
      <c r="AP716" s="111"/>
      <c r="AQ716" s="111"/>
      <c r="AR716" s="111"/>
      <c r="AS716" s="111"/>
      <c r="AT716" s="111"/>
      <c r="AU716" s="111"/>
      <c r="AV716" s="111"/>
      <c r="AW716" s="111"/>
      <c r="AX716" s="111"/>
      <c r="AY716" s="111"/>
      <c r="AZ716" s="111"/>
      <c r="BA716" s="111"/>
      <c r="BB716" s="111"/>
      <c r="BC716" s="111"/>
      <c r="BD716" s="111"/>
      <c r="BE716" s="111"/>
      <c r="BF716" s="111"/>
      <c r="BG716" s="111"/>
      <c r="BH716" s="111"/>
      <c r="BI716" s="111"/>
      <c r="BJ716" s="111"/>
      <c r="BK716" s="111"/>
      <c r="BL716" s="111"/>
      <c r="BM716" s="111"/>
      <c r="BN716" s="111"/>
      <c r="BO716" s="111"/>
      <c r="BP716" s="111"/>
      <c r="BQ716" s="111"/>
      <c r="BR716" s="111"/>
      <c r="BS716" s="111"/>
      <c r="BT716" s="111"/>
      <c r="BU716" s="111"/>
      <c r="BV716" s="111"/>
    </row>
    <row r="717" spans="1:74" s="50" customFormat="1" ht="30" hidden="1" customHeight="1">
      <c r="A717" s="109">
        <v>713</v>
      </c>
      <c r="B717" s="26" t="s">
        <v>1433</v>
      </c>
      <c r="C717" s="27" t="s">
        <v>1434</v>
      </c>
      <c r="D717" s="26" t="s">
        <v>21</v>
      </c>
      <c r="E717" s="109"/>
      <c r="F717" s="109"/>
      <c r="G717" s="110">
        <v>0</v>
      </c>
      <c r="H717" s="3">
        <f t="shared" si="33"/>
        <v>0</v>
      </c>
      <c r="I717" s="3">
        <f t="shared" si="34"/>
        <v>0</v>
      </c>
      <c r="J717" s="110">
        <f t="shared" si="35"/>
        <v>0</v>
      </c>
      <c r="K717" s="110"/>
      <c r="L717" s="110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  <c r="AJ717" s="111"/>
      <c r="AK717" s="111"/>
      <c r="AL717" s="111"/>
      <c r="AM717" s="111"/>
      <c r="AN717" s="111"/>
      <c r="AO717" s="111"/>
      <c r="AP717" s="111"/>
      <c r="AQ717" s="111"/>
      <c r="AR717" s="111"/>
      <c r="AS717" s="111"/>
      <c r="AT717" s="111"/>
      <c r="AU717" s="111"/>
      <c r="AV717" s="111"/>
      <c r="AW717" s="111"/>
      <c r="AX717" s="111"/>
      <c r="AY717" s="111"/>
      <c r="AZ717" s="111"/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</row>
    <row r="718" spans="1:74" s="50" customFormat="1" ht="15" hidden="1" customHeight="1">
      <c r="A718" s="109">
        <v>714</v>
      </c>
      <c r="B718" s="26" t="s">
        <v>1435</v>
      </c>
      <c r="C718" s="27" t="s">
        <v>1436</v>
      </c>
      <c r="D718" s="26" t="s">
        <v>21</v>
      </c>
      <c r="E718" s="109"/>
      <c r="F718" s="109"/>
      <c r="G718" s="110">
        <v>4</v>
      </c>
      <c r="H718" s="3">
        <f t="shared" si="33"/>
        <v>0</v>
      </c>
      <c r="I718" s="3">
        <f t="shared" si="34"/>
        <v>0</v>
      </c>
      <c r="J718" s="110">
        <f t="shared" si="35"/>
        <v>4</v>
      </c>
      <c r="K718" s="110"/>
      <c r="L718" s="110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  <c r="AJ718" s="111"/>
      <c r="AK718" s="111"/>
      <c r="AL718" s="111"/>
      <c r="AM718" s="111"/>
      <c r="AN718" s="111"/>
      <c r="AO718" s="111"/>
      <c r="AP718" s="111"/>
      <c r="AQ718" s="111"/>
      <c r="AR718" s="111"/>
      <c r="AS718" s="111"/>
      <c r="AT718" s="111"/>
      <c r="AU718" s="111"/>
      <c r="AV718" s="111"/>
      <c r="AW718" s="111"/>
      <c r="AX718" s="111"/>
      <c r="AY718" s="111"/>
      <c r="AZ718" s="111"/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</row>
    <row r="719" spans="1:74" s="50" customFormat="1" ht="15" hidden="1" customHeight="1">
      <c r="A719" s="142">
        <v>715</v>
      </c>
      <c r="B719" s="143" t="s">
        <v>1437</v>
      </c>
      <c r="C719" s="144" t="s">
        <v>1438</v>
      </c>
      <c r="D719" s="143" t="s">
        <v>21</v>
      </c>
      <c r="E719" s="109"/>
      <c r="F719" s="109"/>
      <c r="G719" s="110">
        <v>2</v>
      </c>
      <c r="H719" s="3">
        <f t="shared" si="33"/>
        <v>0</v>
      </c>
      <c r="I719" s="3">
        <f t="shared" si="34"/>
        <v>0</v>
      </c>
      <c r="J719" s="110">
        <f t="shared" si="35"/>
        <v>2</v>
      </c>
      <c r="K719" s="110"/>
      <c r="L719" s="110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  <c r="AJ719" s="111"/>
      <c r="AK719" s="111"/>
      <c r="AL719" s="111"/>
      <c r="AM719" s="111"/>
      <c r="AN719" s="111"/>
      <c r="AO719" s="111"/>
      <c r="AP719" s="111"/>
      <c r="AQ719" s="111"/>
      <c r="AR719" s="111"/>
      <c r="AS719" s="111"/>
      <c r="AT719" s="111"/>
      <c r="AU719" s="111"/>
      <c r="AV719" s="111"/>
      <c r="AW719" s="111"/>
      <c r="AX719" s="111"/>
      <c r="AY719" s="111"/>
      <c r="AZ719" s="111"/>
      <c r="BA719" s="111"/>
      <c r="BB719" s="111"/>
      <c r="BC719" s="111"/>
      <c r="BD719" s="111"/>
      <c r="BE719" s="111"/>
      <c r="BF719" s="111"/>
      <c r="BG719" s="111"/>
      <c r="BH719" s="111"/>
      <c r="BI719" s="111"/>
      <c r="BJ719" s="111"/>
      <c r="BK719" s="111"/>
      <c r="BL719" s="111"/>
      <c r="BM719" s="111"/>
      <c r="BN719" s="111"/>
      <c r="BO719" s="111"/>
      <c r="BP719" s="111"/>
      <c r="BQ719" s="111"/>
      <c r="BR719" s="111"/>
      <c r="BS719" s="111"/>
      <c r="BT719" s="111"/>
      <c r="BU719" s="111"/>
      <c r="BV719" s="111"/>
    </row>
    <row r="720" spans="1:74" s="50" customFormat="1" ht="15" hidden="1" customHeight="1">
      <c r="A720" s="142">
        <v>716</v>
      </c>
      <c r="B720" s="143" t="s">
        <v>1439</v>
      </c>
      <c r="C720" s="144" t="s">
        <v>1440</v>
      </c>
      <c r="D720" s="143" t="s">
        <v>21</v>
      </c>
      <c r="E720" s="109"/>
      <c r="F720" s="109"/>
      <c r="G720" s="110">
        <v>2</v>
      </c>
      <c r="H720" s="3">
        <f t="shared" si="33"/>
        <v>0</v>
      </c>
      <c r="I720" s="3">
        <f t="shared" si="34"/>
        <v>0</v>
      </c>
      <c r="J720" s="110">
        <f t="shared" si="35"/>
        <v>2</v>
      </c>
      <c r="K720" s="110"/>
      <c r="L720" s="110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  <c r="AJ720" s="111"/>
      <c r="AK720" s="111"/>
      <c r="AL720" s="111"/>
      <c r="AM720" s="111"/>
      <c r="AN720" s="111"/>
      <c r="AO720" s="111"/>
      <c r="AP720" s="111"/>
      <c r="AQ720" s="111"/>
      <c r="AR720" s="111"/>
      <c r="AS720" s="111"/>
      <c r="AT720" s="111"/>
      <c r="AU720" s="111"/>
      <c r="AV720" s="111"/>
      <c r="AW720" s="111"/>
      <c r="AX720" s="111"/>
      <c r="AY720" s="111"/>
      <c r="AZ720" s="111"/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</row>
    <row r="721" spans="1:74" s="50" customFormat="1" ht="15" hidden="1" customHeight="1">
      <c r="A721" s="111">
        <v>717</v>
      </c>
      <c r="B721" s="3" t="s">
        <v>1441</v>
      </c>
      <c r="C721" s="5" t="s">
        <v>1442</v>
      </c>
      <c r="D721" s="3" t="s">
        <v>21</v>
      </c>
      <c r="E721" s="111"/>
      <c r="F721" s="111"/>
      <c r="G721" s="110">
        <v>5</v>
      </c>
      <c r="H721" s="3">
        <f t="shared" si="33"/>
        <v>0</v>
      </c>
      <c r="I721" s="3">
        <f t="shared" si="34"/>
        <v>0</v>
      </c>
      <c r="J721" s="110">
        <f t="shared" si="35"/>
        <v>5</v>
      </c>
      <c r="K721" s="110"/>
      <c r="L721" s="110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  <c r="AJ721" s="111"/>
      <c r="AK721" s="111"/>
      <c r="AL721" s="111"/>
      <c r="AM721" s="111"/>
      <c r="AN721" s="111"/>
      <c r="AO721" s="111"/>
      <c r="AP721" s="111"/>
      <c r="AQ721" s="111"/>
      <c r="AR721" s="111"/>
      <c r="AS721" s="111"/>
      <c r="AT721" s="111"/>
      <c r="AU721" s="111"/>
      <c r="AV721" s="111"/>
      <c r="AW721" s="111"/>
      <c r="AX721" s="111"/>
      <c r="AY721" s="111"/>
      <c r="AZ721" s="111"/>
      <c r="BA721" s="111"/>
      <c r="BB721" s="111"/>
      <c r="BC721" s="111"/>
      <c r="BD721" s="111"/>
      <c r="BE721" s="111"/>
      <c r="BF721" s="111"/>
      <c r="BG721" s="111"/>
      <c r="BH721" s="111"/>
      <c r="BI721" s="111"/>
      <c r="BJ721" s="111"/>
      <c r="BK721" s="111"/>
      <c r="BL721" s="111"/>
      <c r="BM721" s="111"/>
      <c r="BN721" s="111"/>
      <c r="BO721" s="111"/>
      <c r="BP721" s="111"/>
      <c r="BQ721" s="111"/>
      <c r="BR721" s="111"/>
      <c r="BS721" s="111"/>
      <c r="BT721" s="111"/>
      <c r="BU721" s="111"/>
      <c r="BV721" s="111"/>
    </row>
    <row r="722" spans="1:74" s="50" customFormat="1" ht="15" hidden="1" customHeight="1">
      <c r="A722" s="109">
        <v>718</v>
      </c>
      <c r="B722" s="134" t="s">
        <v>1443</v>
      </c>
      <c r="C722" s="27" t="s">
        <v>1444</v>
      </c>
      <c r="D722" s="26" t="s">
        <v>21</v>
      </c>
      <c r="E722" s="109"/>
      <c r="F722" s="109"/>
      <c r="G722" s="110">
        <v>5</v>
      </c>
      <c r="H722" s="3">
        <f t="shared" si="33"/>
        <v>0</v>
      </c>
      <c r="I722" s="3">
        <f t="shared" si="34"/>
        <v>0</v>
      </c>
      <c r="J722" s="110">
        <f t="shared" si="35"/>
        <v>5</v>
      </c>
      <c r="K722" s="110"/>
      <c r="L722" s="110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  <c r="AJ722" s="111"/>
      <c r="AK722" s="111"/>
      <c r="AL722" s="111"/>
      <c r="AM722" s="111"/>
      <c r="AN722" s="111"/>
      <c r="AO722" s="111"/>
      <c r="AP722" s="111"/>
      <c r="AQ722" s="111"/>
      <c r="AR722" s="111"/>
      <c r="AS722" s="111"/>
      <c r="AT722" s="111"/>
      <c r="AU722" s="111"/>
      <c r="AV722" s="111"/>
      <c r="AW722" s="111"/>
      <c r="AX722" s="111"/>
      <c r="AY722" s="111"/>
      <c r="AZ722" s="111"/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</row>
    <row r="723" spans="1:74" s="50" customFormat="1" ht="15" hidden="1" customHeight="1">
      <c r="A723" s="111">
        <v>719</v>
      </c>
      <c r="B723" s="3" t="s">
        <v>1445</v>
      </c>
      <c r="C723" s="272" t="s">
        <v>1446</v>
      </c>
      <c r="D723" s="3" t="s">
        <v>21</v>
      </c>
      <c r="E723" s="111"/>
      <c r="F723" s="111"/>
      <c r="G723" s="110">
        <v>5</v>
      </c>
      <c r="H723" s="3">
        <f t="shared" si="33"/>
        <v>0</v>
      </c>
      <c r="I723" s="3">
        <f t="shared" si="34"/>
        <v>0</v>
      </c>
      <c r="J723" s="110">
        <f t="shared" si="35"/>
        <v>5</v>
      </c>
      <c r="K723" s="110"/>
      <c r="L723" s="110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  <c r="AJ723" s="111"/>
      <c r="AK723" s="111"/>
      <c r="AL723" s="111"/>
      <c r="AM723" s="111"/>
      <c r="AN723" s="111"/>
      <c r="AO723" s="111"/>
      <c r="AP723" s="111"/>
      <c r="AQ723" s="111"/>
      <c r="AR723" s="111"/>
      <c r="AS723" s="111"/>
      <c r="AT723" s="111"/>
      <c r="AU723" s="111"/>
      <c r="AV723" s="111"/>
      <c r="AW723" s="111"/>
      <c r="AX723" s="111"/>
      <c r="AY723" s="111"/>
      <c r="AZ723" s="111"/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</row>
    <row r="724" spans="1:74" s="50" customFormat="1" ht="15" hidden="1" customHeight="1">
      <c r="A724" s="109">
        <v>720</v>
      </c>
      <c r="B724" s="26" t="s">
        <v>1447</v>
      </c>
      <c r="C724" s="27" t="s">
        <v>1448</v>
      </c>
      <c r="D724" s="26" t="s">
        <v>21</v>
      </c>
      <c r="E724" s="109"/>
      <c r="F724" s="109"/>
      <c r="G724" s="110">
        <v>2</v>
      </c>
      <c r="H724" s="3">
        <f t="shared" si="33"/>
        <v>0</v>
      </c>
      <c r="I724" s="3">
        <f t="shared" si="34"/>
        <v>0</v>
      </c>
      <c r="J724" s="110">
        <f t="shared" si="35"/>
        <v>2</v>
      </c>
      <c r="K724" s="110"/>
      <c r="L724" s="110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  <c r="AJ724" s="111"/>
      <c r="AK724" s="111"/>
      <c r="AL724" s="111"/>
      <c r="AM724" s="111"/>
      <c r="AN724" s="111"/>
      <c r="AO724" s="111"/>
      <c r="AP724" s="111"/>
      <c r="AQ724" s="111"/>
      <c r="AR724" s="111"/>
      <c r="AS724" s="111"/>
      <c r="AT724" s="111"/>
      <c r="AU724" s="111"/>
      <c r="AV724" s="111"/>
      <c r="AW724" s="111"/>
      <c r="AX724" s="111"/>
      <c r="AY724" s="111"/>
      <c r="AZ724" s="111"/>
      <c r="BA724" s="111"/>
      <c r="BB724" s="111"/>
      <c r="BC724" s="111"/>
      <c r="BD724" s="111"/>
      <c r="BE724" s="111"/>
      <c r="BF724" s="111"/>
      <c r="BG724" s="111"/>
      <c r="BH724" s="111"/>
      <c r="BI724" s="111"/>
      <c r="BJ724" s="111"/>
      <c r="BK724" s="111"/>
      <c r="BL724" s="111"/>
      <c r="BM724" s="111"/>
      <c r="BN724" s="111"/>
      <c r="BO724" s="111"/>
      <c r="BP724" s="111"/>
      <c r="BQ724" s="111"/>
      <c r="BR724" s="111"/>
      <c r="BS724" s="111"/>
      <c r="BT724" s="111"/>
      <c r="BU724" s="111"/>
      <c r="BV724" s="111"/>
    </row>
    <row r="725" spans="1:74" s="50" customFormat="1" ht="15" hidden="1" customHeight="1">
      <c r="A725" s="109">
        <v>721</v>
      </c>
      <c r="B725" s="26" t="s">
        <v>1449</v>
      </c>
      <c r="C725" s="27" t="s">
        <v>1450</v>
      </c>
      <c r="D725" s="26" t="s">
        <v>21</v>
      </c>
      <c r="E725" s="109"/>
      <c r="F725" s="109"/>
      <c r="G725" s="110">
        <v>2</v>
      </c>
      <c r="H725" s="3">
        <f t="shared" si="33"/>
        <v>0</v>
      </c>
      <c r="I725" s="3">
        <f t="shared" si="34"/>
        <v>0</v>
      </c>
      <c r="J725" s="110">
        <f t="shared" si="35"/>
        <v>2</v>
      </c>
      <c r="K725" s="110"/>
      <c r="L725" s="110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  <c r="AJ725" s="111"/>
      <c r="AK725" s="111"/>
      <c r="AL725" s="111"/>
      <c r="AM725" s="111"/>
      <c r="AN725" s="111"/>
      <c r="AO725" s="111"/>
      <c r="AP725" s="111"/>
      <c r="AQ725" s="111"/>
      <c r="AR725" s="111"/>
      <c r="AS725" s="111"/>
      <c r="AT725" s="111"/>
      <c r="AU725" s="111"/>
      <c r="AV725" s="111"/>
      <c r="AW725" s="111"/>
      <c r="AX725" s="111"/>
      <c r="AY725" s="111"/>
      <c r="AZ725" s="111"/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</row>
    <row r="726" spans="1:74" s="50" customFormat="1" ht="15" hidden="1" customHeight="1">
      <c r="A726" s="109">
        <v>722</v>
      </c>
      <c r="B726" s="26" t="s">
        <v>1451</v>
      </c>
      <c r="C726" s="27" t="s">
        <v>1452</v>
      </c>
      <c r="D726" s="26" t="s">
        <v>21</v>
      </c>
      <c r="E726" s="109"/>
      <c r="F726" s="109"/>
      <c r="G726" s="110">
        <v>1</v>
      </c>
      <c r="H726" s="3">
        <f t="shared" si="33"/>
        <v>0</v>
      </c>
      <c r="I726" s="3">
        <f t="shared" si="34"/>
        <v>0</v>
      </c>
      <c r="J726" s="110">
        <f t="shared" si="35"/>
        <v>1</v>
      </c>
      <c r="K726" s="110"/>
      <c r="L726" s="110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  <c r="AJ726" s="111"/>
      <c r="AK726" s="111"/>
      <c r="AL726" s="111"/>
      <c r="AM726" s="111"/>
      <c r="AN726" s="111"/>
      <c r="AO726" s="111"/>
      <c r="AP726" s="111"/>
      <c r="AQ726" s="111"/>
      <c r="AR726" s="111"/>
      <c r="AS726" s="111"/>
      <c r="AT726" s="111"/>
      <c r="AU726" s="111"/>
      <c r="AV726" s="111"/>
      <c r="AW726" s="111"/>
      <c r="AX726" s="111"/>
      <c r="AY726" s="111"/>
      <c r="AZ726" s="111"/>
      <c r="BA726" s="111"/>
      <c r="BB726" s="111"/>
      <c r="BC726" s="111"/>
      <c r="BD726" s="111"/>
      <c r="BE726" s="111"/>
      <c r="BF726" s="111"/>
      <c r="BG726" s="111"/>
      <c r="BH726" s="111"/>
      <c r="BI726" s="111"/>
      <c r="BJ726" s="111"/>
      <c r="BK726" s="111"/>
      <c r="BL726" s="111"/>
      <c r="BM726" s="111"/>
      <c r="BN726" s="111"/>
      <c r="BO726" s="111"/>
      <c r="BP726" s="111"/>
      <c r="BQ726" s="111"/>
      <c r="BR726" s="111"/>
      <c r="BS726" s="111"/>
      <c r="BT726" s="111"/>
      <c r="BU726" s="111"/>
      <c r="BV726" s="111"/>
    </row>
    <row r="727" spans="1:74" s="50" customFormat="1" ht="15" hidden="1" customHeight="1">
      <c r="A727" s="109">
        <v>723</v>
      </c>
      <c r="B727" s="26" t="s">
        <v>1453</v>
      </c>
      <c r="C727" s="125" t="s">
        <v>1454</v>
      </c>
      <c r="D727" s="26" t="s">
        <v>21</v>
      </c>
      <c r="E727" s="109"/>
      <c r="F727" s="109"/>
      <c r="G727" s="110">
        <v>1</v>
      </c>
      <c r="H727" s="3">
        <f t="shared" si="33"/>
        <v>0</v>
      </c>
      <c r="I727" s="3">
        <f t="shared" si="34"/>
        <v>0</v>
      </c>
      <c r="J727" s="110">
        <f t="shared" si="35"/>
        <v>1</v>
      </c>
      <c r="K727" s="110"/>
      <c r="L727" s="110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  <c r="AJ727" s="111"/>
      <c r="AK727" s="111"/>
      <c r="AL727" s="111"/>
      <c r="AM727" s="111"/>
      <c r="AN727" s="111"/>
      <c r="AO727" s="111"/>
      <c r="AP727" s="111"/>
      <c r="AQ727" s="111"/>
      <c r="AR727" s="111"/>
      <c r="AS727" s="111"/>
      <c r="AT727" s="111"/>
      <c r="AU727" s="111"/>
      <c r="AV727" s="111"/>
      <c r="AW727" s="111"/>
      <c r="AX727" s="111"/>
      <c r="AY727" s="111"/>
      <c r="AZ727" s="111"/>
      <c r="BA727" s="111"/>
      <c r="BB727" s="111"/>
      <c r="BC727" s="111"/>
      <c r="BD727" s="111"/>
      <c r="BE727" s="111"/>
      <c r="BF727" s="111"/>
      <c r="BG727" s="111"/>
      <c r="BH727" s="111"/>
      <c r="BI727" s="111"/>
      <c r="BJ727" s="111"/>
      <c r="BK727" s="111"/>
      <c r="BL727" s="111"/>
      <c r="BM727" s="111"/>
      <c r="BN727" s="111"/>
      <c r="BO727" s="111"/>
      <c r="BP727" s="111"/>
      <c r="BQ727" s="111"/>
      <c r="BR727" s="111"/>
      <c r="BS727" s="111"/>
      <c r="BT727" s="111"/>
      <c r="BU727" s="111"/>
      <c r="BV727" s="111"/>
    </row>
    <row r="728" spans="1:74" s="50" customFormat="1" ht="15" hidden="1" customHeight="1">
      <c r="A728" s="109">
        <v>724</v>
      </c>
      <c r="B728" s="26" t="s">
        <v>1455</v>
      </c>
      <c r="C728" s="27" t="s">
        <v>1456</v>
      </c>
      <c r="D728" s="26" t="s">
        <v>21</v>
      </c>
      <c r="E728" s="109"/>
      <c r="F728" s="109"/>
      <c r="G728" s="110">
        <v>2</v>
      </c>
      <c r="H728" s="3">
        <f t="shared" si="33"/>
        <v>0</v>
      </c>
      <c r="I728" s="3">
        <f t="shared" si="34"/>
        <v>0</v>
      </c>
      <c r="J728" s="110">
        <f t="shared" si="35"/>
        <v>2</v>
      </c>
      <c r="K728" s="110"/>
      <c r="L728" s="110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  <c r="AJ728" s="111"/>
      <c r="AK728" s="111"/>
      <c r="AL728" s="111"/>
      <c r="AM728" s="111"/>
      <c r="AN728" s="111"/>
      <c r="AO728" s="111"/>
      <c r="AP728" s="111"/>
      <c r="AQ728" s="111"/>
      <c r="AR728" s="111"/>
      <c r="AS728" s="111"/>
      <c r="AT728" s="111"/>
      <c r="AU728" s="111"/>
      <c r="AV728" s="111"/>
      <c r="AW728" s="111"/>
      <c r="AX728" s="111"/>
      <c r="AY728" s="111"/>
      <c r="AZ728" s="111"/>
      <c r="BA728" s="111"/>
      <c r="BB728" s="111"/>
      <c r="BC728" s="111"/>
      <c r="BD728" s="111"/>
      <c r="BE728" s="111"/>
      <c r="BF728" s="111"/>
      <c r="BG728" s="111"/>
      <c r="BH728" s="111"/>
      <c r="BI728" s="111"/>
      <c r="BJ728" s="111"/>
      <c r="BK728" s="111"/>
      <c r="BL728" s="111"/>
      <c r="BM728" s="111"/>
      <c r="BN728" s="111"/>
      <c r="BO728" s="111"/>
      <c r="BP728" s="111"/>
      <c r="BQ728" s="111"/>
      <c r="BR728" s="111"/>
      <c r="BS728" s="111"/>
      <c r="BT728" s="111"/>
      <c r="BU728" s="111"/>
      <c r="BV728" s="111"/>
    </row>
    <row r="729" spans="1:74" s="50" customFormat="1" ht="15" hidden="1" customHeight="1">
      <c r="A729" s="109">
        <v>725</v>
      </c>
      <c r="B729" s="26" t="s">
        <v>1457</v>
      </c>
      <c r="C729" s="27" t="s">
        <v>1458</v>
      </c>
      <c r="D729" s="26" t="s">
        <v>21</v>
      </c>
      <c r="E729" s="109"/>
      <c r="F729" s="109"/>
      <c r="G729" s="110">
        <v>31</v>
      </c>
      <c r="H729" s="3">
        <f t="shared" si="33"/>
        <v>0</v>
      </c>
      <c r="I729" s="3">
        <f t="shared" si="34"/>
        <v>0</v>
      </c>
      <c r="J729" s="110">
        <f t="shared" si="35"/>
        <v>31</v>
      </c>
      <c r="K729" s="110"/>
      <c r="L729" s="110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  <c r="AJ729" s="111"/>
      <c r="AK729" s="111"/>
      <c r="AL729" s="111"/>
      <c r="AM729" s="111"/>
      <c r="AN729" s="111"/>
      <c r="AO729" s="111"/>
      <c r="AP729" s="111"/>
      <c r="AQ729" s="111"/>
      <c r="AR729" s="111"/>
      <c r="AS729" s="111"/>
      <c r="AT729" s="111"/>
      <c r="AU729" s="111"/>
      <c r="AV729" s="111"/>
      <c r="AW729" s="111"/>
      <c r="AX729" s="111"/>
      <c r="AY729" s="111"/>
      <c r="AZ729" s="111"/>
      <c r="BA729" s="111"/>
      <c r="BB729" s="111"/>
      <c r="BC729" s="111"/>
      <c r="BD729" s="111"/>
      <c r="BE729" s="111"/>
      <c r="BF729" s="111"/>
      <c r="BG729" s="111"/>
      <c r="BH729" s="111"/>
      <c r="BI729" s="111"/>
      <c r="BJ729" s="111"/>
      <c r="BK729" s="111"/>
      <c r="BL729" s="111"/>
      <c r="BM729" s="111"/>
      <c r="BN729" s="111"/>
      <c r="BO729" s="111"/>
      <c r="BP729" s="111"/>
      <c r="BQ729" s="111"/>
      <c r="BR729" s="111"/>
      <c r="BS729" s="111"/>
      <c r="BT729" s="111"/>
      <c r="BU729" s="111"/>
      <c r="BV729" s="111"/>
    </row>
    <row r="730" spans="1:74" s="50" customFormat="1" ht="15" hidden="1" customHeight="1">
      <c r="A730" s="109">
        <v>726</v>
      </c>
      <c r="B730" s="26" t="s">
        <v>1459</v>
      </c>
      <c r="C730" s="27" t="s">
        <v>1460</v>
      </c>
      <c r="D730" s="26" t="s">
        <v>21</v>
      </c>
      <c r="E730" s="109"/>
      <c r="F730" s="109"/>
      <c r="G730" s="110">
        <v>3</v>
      </c>
      <c r="H730" s="3">
        <f t="shared" si="33"/>
        <v>0</v>
      </c>
      <c r="I730" s="3">
        <f t="shared" si="34"/>
        <v>0</v>
      </c>
      <c r="J730" s="110">
        <f t="shared" si="35"/>
        <v>3</v>
      </c>
      <c r="K730" s="110"/>
      <c r="L730" s="110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  <c r="AJ730" s="111"/>
      <c r="AK730" s="111"/>
      <c r="AL730" s="111"/>
      <c r="AM730" s="111"/>
      <c r="AN730" s="111"/>
      <c r="AO730" s="111"/>
      <c r="AP730" s="111"/>
      <c r="AQ730" s="111"/>
      <c r="AR730" s="111"/>
      <c r="AS730" s="111"/>
      <c r="AT730" s="111"/>
      <c r="AU730" s="111"/>
      <c r="AV730" s="111"/>
      <c r="AW730" s="111"/>
      <c r="AX730" s="111"/>
      <c r="AY730" s="111"/>
      <c r="AZ730" s="111"/>
      <c r="BA730" s="111"/>
      <c r="BB730" s="111"/>
      <c r="BC730" s="111"/>
      <c r="BD730" s="111"/>
      <c r="BE730" s="111"/>
      <c r="BF730" s="111"/>
      <c r="BG730" s="111"/>
      <c r="BH730" s="111"/>
      <c r="BI730" s="111"/>
      <c r="BJ730" s="111"/>
      <c r="BK730" s="111"/>
      <c r="BL730" s="111"/>
      <c r="BM730" s="111"/>
      <c r="BN730" s="111"/>
      <c r="BO730" s="111"/>
      <c r="BP730" s="111"/>
      <c r="BQ730" s="111"/>
      <c r="BR730" s="111"/>
      <c r="BS730" s="111"/>
      <c r="BT730" s="111"/>
      <c r="BU730" s="111"/>
      <c r="BV730" s="111"/>
    </row>
    <row r="731" spans="1:74" s="50" customFormat="1" ht="15" hidden="1" customHeight="1">
      <c r="A731" s="109">
        <v>727</v>
      </c>
      <c r="B731" s="26" t="s">
        <v>1461</v>
      </c>
      <c r="C731" s="27" t="s">
        <v>1462</v>
      </c>
      <c r="D731" s="26" t="s">
        <v>21</v>
      </c>
      <c r="E731" s="109"/>
      <c r="F731" s="109"/>
      <c r="G731" s="110">
        <v>9</v>
      </c>
      <c r="H731" s="3">
        <f t="shared" si="33"/>
        <v>0</v>
      </c>
      <c r="I731" s="3">
        <f t="shared" si="34"/>
        <v>0</v>
      </c>
      <c r="J731" s="110">
        <f t="shared" si="35"/>
        <v>9</v>
      </c>
      <c r="K731" s="110"/>
      <c r="L731" s="110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  <c r="AJ731" s="111"/>
      <c r="AK731" s="111"/>
      <c r="AL731" s="111"/>
      <c r="AM731" s="111"/>
      <c r="AN731" s="111"/>
      <c r="AO731" s="111"/>
      <c r="AP731" s="111"/>
      <c r="AQ731" s="111"/>
      <c r="AR731" s="111"/>
      <c r="AS731" s="111"/>
      <c r="AT731" s="111"/>
      <c r="AU731" s="111"/>
      <c r="AV731" s="111"/>
      <c r="AW731" s="111"/>
      <c r="AX731" s="111"/>
      <c r="AY731" s="111"/>
      <c r="AZ731" s="111"/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</row>
    <row r="732" spans="1:74" s="50" customFormat="1" ht="15" hidden="1" customHeight="1">
      <c r="A732" s="109">
        <v>728</v>
      </c>
      <c r="B732" s="31" t="s">
        <v>1463</v>
      </c>
      <c r="C732" s="27" t="s">
        <v>1464</v>
      </c>
      <c r="D732" s="26" t="s">
        <v>21</v>
      </c>
      <c r="E732" s="109"/>
      <c r="F732" s="109"/>
      <c r="G732" s="110">
        <v>7</v>
      </c>
      <c r="H732" s="3">
        <f t="shared" si="33"/>
        <v>0</v>
      </c>
      <c r="I732" s="3">
        <f t="shared" si="34"/>
        <v>0</v>
      </c>
      <c r="J732" s="110">
        <f t="shared" si="35"/>
        <v>7</v>
      </c>
      <c r="K732" s="110"/>
      <c r="L732" s="110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  <c r="AJ732" s="111"/>
      <c r="AK732" s="111"/>
      <c r="AL732" s="111"/>
      <c r="AM732" s="111"/>
      <c r="AN732" s="111"/>
      <c r="AO732" s="111"/>
      <c r="AP732" s="111"/>
      <c r="AQ732" s="111"/>
      <c r="AR732" s="111"/>
      <c r="AS732" s="111"/>
      <c r="AT732" s="111"/>
      <c r="AU732" s="111"/>
      <c r="AV732" s="111"/>
      <c r="AW732" s="111"/>
      <c r="AX732" s="111"/>
      <c r="AY732" s="111"/>
      <c r="AZ732" s="111"/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</row>
    <row r="733" spans="1:74" s="50" customFormat="1" ht="15" hidden="1" customHeight="1">
      <c r="A733" s="109">
        <v>729</v>
      </c>
      <c r="B733" s="26" t="s">
        <v>1465</v>
      </c>
      <c r="C733" s="114" t="s">
        <v>1466</v>
      </c>
      <c r="D733" s="26" t="s">
        <v>21</v>
      </c>
      <c r="E733" s="109"/>
      <c r="F733" s="109"/>
      <c r="G733" s="110">
        <v>1</v>
      </c>
      <c r="H733" s="3">
        <f t="shared" si="33"/>
        <v>0</v>
      </c>
      <c r="I733" s="3">
        <f t="shared" si="34"/>
        <v>0</v>
      </c>
      <c r="J733" s="110">
        <f t="shared" si="35"/>
        <v>1</v>
      </c>
      <c r="K733" s="110"/>
      <c r="L733" s="110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  <c r="AJ733" s="111"/>
      <c r="AK733" s="111"/>
      <c r="AL733" s="111"/>
      <c r="AM733" s="111"/>
      <c r="AN733" s="111"/>
      <c r="AO733" s="111"/>
      <c r="AP733" s="111"/>
      <c r="AQ733" s="111"/>
      <c r="AR733" s="111"/>
      <c r="AS733" s="111"/>
      <c r="AT733" s="111"/>
      <c r="AU733" s="111"/>
      <c r="AV733" s="111"/>
      <c r="AW733" s="111"/>
      <c r="AX733" s="111"/>
      <c r="AY733" s="111"/>
      <c r="AZ733" s="111"/>
      <c r="BA733" s="111"/>
      <c r="BB733" s="111"/>
      <c r="BC733" s="111"/>
      <c r="BD733" s="111"/>
      <c r="BE733" s="111"/>
      <c r="BF733" s="111"/>
      <c r="BG733" s="111"/>
      <c r="BH733" s="111"/>
      <c r="BI733" s="111"/>
      <c r="BJ733" s="111"/>
      <c r="BK733" s="111"/>
      <c r="BL733" s="111"/>
      <c r="BM733" s="111"/>
      <c r="BN733" s="111"/>
      <c r="BO733" s="111"/>
      <c r="BP733" s="111"/>
      <c r="BQ733" s="111"/>
      <c r="BR733" s="111"/>
      <c r="BS733" s="111"/>
      <c r="BT733" s="111"/>
      <c r="BU733" s="111"/>
      <c r="BV733" s="111"/>
    </row>
    <row r="734" spans="1:74" s="50" customFormat="1" ht="15" hidden="1" customHeight="1">
      <c r="A734" s="109">
        <v>730</v>
      </c>
      <c r="B734" s="26" t="s">
        <v>1467</v>
      </c>
      <c r="C734" s="27" t="s">
        <v>1468</v>
      </c>
      <c r="D734" s="26" t="s">
        <v>21</v>
      </c>
      <c r="E734" s="109"/>
      <c r="F734" s="109"/>
      <c r="G734" s="110">
        <v>2</v>
      </c>
      <c r="H734" s="3">
        <f t="shared" si="33"/>
        <v>0</v>
      </c>
      <c r="I734" s="3">
        <f t="shared" si="34"/>
        <v>0</v>
      </c>
      <c r="J734" s="110">
        <f t="shared" si="35"/>
        <v>2</v>
      </c>
      <c r="K734" s="110"/>
      <c r="L734" s="110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  <c r="AJ734" s="111"/>
      <c r="AK734" s="111"/>
      <c r="AL734" s="111"/>
      <c r="AM734" s="111"/>
      <c r="AN734" s="111"/>
      <c r="AO734" s="111"/>
      <c r="AP734" s="111"/>
      <c r="AQ734" s="111"/>
      <c r="AR734" s="111"/>
      <c r="AS734" s="111"/>
      <c r="AT734" s="111"/>
      <c r="AU734" s="111"/>
      <c r="AV734" s="111"/>
      <c r="AW734" s="111"/>
      <c r="AX734" s="111"/>
      <c r="AY734" s="111"/>
      <c r="AZ734" s="111"/>
      <c r="BA734" s="111"/>
      <c r="BB734" s="111"/>
      <c r="BC734" s="111"/>
      <c r="BD734" s="111"/>
      <c r="BE734" s="111"/>
      <c r="BF734" s="111"/>
      <c r="BG734" s="111"/>
      <c r="BH734" s="111"/>
      <c r="BI734" s="111"/>
      <c r="BJ734" s="111"/>
      <c r="BK734" s="111"/>
      <c r="BL734" s="111"/>
      <c r="BM734" s="111"/>
      <c r="BN734" s="111"/>
      <c r="BO734" s="111"/>
      <c r="BP734" s="111"/>
      <c r="BQ734" s="111"/>
      <c r="BR734" s="111"/>
      <c r="BS734" s="111"/>
      <c r="BT734" s="111"/>
      <c r="BU734" s="111"/>
      <c r="BV734" s="111"/>
    </row>
    <row r="735" spans="1:74" s="50" customFormat="1" ht="15" hidden="1" customHeight="1">
      <c r="A735" s="109">
        <v>731</v>
      </c>
      <c r="B735" s="26" t="s">
        <v>1469</v>
      </c>
      <c r="C735" s="27" t="s">
        <v>1470</v>
      </c>
      <c r="D735" s="26" t="s">
        <v>21</v>
      </c>
      <c r="E735" s="109"/>
      <c r="F735" s="109"/>
      <c r="G735" s="110">
        <v>1</v>
      </c>
      <c r="H735" s="3">
        <f t="shared" si="33"/>
        <v>0</v>
      </c>
      <c r="I735" s="3">
        <f t="shared" si="34"/>
        <v>0</v>
      </c>
      <c r="J735" s="110">
        <f t="shared" si="35"/>
        <v>1</v>
      </c>
      <c r="K735" s="110"/>
      <c r="L735" s="110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  <c r="AJ735" s="111"/>
      <c r="AK735" s="111"/>
      <c r="AL735" s="111"/>
      <c r="AM735" s="111"/>
      <c r="AN735" s="111"/>
      <c r="AO735" s="111"/>
      <c r="AP735" s="111"/>
      <c r="AQ735" s="111"/>
      <c r="AR735" s="111"/>
      <c r="AS735" s="111"/>
      <c r="AT735" s="111"/>
      <c r="AU735" s="111"/>
      <c r="AV735" s="111"/>
      <c r="AW735" s="111"/>
      <c r="AX735" s="111"/>
      <c r="AY735" s="111"/>
      <c r="AZ735" s="111"/>
      <c r="BA735" s="111"/>
      <c r="BB735" s="111"/>
      <c r="BC735" s="111"/>
      <c r="BD735" s="111"/>
      <c r="BE735" s="111"/>
      <c r="BF735" s="111"/>
      <c r="BG735" s="111"/>
      <c r="BH735" s="111"/>
      <c r="BI735" s="111"/>
      <c r="BJ735" s="111"/>
      <c r="BK735" s="111"/>
      <c r="BL735" s="111"/>
      <c r="BM735" s="111"/>
      <c r="BN735" s="111"/>
      <c r="BO735" s="111"/>
      <c r="BP735" s="111"/>
      <c r="BQ735" s="111"/>
      <c r="BR735" s="111"/>
      <c r="BS735" s="111"/>
      <c r="BT735" s="111"/>
      <c r="BU735" s="111"/>
      <c r="BV735" s="111"/>
    </row>
    <row r="736" spans="1:74" s="50" customFormat="1" ht="15" hidden="1" customHeight="1">
      <c r="A736" s="109">
        <v>732</v>
      </c>
      <c r="B736" s="26" t="s">
        <v>1471</v>
      </c>
      <c r="C736" s="27" t="s">
        <v>1472</v>
      </c>
      <c r="D736" s="26" t="s">
        <v>21</v>
      </c>
      <c r="E736" s="109"/>
      <c r="F736" s="109"/>
      <c r="G736" s="110">
        <v>3</v>
      </c>
      <c r="H736" s="3">
        <f t="shared" si="33"/>
        <v>0</v>
      </c>
      <c r="I736" s="3">
        <f t="shared" si="34"/>
        <v>0</v>
      </c>
      <c r="J736" s="110">
        <f t="shared" si="35"/>
        <v>3</v>
      </c>
      <c r="K736" s="110"/>
      <c r="L736" s="110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  <c r="AJ736" s="111"/>
      <c r="AK736" s="111"/>
      <c r="AL736" s="111"/>
      <c r="AM736" s="111"/>
      <c r="AN736" s="111"/>
      <c r="AO736" s="111"/>
      <c r="AP736" s="111"/>
      <c r="AQ736" s="111"/>
      <c r="AR736" s="111"/>
      <c r="AS736" s="111"/>
      <c r="AT736" s="111"/>
      <c r="AU736" s="111"/>
      <c r="AV736" s="111"/>
      <c r="AW736" s="111"/>
      <c r="AX736" s="111"/>
      <c r="AY736" s="111"/>
      <c r="AZ736" s="111"/>
      <c r="BA736" s="111"/>
      <c r="BB736" s="111"/>
      <c r="BC736" s="111"/>
      <c r="BD736" s="111"/>
      <c r="BE736" s="111"/>
      <c r="BF736" s="111"/>
      <c r="BG736" s="111"/>
      <c r="BH736" s="111"/>
      <c r="BI736" s="111"/>
      <c r="BJ736" s="111"/>
      <c r="BK736" s="111"/>
      <c r="BL736" s="111"/>
      <c r="BM736" s="111"/>
      <c r="BN736" s="111"/>
      <c r="BO736" s="111"/>
      <c r="BP736" s="111"/>
      <c r="BQ736" s="111"/>
      <c r="BR736" s="111"/>
      <c r="BS736" s="111"/>
      <c r="BT736" s="111"/>
      <c r="BU736" s="111"/>
      <c r="BV736" s="111"/>
    </row>
    <row r="737" spans="1:74" s="50" customFormat="1" ht="15" hidden="1" customHeight="1">
      <c r="A737" s="109">
        <v>733</v>
      </c>
      <c r="B737" s="26" t="s">
        <v>1473</v>
      </c>
      <c r="C737" s="27" t="s">
        <v>1474</v>
      </c>
      <c r="D737" s="26" t="s">
        <v>21</v>
      </c>
      <c r="E737" s="109"/>
      <c r="F737" s="109"/>
      <c r="G737" s="110">
        <v>0</v>
      </c>
      <c r="H737" s="3">
        <f t="shared" si="33"/>
        <v>0</v>
      </c>
      <c r="I737" s="3">
        <f t="shared" si="34"/>
        <v>0</v>
      </c>
      <c r="J737" s="110">
        <f t="shared" si="35"/>
        <v>0</v>
      </c>
      <c r="K737" s="110"/>
      <c r="L737" s="110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  <c r="AJ737" s="111"/>
      <c r="AK737" s="111"/>
      <c r="AL737" s="111"/>
      <c r="AM737" s="111"/>
      <c r="AN737" s="111"/>
      <c r="AO737" s="111"/>
      <c r="AP737" s="111"/>
      <c r="AQ737" s="111"/>
      <c r="AR737" s="111"/>
      <c r="AS737" s="111"/>
      <c r="AT737" s="111"/>
      <c r="AU737" s="111"/>
      <c r="AV737" s="111"/>
      <c r="AW737" s="111"/>
      <c r="AX737" s="111"/>
      <c r="AY737" s="111"/>
      <c r="AZ737" s="111"/>
      <c r="BA737" s="111"/>
      <c r="BB737" s="111"/>
      <c r="BC737" s="111"/>
      <c r="BD737" s="111"/>
      <c r="BE737" s="111"/>
      <c r="BF737" s="111"/>
      <c r="BG737" s="111"/>
      <c r="BH737" s="111"/>
      <c r="BI737" s="111"/>
      <c r="BJ737" s="111"/>
      <c r="BK737" s="111"/>
      <c r="BL737" s="111"/>
      <c r="BM737" s="111"/>
      <c r="BN737" s="111"/>
      <c r="BO737" s="111"/>
      <c r="BP737" s="111"/>
      <c r="BQ737" s="111"/>
      <c r="BR737" s="111"/>
      <c r="BS737" s="111"/>
      <c r="BT737" s="111"/>
      <c r="BU737" s="111"/>
      <c r="BV737" s="111"/>
    </row>
    <row r="738" spans="1:74" s="50" customFormat="1" ht="15" hidden="1" customHeight="1">
      <c r="A738" s="109">
        <v>734</v>
      </c>
      <c r="B738" s="26" t="s">
        <v>1475</v>
      </c>
      <c r="C738" s="27" t="s">
        <v>1476</v>
      </c>
      <c r="D738" s="26" t="s">
        <v>21</v>
      </c>
      <c r="E738" s="109"/>
      <c r="F738" s="109"/>
      <c r="G738" s="110">
        <v>25</v>
      </c>
      <c r="H738" s="3">
        <f t="shared" si="33"/>
        <v>0</v>
      </c>
      <c r="I738" s="3">
        <f t="shared" si="34"/>
        <v>0</v>
      </c>
      <c r="J738" s="110">
        <f t="shared" si="35"/>
        <v>25</v>
      </c>
      <c r="K738" s="110"/>
      <c r="L738" s="110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  <c r="AJ738" s="111"/>
      <c r="AK738" s="111"/>
      <c r="AL738" s="111"/>
      <c r="AM738" s="111"/>
      <c r="AN738" s="111"/>
      <c r="AO738" s="111"/>
      <c r="AP738" s="111"/>
      <c r="AQ738" s="111"/>
      <c r="AR738" s="111"/>
      <c r="AS738" s="111"/>
      <c r="AT738" s="111"/>
      <c r="AU738" s="111"/>
      <c r="AV738" s="111"/>
      <c r="AW738" s="111"/>
      <c r="AX738" s="111"/>
      <c r="AY738" s="111"/>
      <c r="AZ738" s="111"/>
      <c r="BA738" s="111"/>
      <c r="BB738" s="111"/>
      <c r="BC738" s="111"/>
      <c r="BD738" s="111"/>
      <c r="BE738" s="111"/>
      <c r="BF738" s="111"/>
      <c r="BG738" s="111"/>
      <c r="BH738" s="111"/>
      <c r="BI738" s="111"/>
      <c r="BJ738" s="111"/>
      <c r="BK738" s="111"/>
      <c r="BL738" s="111"/>
      <c r="BM738" s="111"/>
      <c r="BN738" s="111"/>
      <c r="BO738" s="111"/>
      <c r="BP738" s="111"/>
      <c r="BQ738" s="111"/>
      <c r="BR738" s="111"/>
      <c r="BS738" s="111"/>
      <c r="BT738" s="111"/>
      <c r="BU738" s="111"/>
      <c r="BV738" s="111"/>
    </row>
    <row r="739" spans="1:74" s="50" customFormat="1" ht="15" hidden="1" customHeight="1">
      <c r="A739" s="109">
        <v>735</v>
      </c>
      <c r="B739" s="26" t="s">
        <v>1477</v>
      </c>
      <c r="C739" s="27" t="s">
        <v>1478</v>
      </c>
      <c r="D739" s="26" t="s">
        <v>21</v>
      </c>
      <c r="E739" s="109"/>
      <c r="F739" s="109"/>
      <c r="G739" s="110">
        <v>22</v>
      </c>
      <c r="H739" s="3">
        <f t="shared" si="33"/>
        <v>0</v>
      </c>
      <c r="I739" s="3">
        <f t="shared" si="34"/>
        <v>0</v>
      </c>
      <c r="J739" s="110">
        <f t="shared" si="35"/>
        <v>22</v>
      </c>
      <c r="K739" s="110"/>
      <c r="L739" s="110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  <c r="AJ739" s="111"/>
      <c r="AK739" s="111"/>
      <c r="AL739" s="111"/>
      <c r="AM739" s="111"/>
      <c r="AN739" s="111"/>
      <c r="AO739" s="111"/>
      <c r="AP739" s="111"/>
      <c r="AQ739" s="111"/>
      <c r="AR739" s="111"/>
      <c r="AS739" s="111"/>
      <c r="AT739" s="111"/>
      <c r="AU739" s="111"/>
      <c r="AV739" s="111"/>
      <c r="AW739" s="111"/>
      <c r="AX739" s="111"/>
      <c r="AY739" s="111"/>
      <c r="AZ739" s="111"/>
      <c r="BA739" s="111"/>
      <c r="BB739" s="111"/>
      <c r="BC739" s="111"/>
      <c r="BD739" s="111"/>
      <c r="BE739" s="111"/>
      <c r="BF739" s="111"/>
      <c r="BG739" s="111"/>
      <c r="BH739" s="111"/>
      <c r="BI739" s="111"/>
      <c r="BJ739" s="111"/>
      <c r="BK739" s="111"/>
      <c r="BL739" s="111"/>
      <c r="BM739" s="111"/>
      <c r="BN739" s="111"/>
      <c r="BO739" s="111"/>
      <c r="BP739" s="111"/>
      <c r="BQ739" s="111"/>
      <c r="BR739" s="111"/>
      <c r="BS739" s="111"/>
      <c r="BT739" s="111"/>
      <c r="BU739" s="111"/>
      <c r="BV739" s="111"/>
    </row>
    <row r="740" spans="1:74" s="50" customFormat="1" ht="15" hidden="1" customHeight="1">
      <c r="A740" s="109">
        <v>736</v>
      </c>
      <c r="B740" s="112" t="s">
        <v>1479</v>
      </c>
      <c r="C740" s="141" t="s">
        <v>1480</v>
      </c>
      <c r="D740" s="26" t="s">
        <v>21</v>
      </c>
      <c r="E740" s="109"/>
      <c r="F740" s="109"/>
      <c r="G740" s="110">
        <v>9</v>
      </c>
      <c r="H740" s="3">
        <f t="shared" si="33"/>
        <v>0</v>
      </c>
      <c r="I740" s="3">
        <f t="shared" si="34"/>
        <v>0</v>
      </c>
      <c r="J740" s="110">
        <f t="shared" si="35"/>
        <v>9</v>
      </c>
      <c r="K740" s="110"/>
      <c r="L740" s="110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  <c r="AJ740" s="111"/>
      <c r="AK740" s="111"/>
      <c r="AL740" s="111"/>
      <c r="AM740" s="111"/>
      <c r="AN740" s="111"/>
      <c r="AO740" s="111"/>
      <c r="AP740" s="111"/>
      <c r="AQ740" s="111"/>
      <c r="AR740" s="111"/>
      <c r="AS740" s="111"/>
      <c r="AT740" s="111"/>
      <c r="AU740" s="111"/>
      <c r="AV740" s="111"/>
      <c r="AW740" s="111"/>
      <c r="AX740" s="111"/>
      <c r="AY740" s="111"/>
      <c r="AZ740" s="111"/>
      <c r="BA740" s="111"/>
      <c r="BB740" s="111"/>
      <c r="BC740" s="111"/>
      <c r="BD740" s="111"/>
      <c r="BE740" s="111"/>
      <c r="BF740" s="111"/>
      <c r="BG740" s="111"/>
      <c r="BH740" s="111"/>
      <c r="BI740" s="111"/>
      <c r="BJ740" s="111"/>
      <c r="BK740" s="111"/>
      <c r="BL740" s="111"/>
      <c r="BM740" s="111"/>
      <c r="BN740" s="111"/>
      <c r="BO740" s="111"/>
      <c r="BP740" s="111"/>
      <c r="BQ740" s="111"/>
      <c r="BR740" s="111"/>
      <c r="BS740" s="111"/>
      <c r="BT740" s="111"/>
      <c r="BU740" s="111"/>
      <c r="BV740" s="111"/>
    </row>
    <row r="741" spans="1:74" s="50" customFormat="1" ht="15" hidden="1" customHeight="1">
      <c r="A741" s="109">
        <v>737</v>
      </c>
      <c r="B741" s="26" t="s">
        <v>1481</v>
      </c>
      <c r="C741" s="27" t="s">
        <v>1482</v>
      </c>
      <c r="D741" s="26" t="s">
        <v>21</v>
      </c>
      <c r="E741" s="109"/>
      <c r="F741" s="109"/>
      <c r="G741" s="110">
        <v>3000</v>
      </c>
      <c r="H741" s="3">
        <f t="shared" si="33"/>
        <v>0</v>
      </c>
      <c r="I741" s="3">
        <f t="shared" si="34"/>
        <v>0</v>
      </c>
      <c r="J741" s="110">
        <f t="shared" si="35"/>
        <v>3000</v>
      </c>
      <c r="K741" s="110"/>
      <c r="L741" s="110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  <c r="AI741" s="111"/>
      <c r="AJ741" s="111"/>
      <c r="AK741" s="111"/>
      <c r="AL741" s="111"/>
      <c r="AM741" s="111"/>
      <c r="AN741" s="111"/>
      <c r="AO741" s="111"/>
      <c r="AP741" s="111"/>
      <c r="AQ741" s="111"/>
      <c r="AR741" s="111"/>
      <c r="AS741" s="111"/>
      <c r="AT741" s="111"/>
      <c r="AU741" s="111"/>
      <c r="AV741" s="111"/>
      <c r="AW741" s="111"/>
      <c r="AX741" s="111"/>
      <c r="AY741" s="111"/>
      <c r="AZ741" s="111"/>
      <c r="BA741" s="111"/>
      <c r="BB741" s="111"/>
      <c r="BC741" s="111"/>
      <c r="BD741" s="111"/>
      <c r="BE741" s="111"/>
      <c r="BF741" s="111"/>
      <c r="BG741" s="111"/>
      <c r="BH741" s="111"/>
      <c r="BI741" s="111"/>
      <c r="BJ741" s="111"/>
      <c r="BK741" s="111"/>
      <c r="BL741" s="111"/>
      <c r="BM741" s="111"/>
      <c r="BN741" s="111"/>
      <c r="BO741" s="111"/>
      <c r="BP741" s="111"/>
      <c r="BQ741" s="111"/>
      <c r="BR741" s="111"/>
      <c r="BS741" s="111"/>
      <c r="BT741" s="111"/>
      <c r="BU741" s="111"/>
      <c r="BV741" s="111"/>
    </row>
    <row r="742" spans="1:74" s="50" customFormat="1" ht="15" hidden="1" customHeight="1">
      <c r="A742" s="109">
        <v>738</v>
      </c>
      <c r="B742" s="26" t="s">
        <v>1483</v>
      </c>
      <c r="C742" s="27" t="s">
        <v>1484</v>
      </c>
      <c r="D742" s="26" t="s">
        <v>21</v>
      </c>
      <c r="E742" s="109"/>
      <c r="F742" s="109"/>
      <c r="G742" s="110">
        <v>7</v>
      </c>
      <c r="H742" s="3">
        <f t="shared" si="33"/>
        <v>0</v>
      </c>
      <c r="I742" s="3">
        <f t="shared" si="34"/>
        <v>0</v>
      </c>
      <c r="J742" s="110">
        <f t="shared" si="35"/>
        <v>7</v>
      </c>
      <c r="K742" s="110"/>
      <c r="L742" s="110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  <c r="AI742" s="111"/>
      <c r="AJ742" s="111"/>
      <c r="AK742" s="111"/>
      <c r="AL742" s="111"/>
      <c r="AM742" s="111"/>
      <c r="AN742" s="111"/>
      <c r="AO742" s="111"/>
      <c r="AP742" s="111"/>
      <c r="AQ742" s="111"/>
      <c r="AR742" s="111"/>
      <c r="AS742" s="111"/>
      <c r="AT742" s="111"/>
      <c r="AU742" s="111"/>
      <c r="AV742" s="111"/>
      <c r="AW742" s="111"/>
      <c r="AX742" s="111"/>
      <c r="AY742" s="111"/>
      <c r="AZ742" s="111"/>
      <c r="BA742" s="111"/>
      <c r="BB742" s="111"/>
      <c r="BC742" s="111"/>
      <c r="BD742" s="111"/>
      <c r="BE742" s="111"/>
      <c r="BF742" s="111"/>
      <c r="BG742" s="111"/>
      <c r="BH742" s="111"/>
      <c r="BI742" s="111"/>
      <c r="BJ742" s="111"/>
      <c r="BK742" s="111"/>
      <c r="BL742" s="111"/>
      <c r="BM742" s="111"/>
      <c r="BN742" s="111"/>
      <c r="BO742" s="111"/>
      <c r="BP742" s="111"/>
      <c r="BQ742" s="111"/>
      <c r="BR742" s="111"/>
      <c r="BS742" s="111"/>
      <c r="BT742" s="111"/>
      <c r="BU742" s="111"/>
      <c r="BV742" s="111"/>
    </row>
    <row r="743" spans="1:74" s="50" customFormat="1" ht="15" hidden="1" customHeight="1">
      <c r="A743" s="109">
        <v>739</v>
      </c>
      <c r="B743" s="26" t="s">
        <v>1485</v>
      </c>
      <c r="C743" s="27" t="s">
        <v>1486</v>
      </c>
      <c r="D743" s="26" t="s">
        <v>21</v>
      </c>
      <c r="E743" s="109"/>
      <c r="F743" s="109"/>
      <c r="G743" s="110">
        <v>6</v>
      </c>
      <c r="H743" s="3">
        <f t="shared" si="33"/>
        <v>0</v>
      </c>
      <c r="I743" s="3">
        <f t="shared" si="34"/>
        <v>0</v>
      </c>
      <c r="J743" s="110">
        <f t="shared" si="35"/>
        <v>6</v>
      </c>
      <c r="K743" s="110"/>
      <c r="L743" s="110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  <c r="AI743" s="111"/>
      <c r="AJ743" s="111"/>
      <c r="AK743" s="111"/>
      <c r="AL743" s="111"/>
      <c r="AM743" s="111"/>
      <c r="AN743" s="111"/>
      <c r="AO743" s="111"/>
      <c r="AP743" s="111"/>
      <c r="AQ743" s="111"/>
      <c r="AR743" s="111"/>
      <c r="AS743" s="111"/>
      <c r="AT743" s="111"/>
      <c r="AU743" s="111"/>
      <c r="AV743" s="111"/>
      <c r="AW743" s="111"/>
      <c r="AX743" s="111"/>
      <c r="AY743" s="111"/>
      <c r="AZ743" s="111"/>
      <c r="BA743" s="111"/>
      <c r="BB743" s="111"/>
      <c r="BC743" s="111"/>
      <c r="BD743" s="111"/>
      <c r="BE743" s="111"/>
      <c r="BF743" s="111"/>
      <c r="BG743" s="111"/>
      <c r="BH743" s="111"/>
      <c r="BI743" s="111"/>
      <c r="BJ743" s="111"/>
      <c r="BK743" s="111"/>
      <c r="BL743" s="111"/>
      <c r="BM743" s="111"/>
      <c r="BN743" s="111"/>
      <c r="BO743" s="111"/>
      <c r="BP743" s="111"/>
      <c r="BQ743" s="111"/>
      <c r="BR743" s="111"/>
      <c r="BS743" s="111"/>
      <c r="BT743" s="111"/>
      <c r="BU743" s="111"/>
      <c r="BV743" s="111"/>
    </row>
    <row r="744" spans="1:74" s="50" customFormat="1" ht="15" hidden="1" customHeight="1">
      <c r="A744" s="109">
        <v>740</v>
      </c>
      <c r="B744" s="26" t="s">
        <v>1487</v>
      </c>
      <c r="C744" s="27" t="s">
        <v>1488</v>
      </c>
      <c r="D744" s="26" t="s">
        <v>21</v>
      </c>
      <c r="E744" s="109"/>
      <c r="F744" s="109"/>
      <c r="G744" s="110">
        <v>4</v>
      </c>
      <c r="H744" s="3">
        <f t="shared" si="33"/>
        <v>0</v>
      </c>
      <c r="I744" s="3">
        <f t="shared" si="34"/>
        <v>0</v>
      </c>
      <c r="J744" s="110">
        <f t="shared" si="35"/>
        <v>4</v>
      </c>
      <c r="K744" s="110"/>
      <c r="L744" s="110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  <c r="AI744" s="111"/>
      <c r="AJ744" s="111"/>
      <c r="AK744" s="111"/>
      <c r="AL744" s="111"/>
      <c r="AM744" s="111"/>
      <c r="AN744" s="111"/>
      <c r="AO744" s="111"/>
      <c r="AP744" s="111"/>
      <c r="AQ744" s="111"/>
      <c r="AR744" s="111"/>
      <c r="AS744" s="111"/>
      <c r="AT744" s="111"/>
      <c r="AU744" s="111"/>
      <c r="AV744" s="111"/>
      <c r="AW744" s="111"/>
      <c r="AX744" s="111"/>
      <c r="AY744" s="111"/>
      <c r="AZ744" s="111"/>
      <c r="BA744" s="111"/>
      <c r="BB744" s="111"/>
      <c r="BC744" s="111"/>
      <c r="BD744" s="111"/>
      <c r="BE744" s="111"/>
      <c r="BF744" s="111"/>
      <c r="BG744" s="111"/>
      <c r="BH744" s="111"/>
      <c r="BI744" s="111"/>
      <c r="BJ744" s="111"/>
      <c r="BK744" s="111"/>
      <c r="BL744" s="111"/>
      <c r="BM744" s="111"/>
      <c r="BN744" s="111"/>
      <c r="BO744" s="111"/>
      <c r="BP744" s="111"/>
      <c r="BQ744" s="111"/>
      <c r="BR744" s="111"/>
      <c r="BS744" s="111"/>
      <c r="BT744" s="111"/>
      <c r="BU744" s="111"/>
      <c r="BV744" s="111"/>
    </row>
    <row r="745" spans="1:74" s="50" customFormat="1" ht="15.75" hidden="1" customHeight="1">
      <c r="A745" s="109">
        <v>741</v>
      </c>
      <c r="B745" s="26" t="s">
        <v>1489</v>
      </c>
      <c r="C745" s="27" t="s">
        <v>1490</v>
      </c>
      <c r="D745" s="26" t="s">
        <v>21</v>
      </c>
      <c r="E745" s="109"/>
      <c r="F745" s="109"/>
      <c r="G745" s="110">
        <v>4</v>
      </c>
      <c r="H745" s="3">
        <f t="shared" si="33"/>
        <v>0</v>
      </c>
      <c r="I745" s="3">
        <f t="shared" si="34"/>
        <v>0</v>
      </c>
      <c r="J745" s="110">
        <f t="shared" si="35"/>
        <v>4</v>
      </c>
      <c r="K745" s="110"/>
      <c r="L745" s="110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  <c r="AI745" s="111"/>
      <c r="AJ745" s="111"/>
      <c r="AK745" s="111"/>
      <c r="AL745" s="111"/>
      <c r="AM745" s="111"/>
      <c r="AN745" s="111"/>
      <c r="AO745" s="111"/>
      <c r="AP745" s="111"/>
      <c r="AQ745" s="111"/>
      <c r="AR745" s="111"/>
      <c r="AS745" s="111"/>
      <c r="AT745" s="111"/>
      <c r="AU745" s="111"/>
      <c r="AV745" s="111"/>
      <c r="AW745" s="111"/>
      <c r="AX745" s="111"/>
      <c r="AY745" s="111"/>
      <c r="AZ745" s="111"/>
      <c r="BA745" s="111"/>
      <c r="BB745" s="111"/>
      <c r="BC745" s="111"/>
      <c r="BD745" s="111"/>
      <c r="BE745" s="111"/>
      <c r="BF745" s="111"/>
      <c r="BG745" s="111"/>
      <c r="BH745" s="111"/>
      <c r="BI745" s="111"/>
      <c r="BJ745" s="111"/>
      <c r="BK745" s="111"/>
      <c r="BL745" s="111"/>
      <c r="BM745" s="111"/>
      <c r="BN745" s="111"/>
      <c r="BO745" s="111"/>
      <c r="BP745" s="111"/>
      <c r="BQ745" s="111"/>
      <c r="BR745" s="111"/>
      <c r="BS745" s="111"/>
      <c r="BT745" s="111"/>
      <c r="BU745" s="111"/>
      <c r="BV745" s="111"/>
    </row>
    <row r="746" spans="1:74" s="50" customFormat="1" ht="30" hidden="1" customHeight="1">
      <c r="A746" s="109">
        <v>742</v>
      </c>
      <c r="B746" s="26" t="s">
        <v>1491</v>
      </c>
      <c r="C746" s="27" t="s">
        <v>1492</v>
      </c>
      <c r="D746" s="26" t="s">
        <v>21</v>
      </c>
      <c r="E746" s="109"/>
      <c r="F746" s="109"/>
      <c r="G746" s="110">
        <v>10</v>
      </c>
      <c r="H746" s="3">
        <f t="shared" si="33"/>
        <v>0</v>
      </c>
      <c r="I746" s="3">
        <f t="shared" si="34"/>
        <v>0</v>
      </c>
      <c r="J746" s="110">
        <f t="shared" si="35"/>
        <v>10</v>
      </c>
      <c r="K746" s="110"/>
      <c r="L746" s="110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/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/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/>
      <c r="BP746" s="111"/>
      <c r="BQ746" s="111"/>
      <c r="BR746" s="111"/>
      <c r="BS746" s="111"/>
      <c r="BT746" s="111"/>
      <c r="BU746" s="111"/>
      <c r="BV746" s="111"/>
    </row>
    <row r="747" spans="1:74" s="50" customFormat="1" ht="29.25" hidden="1" customHeight="1">
      <c r="A747" s="109">
        <v>743</v>
      </c>
      <c r="B747" s="26" t="s">
        <v>1493</v>
      </c>
      <c r="C747" s="27" t="s">
        <v>1494</v>
      </c>
      <c r="D747" s="26" t="s">
        <v>21</v>
      </c>
      <c r="E747" s="109"/>
      <c r="F747" s="109"/>
      <c r="G747" s="110">
        <v>10</v>
      </c>
      <c r="H747" s="3">
        <f t="shared" si="33"/>
        <v>0</v>
      </c>
      <c r="I747" s="3">
        <f t="shared" si="34"/>
        <v>0</v>
      </c>
      <c r="J747" s="110">
        <f t="shared" si="35"/>
        <v>10</v>
      </c>
      <c r="K747" s="110"/>
      <c r="L747" s="110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/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/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/>
      <c r="BP747" s="111"/>
      <c r="BQ747" s="111"/>
      <c r="BR747" s="111"/>
      <c r="BS747" s="111"/>
      <c r="BT747" s="111"/>
      <c r="BU747" s="111"/>
      <c r="BV747" s="111"/>
    </row>
    <row r="748" spans="1:74" s="50" customFormat="1" ht="29.25" hidden="1" customHeight="1">
      <c r="A748" s="109">
        <v>744</v>
      </c>
      <c r="B748" s="26" t="s">
        <v>1495</v>
      </c>
      <c r="C748" s="27" t="s">
        <v>1496</v>
      </c>
      <c r="D748" s="26" t="s">
        <v>21</v>
      </c>
      <c r="E748" s="109"/>
      <c r="F748" s="109"/>
      <c r="G748" s="110">
        <v>4</v>
      </c>
      <c r="H748" s="3">
        <f t="shared" si="33"/>
        <v>0</v>
      </c>
      <c r="I748" s="3">
        <f t="shared" si="34"/>
        <v>0</v>
      </c>
      <c r="J748" s="110">
        <f t="shared" si="35"/>
        <v>4</v>
      </c>
      <c r="K748" s="110"/>
      <c r="L748" s="110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  <c r="AI748" s="111"/>
      <c r="AJ748" s="111"/>
      <c r="AK748" s="111"/>
      <c r="AL748" s="111"/>
      <c r="AM748" s="111"/>
      <c r="AN748" s="111"/>
      <c r="AO748" s="111"/>
      <c r="AP748" s="111"/>
      <c r="AQ748" s="111"/>
      <c r="AR748" s="111"/>
      <c r="AS748" s="111"/>
      <c r="AT748" s="111"/>
      <c r="AU748" s="111"/>
      <c r="AV748" s="111"/>
      <c r="AW748" s="111"/>
      <c r="AX748" s="111"/>
      <c r="AY748" s="111"/>
      <c r="AZ748" s="111"/>
      <c r="BA748" s="111"/>
      <c r="BB748" s="111"/>
      <c r="BC748" s="111"/>
      <c r="BD748" s="111"/>
      <c r="BE748" s="111"/>
      <c r="BF748" s="111"/>
      <c r="BG748" s="111"/>
      <c r="BH748" s="111"/>
      <c r="BI748" s="111"/>
      <c r="BJ748" s="111"/>
      <c r="BK748" s="111"/>
      <c r="BL748" s="111"/>
      <c r="BM748" s="111"/>
      <c r="BN748" s="111"/>
      <c r="BO748" s="111"/>
      <c r="BP748" s="111"/>
      <c r="BQ748" s="111"/>
      <c r="BR748" s="111"/>
      <c r="BS748" s="111"/>
      <c r="BT748" s="111"/>
      <c r="BU748" s="111"/>
      <c r="BV748" s="111"/>
    </row>
    <row r="749" spans="1:74" s="50" customFormat="1" ht="30" hidden="1" customHeight="1">
      <c r="A749" s="109">
        <v>745</v>
      </c>
      <c r="B749" s="26" t="s">
        <v>1497</v>
      </c>
      <c r="C749" s="27" t="s">
        <v>1498</v>
      </c>
      <c r="D749" s="26" t="s">
        <v>21</v>
      </c>
      <c r="E749" s="109"/>
      <c r="F749" s="109"/>
      <c r="G749" s="110">
        <v>90</v>
      </c>
      <c r="H749" s="3">
        <f t="shared" si="33"/>
        <v>0</v>
      </c>
      <c r="I749" s="3">
        <f t="shared" si="34"/>
        <v>0</v>
      </c>
      <c r="J749" s="110">
        <f t="shared" si="35"/>
        <v>90</v>
      </c>
      <c r="K749" s="110"/>
      <c r="L749" s="110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/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/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/>
      <c r="BP749" s="111"/>
      <c r="BQ749" s="111"/>
      <c r="BR749" s="111"/>
      <c r="BS749" s="111"/>
      <c r="BT749" s="111"/>
      <c r="BU749" s="111"/>
      <c r="BV749" s="111"/>
    </row>
    <row r="750" spans="1:74" s="50" customFormat="1" ht="15" hidden="1" customHeight="1">
      <c r="A750" s="109">
        <v>746</v>
      </c>
      <c r="B750" s="26" t="s">
        <v>1499</v>
      </c>
      <c r="C750" s="27" t="s">
        <v>1500</v>
      </c>
      <c r="D750" s="26" t="s">
        <v>21</v>
      </c>
      <c r="E750" s="109"/>
      <c r="F750" s="109"/>
      <c r="G750" s="110">
        <v>1</v>
      </c>
      <c r="H750" s="3">
        <f t="shared" si="33"/>
        <v>0</v>
      </c>
      <c r="I750" s="3">
        <f t="shared" si="34"/>
        <v>0</v>
      </c>
      <c r="J750" s="110">
        <f t="shared" si="35"/>
        <v>1</v>
      </c>
      <c r="K750" s="110"/>
      <c r="L750" s="110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  <c r="AJ750" s="111"/>
      <c r="AK750" s="111"/>
      <c r="AL750" s="111"/>
      <c r="AM750" s="111"/>
      <c r="AN750" s="111"/>
      <c r="AO750" s="111"/>
      <c r="AP750" s="111"/>
      <c r="AQ750" s="111"/>
      <c r="AR750" s="111"/>
      <c r="AS750" s="111"/>
      <c r="AT750" s="111"/>
      <c r="AU750" s="111"/>
      <c r="AV750" s="111"/>
      <c r="AW750" s="111"/>
      <c r="AX750" s="111"/>
      <c r="AY750" s="111"/>
      <c r="AZ750" s="111"/>
      <c r="BA750" s="111"/>
      <c r="BB750" s="111"/>
      <c r="BC750" s="111"/>
      <c r="BD750" s="111"/>
      <c r="BE750" s="111"/>
      <c r="BF750" s="111"/>
      <c r="BG750" s="111"/>
      <c r="BH750" s="111"/>
      <c r="BI750" s="111"/>
      <c r="BJ750" s="111"/>
      <c r="BK750" s="111"/>
      <c r="BL750" s="111"/>
      <c r="BM750" s="111"/>
      <c r="BN750" s="111"/>
      <c r="BO750" s="111"/>
      <c r="BP750" s="111"/>
      <c r="BQ750" s="111"/>
      <c r="BR750" s="111"/>
      <c r="BS750" s="111"/>
      <c r="BT750" s="111"/>
      <c r="BU750" s="111"/>
      <c r="BV750" s="111"/>
    </row>
    <row r="751" spans="1:74" s="50" customFormat="1" ht="15" hidden="1" customHeight="1">
      <c r="A751" s="109">
        <v>747</v>
      </c>
      <c r="B751" s="26" t="s">
        <v>1501</v>
      </c>
      <c r="C751" s="27" t="s">
        <v>1502</v>
      </c>
      <c r="D751" s="26" t="s">
        <v>21</v>
      </c>
      <c r="E751" s="109"/>
      <c r="F751" s="109"/>
      <c r="G751" s="110">
        <v>1</v>
      </c>
      <c r="H751" s="3">
        <f t="shared" si="33"/>
        <v>0</v>
      </c>
      <c r="I751" s="3">
        <f t="shared" si="34"/>
        <v>0</v>
      </c>
      <c r="J751" s="110">
        <f t="shared" si="35"/>
        <v>1</v>
      </c>
      <c r="K751" s="110"/>
      <c r="L751" s="110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  <c r="AJ751" s="111"/>
      <c r="AK751" s="111"/>
      <c r="AL751" s="111"/>
      <c r="AM751" s="111"/>
      <c r="AN751" s="111"/>
      <c r="AO751" s="111"/>
      <c r="AP751" s="111"/>
      <c r="AQ751" s="111"/>
      <c r="AR751" s="111"/>
      <c r="AS751" s="111"/>
      <c r="AT751" s="111"/>
      <c r="AU751" s="111"/>
      <c r="AV751" s="111"/>
      <c r="AW751" s="111"/>
      <c r="AX751" s="111"/>
      <c r="AY751" s="111"/>
      <c r="AZ751" s="111"/>
      <c r="BA751" s="111"/>
      <c r="BB751" s="111"/>
      <c r="BC751" s="111"/>
      <c r="BD751" s="111"/>
      <c r="BE751" s="111"/>
      <c r="BF751" s="111"/>
      <c r="BG751" s="111"/>
      <c r="BH751" s="111"/>
      <c r="BI751" s="111"/>
      <c r="BJ751" s="111"/>
      <c r="BK751" s="111"/>
      <c r="BL751" s="111"/>
      <c r="BM751" s="111"/>
      <c r="BN751" s="111"/>
      <c r="BO751" s="111"/>
      <c r="BP751" s="111"/>
      <c r="BQ751" s="111"/>
      <c r="BR751" s="111"/>
      <c r="BS751" s="111"/>
      <c r="BT751" s="111"/>
      <c r="BU751" s="111"/>
      <c r="BV751" s="111"/>
    </row>
    <row r="752" spans="1:74" s="50" customFormat="1" ht="15" hidden="1" customHeight="1">
      <c r="A752" s="109">
        <v>748</v>
      </c>
      <c r="B752" s="26" t="s">
        <v>1503</v>
      </c>
      <c r="C752" s="27" t="s">
        <v>1504</v>
      </c>
      <c r="D752" s="26" t="s">
        <v>21</v>
      </c>
      <c r="E752" s="26"/>
      <c r="F752" s="26"/>
      <c r="G752" s="33">
        <v>1</v>
      </c>
      <c r="H752" s="3">
        <f t="shared" si="33"/>
        <v>0</v>
      </c>
      <c r="I752" s="3">
        <f t="shared" si="34"/>
        <v>0</v>
      </c>
      <c r="J752" s="33">
        <f t="shared" si="35"/>
        <v>1</v>
      </c>
      <c r="K752" s="110"/>
      <c r="L752" s="110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  <c r="AJ752" s="111"/>
      <c r="AK752" s="111"/>
      <c r="AL752" s="111"/>
      <c r="AM752" s="111"/>
      <c r="AN752" s="111"/>
      <c r="AO752" s="111"/>
      <c r="AP752" s="111"/>
      <c r="AQ752" s="111"/>
      <c r="AR752" s="111"/>
      <c r="AS752" s="111"/>
      <c r="AT752" s="111"/>
      <c r="AU752" s="111"/>
      <c r="AV752" s="111"/>
      <c r="AW752" s="111"/>
      <c r="AX752" s="111"/>
      <c r="AY752" s="111"/>
      <c r="AZ752" s="111"/>
      <c r="BA752" s="111"/>
      <c r="BB752" s="111"/>
      <c r="BC752" s="111"/>
      <c r="BD752" s="111"/>
      <c r="BE752" s="111"/>
      <c r="BF752" s="111"/>
      <c r="BG752" s="111"/>
      <c r="BH752" s="111"/>
      <c r="BI752" s="111"/>
      <c r="BJ752" s="111"/>
      <c r="BK752" s="111"/>
      <c r="BL752" s="111"/>
      <c r="BM752" s="111"/>
      <c r="BN752" s="111"/>
      <c r="BO752" s="111"/>
      <c r="BP752" s="111"/>
      <c r="BQ752" s="111"/>
      <c r="BR752" s="111"/>
      <c r="BS752" s="111"/>
      <c r="BT752" s="111"/>
      <c r="BU752" s="111"/>
      <c r="BV752" s="111"/>
    </row>
    <row r="753" spans="1:74" s="50" customFormat="1" ht="15" hidden="1" customHeight="1">
      <c r="A753" s="111">
        <v>749</v>
      </c>
      <c r="B753" s="3" t="s">
        <v>1505</v>
      </c>
      <c r="C753" s="17" t="s">
        <v>1506</v>
      </c>
      <c r="D753" s="3" t="s">
        <v>21</v>
      </c>
      <c r="E753" s="111"/>
      <c r="F753" s="111"/>
      <c r="G753" s="110">
        <v>2</v>
      </c>
      <c r="H753" s="3">
        <f t="shared" si="33"/>
        <v>0</v>
      </c>
      <c r="I753" s="3">
        <f t="shared" si="34"/>
        <v>0</v>
      </c>
      <c r="J753" s="110">
        <f t="shared" si="35"/>
        <v>2</v>
      </c>
      <c r="K753" s="110"/>
      <c r="L753" s="110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  <c r="AJ753" s="111"/>
      <c r="AK753" s="111"/>
      <c r="AL753" s="111"/>
      <c r="AM753" s="111"/>
      <c r="AN753" s="111"/>
      <c r="AO753" s="111"/>
      <c r="AP753" s="111"/>
      <c r="AQ753" s="111"/>
      <c r="AR753" s="111"/>
      <c r="AS753" s="111"/>
      <c r="AT753" s="111"/>
      <c r="AU753" s="111"/>
      <c r="AV753" s="111"/>
      <c r="AW753" s="111"/>
      <c r="AX753" s="111"/>
      <c r="AY753" s="111"/>
      <c r="AZ753" s="111"/>
      <c r="BA753" s="111"/>
      <c r="BB753" s="111"/>
      <c r="BC753" s="111"/>
      <c r="BD753" s="111"/>
      <c r="BE753" s="111"/>
      <c r="BF753" s="111"/>
      <c r="BG753" s="111"/>
      <c r="BH753" s="111"/>
      <c r="BI753" s="111"/>
      <c r="BJ753" s="111"/>
      <c r="BK753" s="111"/>
      <c r="BL753" s="111"/>
      <c r="BM753" s="111"/>
      <c r="BN753" s="111"/>
      <c r="BO753" s="111"/>
      <c r="BP753" s="111"/>
      <c r="BQ753" s="111"/>
      <c r="BR753" s="111"/>
      <c r="BS753" s="111"/>
      <c r="BT753" s="111"/>
      <c r="BU753" s="111"/>
      <c r="BV753" s="111"/>
    </row>
    <row r="754" spans="1:74" s="50" customFormat="1" ht="15" hidden="1" customHeight="1">
      <c r="A754" s="111">
        <v>750</v>
      </c>
      <c r="B754" s="111" t="s">
        <v>1507</v>
      </c>
      <c r="C754" s="272" t="s">
        <v>1508</v>
      </c>
      <c r="D754" s="3" t="s">
        <v>21</v>
      </c>
      <c r="E754" s="111"/>
      <c r="F754" s="111"/>
      <c r="G754" s="110">
        <v>1</v>
      </c>
      <c r="H754" s="3">
        <f t="shared" si="33"/>
        <v>0</v>
      </c>
      <c r="I754" s="3">
        <f t="shared" si="34"/>
        <v>0</v>
      </c>
      <c r="J754" s="110">
        <f t="shared" si="35"/>
        <v>1</v>
      </c>
      <c r="K754" s="110"/>
      <c r="L754" s="110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  <c r="AJ754" s="111"/>
      <c r="AK754" s="111"/>
      <c r="AL754" s="111"/>
      <c r="AM754" s="111"/>
      <c r="AN754" s="111"/>
      <c r="AO754" s="111"/>
      <c r="AP754" s="111"/>
      <c r="AQ754" s="111"/>
      <c r="AR754" s="111"/>
      <c r="AS754" s="111"/>
      <c r="AT754" s="111"/>
      <c r="AU754" s="111"/>
      <c r="AV754" s="111"/>
      <c r="AW754" s="111"/>
      <c r="AX754" s="111"/>
      <c r="AY754" s="111"/>
      <c r="AZ754" s="111"/>
      <c r="BA754" s="111"/>
      <c r="BB754" s="111"/>
      <c r="BC754" s="111"/>
      <c r="BD754" s="111"/>
      <c r="BE754" s="111"/>
      <c r="BF754" s="111"/>
      <c r="BG754" s="111"/>
      <c r="BH754" s="111"/>
      <c r="BI754" s="111"/>
      <c r="BJ754" s="111"/>
      <c r="BK754" s="111"/>
      <c r="BL754" s="111"/>
      <c r="BM754" s="111"/>
      <c r="BN754" s="111"/>
      <c r="BO754" s="111"/>
      <c r="BP754" s="111"/>
      <c r="BQ754" s="111"/>
      <c r="BR754" s="111"/>
      <c r="BS754" s="111"/>
      <c r="BT754" s="111"/>
      <c r="BU754" s="111"/>
      <c r="BV754" s="111"/>
    </row>
    <row r="755" spans="1:74" s="50" customFormat="1" ht="15" hidden="1" customHeight="1">
      <c r="A755" s="109">
        <v>751</v>
      </c>
      <c r="B755" s="26" t="s">
        <v>1509</v>
      </c>
      <c r="C755" s="27" t="s">
        <v>1510</v>
      </c>
      <c r="D755" s="26" t="s">
        <v>21</v>
      </c>
      <c r="E755" s="109"/>
      <c r="F755" s="109"/>
      <c r="G755" s="110">
        <v>0</v>
      </c>
      <c r="H755" s="3">
        <f t="shared" si="33"/>
        <v>0</v>
      </c>
      <c r="I755" s="3">
        <f t="shared" si="34"/>
        <v>0</v>
      </c>
      <c r="J755" s="110">
        <f t="shared" si="35"/>
        <v>0</v>
      </c>
      <c r="K755" s="110"/>
      <c r="L755" s="110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  <c r="AJ755" s="111"/>
      <c r="AK755" s="111"/>
      <c r="AL755" s="111"/>
      <c r="AM755" s="111"/>
      <c r="AN755" s="111"/>
      <c r="AO755" s="111"/>
      <c r="AP755" s="111"/>
      <c r="AQ755" s="111"/>
      <c r="AR755" s="111"/>
      <c r="AS755" s="111"/>
      <c r="AT755" s="111"/>
      <c r="AU755" s="111"/>
      <c r="AV755" s="111"/>
      <c r="AW755" s="111"/>
      <c r="AX755" s="111"/>
      <c r="AY755" s="111"/>
      <c r="AZ755" s="111"/>
      <c r="BA755" s="111"/>
      <c r="BB755" s="111"/>
      <c r="BC755" s="111"/>
      <c r="BD755" s="111"/>
      <c r="BE755" s="111"/>
      <c r="BF755" s="111"/>
      <c r="BG755" s="111"/>
      <c r="BH755" s="111"/>
      <c r="BI755" s="111"/>
      <c r="BJ755" s="111"/>
      <c r="BK755" s="111"/>
      <c r="BL755" s="111"/>
      <c r="BM755" s="111"/>
      <c r="BN755" s="111"/>
      <c r="BO755" s="111"/>
      <c r="BP755" s="111"/>
      <c r="BQ755" s="111"/>
      <c r="BR755" s="111"/>
      <c r="BS755" s="111"/>
      <c r="BT755" s="111"/>
      <c r="BU755" s="111"/>
      <c r="BV755" s="111"/>
    </row>
    <row r="756" spans="1:74" s="50" customFormat="1" ht="29.25" hidden="1" customHeight="1">
      <c r="A756" s="109">
        <v>752</v>
      </c>
      <c r="B756" s="26" t="s">
        <v>1511</v>
      </c>
      <c r="C756" s="27" t="s">
        <v>1512</v>
      </c>
      <c r="D756" s="26" t="s">
        <v>21</v>
      </c>
      <c r="E756" s="109"/>
      <c r="F756" s="109"/>
      <c r="G756" s="110">
        <v>1</v>
      </c>
      <c r="H756" s="3">
        <f t="shared" si="33"/>
        <v>0</v>
      </c>
      <c r="I756" s="3">
        <f t="shared" si="34"/>
        <v>0</v>
      </c>
      <c r="J756" s="110">
        <f t="shared" si="35"/>
        <v>1</v>
      </c>
      <c r="K756" s="110"/>
      <c r="L756" s="110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  <c r="AJ756" s="111"/>
      <c r="AK756" s="111"/>
      <c r="AL756" s="111"/>
      <c r="AM756" s="111"/>
      <c r="AN756" s="111"/>
      <c r="AO756" s="111"/>
      <c r="AP756" s="111"/>
      <c r="AQ756" s="111"/>
      <c r="AR756" s="111"/>
      <c r="AS756" s="111"/>
      <c r="AT756" s="111"/>
      <c r="AU756" s="111"/>
      <c r="AV756" s="111"/>
      <c r="AW756" s="111"/>
      <c r="AX756" s="111"/>
      <c r="AY756" s="111"/>
      <c r="AZ756" s="111"/>
      <c r="BA756" s="111"/>
      <c r="BB756" s="111"/>
      <c r="BC756" s="111"/>
      <c r="BD756" s="111"/>
      <c r="BE756" s="111"/>
      <c r="BF756" s="111"/>
      <c r="BG756" s="111"/>
      <c r="BH756" s="111"/>
      <c r="BI756" s="111"/>
      <c r="BJ756" s="111"/>
      <c r="BK756" s="111"/>
      <c r="BL756" s="111"/>
      <c r="BM756" s="111"/>
      <c r="BN756" s="111"/>
      <c r="BO756" s="111"/>
      <c r="BP756" s="111"/>
      <c r="BQ756" s="111"/>
      <c r="BR756" s="111"/>
      <c r="BS756" s="111"/>
      <c r="BT756" s="111"/>
      <c r="BU756" s="111"/>
      <c r="BV756" s="111"/>
    </row>
    <row r="757" spans="1:74" s="50" customFormat="1" ht="15" hidden="1" customHeight="1">
      <c r="A757" s="109">
        <v>753</v>
      </c>
      <c r="B757" s="31" t="s">
        <v>1513</v>
      </c>
      <c r="C757" s="27" t="s">
        <v>1514</v>
      </c>
      <c r="D757" s="26" t="s">
        <v>21</v>
      </c>
      <c r="E757" s="109"/>
      <c r="F757" s="109"/>
      <c r="G757" s="110">
        <v>0</v>
      </c>
      <c r="H757" s="3">
        <f t="shared" si="33"/>
        <v>0</v>
      </c>
      <c r="I757" s="3">
        <f t="shared" si="34"/>
        <v>0</v>
      </c>
      <c r="J757" s="110">
        <f t="shared" si="35"/>
        <v>0</v>
      </c>
      <c r="K757" s="110"/>
      <c r="L757" s="110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  <c r="AJ757" s="111"/>
      <c r="AK757" s="111"/>
      <c r="AL757" s="111"/>
      <c r="AM757" s="111"/>
      <c r="AN757" s="111"/>
      <c r="AO757" s="111"/>
      <c r="AP757" s="111"/>
      <c r="AQ757" s="111"/>
      <c r="AR757" s="111"/>
      <c r="AS757" s="111"/>
      <c r="AT757" s="111"/>
      <c r="AU757" s="111"/>
      <c r="AV757" s="111"/>
      <c r="AW757" s="111"/>
      <c r="AX757" s="111"/>
      <c r="AY757" s="111"/>
      <c r="AZ757" s="111"/>
      <c r="BA757" s="111"/>
      <c r="BB757" s="111"/>
      <c r="BC757" s="111"/>
      <c r="BD757" s="111"/>
      <c r="BE757" s="111"/>
      <c r="BF757" s="111"/>
      <c r="BG757" s="111"/>
      <c r="BH757" s="111"/>
      <c r="BI757" s="111"/>
      <c r="BJ757" s="111"/>
      <c r="BK757" s="111"/>
      <c r="BL757" s="111"/>
      <c r="BM757" s="111"/>
      <c r="BN757" s="111"/>
      <c r="BO757" s="111"/>
      <c r="BP757" s="111"/>
      <c r="BQ757" s="111"/>
      <c r="BR757" s="111"/>
      <c r="BS757" s="111"/>
      <c r="BT757" s="111"/>
      <c r="BU757" s="111"/>
      <c r="BV757" s="111"/>
    </row>
    <row r="758" spans="1:74" s="50" customFormat="1" ht="15" hidden="1" customHeight="1">
      <c r="A758" s="142">
        <v>754</v>
      </c>
      <c r="B758" s="143" t="s">
        <v>1515</v>
      </c>
      <c r="C758" s="144" t="s">
        <v>1516</v>
      </c>
      <c r="D758" s="143" t="s">
        <v>21</v>
      </c>
      <c r="E758" s="109"/>
      <c r="F758" s="109"/>
      <c r="G758" s="108">
        <v>10</v>
      </c>
      <c r="H758" s="26">
        <f t="shared" si="33"/>
        <v>0</v>
      </c>
      <c r="I758" s="26">
        <f t="shared" si="34"/>
        <v>0</v>
      </c>
      <c r="J758" s="108">
        <f t="shared" si="35"/>
        <v>10</v>
      </c>
      <c r="K758" s="108"/>
      <c r="L758" s="108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  <c r="AJ758" s="111"/>
      <c r="AK758" s="111"/>
      <c r="AL758" s="111"/>
      <c r="AM758" s="111"/>
      <c r="AN758" s="111"/>
      <c r="AO758" s="111"/>
      <c r="AP758" s="111"/>
      <c r="AQ758" s="111"/>
      <c r="AR758" s="111"/>
      <c r="AS758" s="111"/>
      <c r="AT758" s="111"/>
      <c r="AU758" s="111"/>
      <c r="AV758" s="111"/>
      <c r="AW758" s="111"/>
      <c r="AX758" s="111"/>
      <c r="AY758" s="111"/>
      <c r="AZ758" s="111"/>
      <c r="BA758" s="111"/>
      <c r="BB758" s="111"/>
      <c r="BC758" s="111"/>
      <c r="BD758" s="111"/>
      <c r="BE758" s="111"/>
      <c r="BF758" s="111"/>
      <c r="BG758" s="111"/>
      <c r="BH758" s="111"/>
      <c r="BI758" s="111"/>
      <c r="BJ758" s="111"/>
      <c r="BK758" s="111"/>
      <c r="BL758" s="111"/>
      <c r="BM758" s="111"/>
      <c r="BN758" s="111"/>
      <c r="BO758" s="111"/>
      <c r="BP758" s="111"/>
      <c r="BQ758" s="111"/>
      <c r="BR758" s="111"/>
      <c r="BS758" s="111"/>
      <c r="BT758" s="111"/>
      <c r="BU758" s="111"/>
      <c r="BV758" s="111"/>
    </row>
    <row r="759" spans="1:74" s="50" customFormat="1" ht="15" hidden="1" customHeight="1">
      <c r="A759" s="109">
        <v>755</v>
      </c>
      <c r="B759" s="119" t="s">
        <v>1517</v>
      </c>
      <c r="C759" s="120" t="s">
        <v>1518</v>
      </c>
      <c r="D759" s="26" t="s">
        <v>21</v>
      </c>
      <c r="E759" s="109"/>
      <c r="F759" s="109"/>
      <c r="G759" s="110">
        <v>0</v>
      </c>
      <c r="H759" s="3">
        <f t="shared" ref="H759:H822" si="36">SUM(M759+O759+Q759+S759+U759+W759+Y759+AA759+AC759+AE759+AG759+AI759+AK759+AM759+AO759+AQ759+AS759+AU759+AW759+AY759+BA759+BC759+BE759+BG759+BI759+BK759+BM759+BO759+BQ759+BS759+BU759)</f>
        <v>0</v>
      </c>
      <c r="I759" s="3">
        <f t="shared" ref="I759:I822" si="37">SUM(N759+P759+R759+T759+V759+X759+Z759+AB759+AD759+AF759+AH759+AJ759+AL759+AN759+AP759+AR759+AT759+AV759+AX759+AZ759+BB759+BD759+BF759+BH759+BJ759+BL759+BN759+BP759+BR759+BT759+BV759)</f>
        <v>0</v>
      </c>
      <c r="J759" s="110">
        <f t="shared" ref="J759:J822" si="38">G759+H759-I759</f>
        <v>0</v>
      </c>
      <c r="K759" s="110"/>
      <c r="L759" s="110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  <c r="AJ759" s="111"/>
      <c r="AK759" s="111"/>
      <c r="AL759" s="111"/>
      <c r="AM759" s="111"/>
      <c r="AN759" s="111"/>
      <c r="AO759" s="111"/>
      <c r="AP759" s="111"/>
      <c r="AQ759" s="111"/>
      <c r="AR759" s="111"/>
      <c r="AS759" s="111"/>
      <c r="AT759" s="111"/>
      <c r="AU759" s="111"/>
      <c r="AV759" s="111"/>
      <c r="AW759" s="111"/>
      <c r="AX759" s="111"/>
      <c r="AY759" s="111"/>
      <c r="AZ759" s="111"/>
      <c r="BA759" s="111"/>
      <c r="BB759" s="111"/>
      <c r="BC759" s="111"/>
      <c r="BD759" s="111"/>
      <c r="BE759" s="111"/>
      <c r="BF759" s="111"/>
      <c r="BG759" s="111"/>
      <c r="BH759" s="111"/>
      <c r="BI759" s="111"/>
      <c r="BJ759" s="111"/>
      <c r="BK759" s="111"/>
      <c r="BL759" s="111"/>
      <c r="BM759" s="111"/>
      <c r="BN759" s="111"/>
      <c r="BO759" s="111"/>
      <c r="BP759" s="111"/>
      <c r="BQ759" s="111"/>
      <c r="BR759" s="111"/>
      <c r="BS759" s="111"/>
      <c r="BT759" s="111"/>
      <c r="BU759" s="111"/>
      <c r="BV759" s="111"/>
    </row>
    <row r="760" spans="1:74" s="50" customFormat="1" ht="15" hidden="1" customHeight="1">
      <c r="A760" s="142">
        <v>756</v>
      </c>
      <c r="B760" s="143" t="s">
        <v>1519</v>
      </c>
      <c r="C760" s="144" t="s">
        <v>1520</v>
      </c>
      <c r="D760" s="143" t="s">
        <v>21</v>
      </c>
      <c r="E760" s="109"/>
      <c r="F760" s="109"/>
      <c r="G760" s="110">
        <v>4</v>
      </c>
      <c r="H760" s="3">
        <f t="shared" si="36"/>
        <v>0</v>
      </c>
      <c r="I760" s="3">
        <f t="shared" si="37"/>
        <v>0</v>
      </c>
      <c r="J760" s="110">
        <f t="shared" si="38"/>
        <v>4</v>
      </c>
      <c r="K760" s="110"/>
      <c r="L760" s="110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  <c r="AJ760" s="111"/>
      <c r="AK760" s="111"/>
      <c r="AL760" s="111"/>
      <c r="AM760" s="111"/>
      <c r="AN760" s="111"/>
      <c r="AO760" s="111"/>
      <c r="AP760" s="111"/>
      <c r="AQ760" s="111"/>
      <c r="AR760" s="111"/>
      <c r="AS760" s="111"/>
      <c r="AT760" s="111"/>
      <c r="AU760" s="111"/>
      <c r="AV760" s="111"/>
      <c r="AW760" s="111"/>
      <c r="AX760" s="111"/>
      <c r="AY760" s="111"/>
      <c r="AZ760" s="111"/>
      <c r="BA760" s="111"/>
      <c r="BB760" s="111"/>
      <c r="BC760" s="111"/>
      <c r="BD760" s="111"/>
      <c r="BE760" s="111"/>
      <c r="BF760" s="111"/>
      <c r="BG760" s="111"/>
      <c r="BH760" s="111"/>
      <c r="BI760" s="111"/>
      <c r="BJ760" s="111"/>
      <c r="BK760" s="111"/>
      <c r="BL760" s="111"/>
      <c r="BM760" s="111"/>
      <c r="BN760" s="111"/>
      <c r="BO760" s="111"/>
      <c r="BP760" s="111"/>
      <c r="BQ760" s="111"/>
      <c r="BR760" s="111"/>
      <c r="BS760" s="111"/>
      <c r="BT760" s="111"/>
      <c r="BU760" s="111"/>
      <c r="BV760" s="111"/>
    </row>
    <row r="761" spans="1:74" s="337" customFormat="1" ht="30" customHeight="1">
      <c r="A761" s="293">
        <v>757</v>
      </c>
      <c r="B761" s="295" t="s">
        <v>1521</v>
      </c>
      <c r="C761" s="144" t="s">
        <v>1522</v>
      </c>
      <c r="D761" s="295" t="s">
        <v>21</v>
      </c>
      <c r="E761" s="335"/>
      <c r="F761" s="335"/>
      <c r="G761" s="336">
        <v>12</v>
      </c>
      <c r="H761" s="25">
        <f t="shared" si="36"/>
        <v>0</v>
      </c>
      <c r="I761" s="25">
        <f t="shared" si="37"/>
        <v>0</v>
      </c>
      <c r="J761" s="336">
        <f t="shared" si="38"/>
        <v>12</v>
      </c>
      <c r="K761" s="336"/>
      <c r="L761" s="336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  <c r="AG761" s="130"/>
      <c r="AH761" s="130"/>
      <c r="AI761" s="130"/>
      <c r="AJ761" s="130"/>
      <c r="AK761" s="130"/>
      <c r="AL761" s="130"/>
      <c r="AM761" s="130"/>
      <c r="AN761" s="130"/>
      <c r="AO761" s="130"/>
      <c r="AP761" s="130"/>
      <c r="AQ761" s="130"/>
      <c r="AR761" s="130"/>
      <c r="AS761" s="130"/>
      <c r="AT761" s="130"/>
      <c r="AU761" s="130"/>
      <c r="AV761" s="130"/>
      <c r="AW761" s="130"/>
      <c r="AX761" s="130"/>
      <c r="AY761" s="130"/>
      <c r="AZ761" s="130"/>
      <c r="BA761" s="130"/>
      <c r="BB761" s="130"/>
      <c r="BC761" s="130"/>
      <c r="BD761" s="130"/>
      <c r="BE761" s="130"/>
      <c r="BF761" s="130"/>
      <c r="BG761" s="130"/>
      <c r="BH761" s="130"/>
      <c r="BI761" s="130"/>
      <c r="BJ761" s="130"/>
      <c r="BK761" s="130"/>
      <c r="BL761" s="130"/>
      <c r="BM761" s="130"/>
      <c r="BN761" s="130"/>
      <c r="BO761" s="130"/>
      <c r="BP761" s="130"/>
      <c r="BQ761" s="130"/>
      <c r="BR761" s="130"/>
      <c r="BS761" s="130"/>
      <c r="BT761" s="130"/>
      <c r="BU761" s="130"/>
      <c r="BV761" s="130"/>
    </row>
    <row r="762" spans="1:74" s="50" customFormat="1" ht="15" hidden="1" customHeight="1">
      <c r="A762" s="109">
        <v>758</v>
      </c>
      <c r="B762" s="109" t="s">
        <v>1523</v>
      </c>
      <c r="C762" s="117" t="s">
        <v>1524</v>
      </c>
      <c r="D762" s="26" t="s">
        <v>21</v>
      </c>
      <c r="E762" s="109"/>
      <c r="F762" s="109"/>
      <c r="G762" s="110">
        <v>0</v>
      </c>
      <c r="H762" s="3">
        <f t="shared" si="36"/>
        <v>0</v>
      </c>
      <c r="I762" s="3">
        <f t="shared" si="37"/>
        <v>0</v>
      </c>
      <c r="J762" s="110">
        <f t="shared" si="38"/>
        <v>0</v>
      </c>
      <c r="K762" s="110"/>
      <c r="L762" s="110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  <c r="AJ762" s="111"/>
      <c r="AK762" s="111"/>
      <c r="AL762" s="111"/>
      <c r="AM762" s="111"/>
      <c r="AN762" s="111"/>
      <c r="AO762" s="111"/>
      <c r="AP762" s="111"/>
      <c r="AQ762" s="111"/>
      <c r="AR762" s="111"/>
      <c r="AS762" s="111"/>
      <c r="AT762" s="111"/>
      <c r="AU762" s="111"/>
      <c r="AV762" s="111"/>
      <c r="AW762" s="111"/>
      <c r="AX762" s="111"/>
      <c r="AY762" s="111"/>
      <c r="AZ762" s="111"/>
      <c r="BA762" s="111"/>
      <c r="BB762" s="111"/>
      <c r="BC762" s="111"/>
      <c r="BD762" s="111"/>
      <c r="BE762" s="111"/>
      <c r="BF762" s="111"/>
      <c r="BG762" s="111"/>
      <c r="BH762" s="111"/>
      <c r="BI762" s="111"/>
      <c r="BJ762" s="111"/>
      <c r="BK762" s="111"/>
      <c r="BL762" s="111"/>
      <c r="BM762" s="111"/>
      <c r="BN762" s="111"/>
      <c r="BO762" s="111"/>
      <c r="BP762" s="111"/>
      <c r="BQ762" s="111"/>
      <c r="BR762" s="111"/>
      <c r="BS762" s="111"/>
      <c r="BT762" s="111"/>
      <c r="BU762" s="111"/>
      <c r="BV762" s="111"/>
    </row>
    <row r="763" spans="1:74" s="50" customFormat="1" ht="29.25" hidden="1" customHeight="1">
      <c r="A763" s="109">
        <v>759</v>
      </c>
      <c r="B763" s="26" t="s">
        <v>1525</v>
      </c>
      <c r="C763" s="27" t="s">
        <v>1526</v>
      </c>
      <c r="D763" s="26" t="s">
        <v>21</v>
      </c>
      <c r="E763" s="109"/>
      <c r="F763" s="109"/>
      <c r="G763" s="110">
        <v>0</v>
      </c>
      <c r="H763" s="3">
        <f t="shared" si="36"/>
        <v>0</v>
      </c>
      <c r="I763" s="3">
        <f t="shared" si="37"/>
        <v>0</v>
      </c>
      <c r="J763" s="110">
        <f t="shared" si="38"/>
        <v>0</v>
      </c>
      <c r="K763" s="110"/>
      <c r="L763" s="110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  <c r="AJ763" s="111"/>
      <c r="AK763" s="111"/>
      <c r="AL763" s="111"/>
      <c r="AM763" s="111"/>
      <c r="AN763" s="111"/>
      <c r="AO763" s="111"/>
      <c r="AP763" s="111"/>
      <c r="AQ763" s="111"/>
      <c r="AR763" s="111"/>
      <c r="AS763" s="111"/>
      <c r="AT763" s="111"/>
      <c r="AU763" s="111"/>
      <c r="AV763" s="111"/>
      <c r="AW763" s="111"/>
      <c r="AX763" s="111"/>
      <c r="AY763" s="111"/>
      <c r="AZ763" s="111"/>
      <c r="BA763" s="111"/>
      <c r="BB763" s="111"/>
      <c r="BC763" s="111"/>
      <c r="BD763" s="111"/>
      <c r="BE763" s="111"/>
      <c r="BF763" s="111"/>
      <c r="BG763" s="111"/>
      <c r="BH763" s="111"/>
      <c r="BI763" s="111"/>
      <c r="BJ763" s="111"/>
      <c r="BK763" s="111"/>
      <c r="BL763" s="111"/>
      <c r="BM763" s="111"/>
      <c r="BN763" s="111"/>
      <c r="BO763" s="111"/>
      <c r="BP763" s="111"/>
      <c r="BQ763" s="111"/>
      <c r="BR763" s="111"/>
      <c r="BS763" s="111"/>
      <c r="BT763" s="111"/>
      <c r="BU763" s="111"/>
      <c r="BV763" s="111"/>
    </row>
    <row r="764" spans="1:74" s="50" customFormat="1" ht="15" hidden="1" customHeight="1">
      <c r="A764" s="109">
        <v>760</v>
      </c>
      <c r="B764" s="26" t="s">
        <v>1527</v>
      </c>
      <c r="C764" s="27" t="s">
        <v>1528</v>
      </c>
      <c r="D764" s="26" t="s">
        <v>21</v>
      </c>
      <c r="E764" s="109"/>
      <c r="F764" s="109"/>
      <c r="G764" s="110">
        <v>14</v>
      </c>
      <c r="H764" s="3">
        <f t="shared" si="36"/>
        <v>0</v>
      </c>
      <c r="I764" s="3">
        <f t="shared" si="37"/>
        <v>0</v>
      </c>
      <c r="J764" s="110">
        <f t="shared" si="38"/>
        <v>14</v>
      </c>
      <c r="K764" s="110"/>
      <c r="L764" s="110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  <c r="AJ764" s="111"/>
      <c r="AK764" s="111"/>
      <c r="AL764" s="111"/>
      <c r="AM764" s="111"/>
      <c r="AN764" s="111"/>
      <c r="AO764" s="111"/>
      <c r="AP764" s="111"/>
      <c r="AQ764" s="111"/>
      <c r="AR764" s="111"/>
      <c r="AS764" s="111"/>
      <c r="AT764" s="111"/>
      <c r="AU764" s="111"/>
      <c r="AV764" s="111"/>
      <c r="AW764" s="111"/>
      <c r="AX764" s="111"/>
      <c r="AY764" s="111"/>
      <c r="AZ764" s="111"/>
      <c r="BA764" s="111"/>
      <c r="BB764" s="111"/>
      <c r="BC764" s="111"/>
      <c r="BD764" s="111"/>
      <c r="BE764" s="111"/>
      <c r="BF764" s="111"/>
      <c r="BG764" s="111"/>
      <c r="BH764" s="111"/>
      <c r="BI764" s="111"/>
      <c r="BJ764" s="111"/>
      <c r="BK764" s="111"/>
      <c r="BL764" s="111"/>
      <c r="BM764" s="111"/>
      <c r="BN764" s="111"/>
      <c r="BO764" s="111"/>
      <c r="BP764" s="111"/>
      <c r="BQ764" s="111"/>
      <c r="BR764" s="111"/>
      <c r="BS764" s="111"/>
      <c r="BT764" s="111"/>
      <c r="BU764" s="111"/>
      <c r="BV764" s="111"/>
    </row>
    <row r="765" spans="1:74" s="50" customFormat="1" ht="15" hidden="1" customHeight="1">
      <c r="A765" s="109">
        <v>761</v>
      </c>
      <c r="B765" s="26" t="s">
        <v>1529</v>
      </c>
      <c r="C765" s="27" t="s">
        <v>1530</v>
      </c>
      <c r="D765" s="26" t="s">
        <v>21</v>
      </c>
      <c r="E765" s="109"/>
      <c r="F765" s="109"/>
      <c r="G765" s="110">
        <v>6</v>
      </c>
      <c r="H765" s="3">
        <f t="shared" si="36"/>
        <v>0</v>
      </c>
      <c r="I765" s="3">
        <f t="shared" si="37"/>
        <v>0</v>
      </c>
      <c r="J765" s="110">
        <f t="shared" si="38"/>
        <v>6</v>
      </c>
      <c r="K765" s="110"/>
      <c r="L765" s="110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  <c r="AJ765" s="111"/>
      <c r="AK765" s="111"/>
      <c r="AL765" s="111"/>
      <c r="AM765" s="111"/>
      <c r="AN765" s="111"/>
      <c r="AO765" s="111"/>
      <c r="AP765" s="111"/>
      <c r="AQ765" s="111"/>
      <c r="AR765" s="111"/>
      <c r="AS765" s="111"/>
      <c r="AT765" s="111"/>
      <c r="AU765" s="111"/>
      <c r="AV765" s="111"/>
      <c r="AW765" s="111"/>
      <c r="AX765" s="111"/>
      <c r="AY765" s="111"/>
      <c r="AZ765" s="111"/>
      <c r="BA765" s="111"/>
      <c r="BB765" s="111"/>
      <c r="BC765" s="111"/>
      <c r="BD765" s="111"/>
      <c r="BE765" s="111"/>
      <c r="BF765" s="111"/>
      <c r="BG765" s="111"/>
      <c r="BH765" s="111"/>
      <c r="BI765" s="111"/>
      <c r="BJ765" s="111"/>
      <c r="BK765" s="111"/>
      <c r="BL765" s="111"/>
      <c r="BM765" s="111"/>
      <c r="BN765" s="111"/>
      <c r="BO765" s="111"/>
      <c r="BP765" s="111"/>
      <c r="BQ765" s="111"/>
      <c r="BR765" s="111"/>
      <c r="BS765" s="111"/>
      <c r="BT765" s="111"/>
      <c r="BU765" s="111"/>
      <c r="BV765" s="111"/>
    </row>
    <row r="766" spans="1:74" s="50" customFormat="1" ht="15.75" hidden="1" customHeight="1">
      <c r="A766" s="109">
        <v>762</v>
      </c>
      <c r="B766" s="112" t="s">
        <v>1531</v>
      </c>
      <c r="C766" s="115" t="s">
        <v>1532</v>
      </c>
      <c r="D766" s="26" t="s">
        <v>21</v>
      </c>
      <c r="E766" s="109"/>
      <c r="F766" s="109"/>
      <c r="G766" s="110">
        <v>14</v>
      </c>
      <c r="H766" s="3">
        <f t="shared" si="36"/>
        <v>0</v>
      </c>
      <c r="I766" s="3">
        <f t="shared" si="37"/>
        <v>0</v>
      </c>
      <c r="J766" s="110">
        <f t="shared" si="38"/>
        <v>14</v>
      </c>
      <c r="K766" s="110"/>
      <c r="L766" s="110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  <c r="AJ766" s="111"/>
      <c r="AK766" s="111"/>
      <c r="AL766" s="111"/>
      <c r="AM766" s="111"/>
      <c r="AN766" s="111"/>
      <c r="AO766" s="111"/>
      <c r="AP766" s="111"/>
      <c r="AQ766" s="111"/>
      <c r="AR766" s="111"/>
      <c r="AS766" s="111"/>
      <c r="AT766" s="111"/>
      <c r="AU766" s="111"/>
      <c r="AV766" s="111"/>
      <c r="AW766" s="111"/>
      <c r="AX766" s="111"/>
      <c r="AY766" s="111"/>
      <c r="AZ766" s="111"/>
      <c r="BA766" s="111"/>
      <c r="BB766" s="111"/>
      <c r="BC766" s="111"/>
      <c r="BD766" s="111"/>
      <c r="BE766" s="111"/>
      <c r="BF766" s="111"/>
      <c r="BG766" s="111"/>
      <c r="BH766" s="111"/>
      <c r="BI766" s="111"/>
      <c r="BJ766" s="111"/>
      <c r="BK766" s="111"/>
      <c r="BL766" s="111"/>
      <c r="BM766" s="111"/>
      <c r="BN766" s="111"/>
      <c r="BO766" s="111"/>
      <c r="BP766" s="111"/>
      <c r="BQ766" s="111"/>
      <c r="BR766" s="111"/>
      <c r="BS766" s="111"/>
      <c r="BT766" s="111"/>
      <c r="BU766" s="111"/>
      <c r="BV766" s="111"/>
    </row>
    <row r="767" spans="1:74" s="50" customFormat="1" ht="15.75" hidden="1" customHeight="1">
      <c r="A767" s="109">
        <v>763</v>
      </c>
      <c r="B767" s="140" t="s">
        <v>1533</v>
      </c>
      <c r="C767" s="117" t="s">
        <v>1534</v>
      </c>
      <c r="D767" s="26" t="s">
        <v>21</v>
      </c>
      <c r="E767" s="109"/>
      <c r="F767" s="109"/>
      <c r="G767" s="110">
        <v>7</v>
      </c>
      <c r="H767" s="3">
        <f t="shared" si="36"/>
        <v>0</v>
      </c>
      <c r="I767" s="3">
        <f t="shared" si="37"/>
        <v>0</v>
      </c>
      <c r="J767" s="110">
        <f t="shared" si="38"/>
        <v>7</v>
      </c>
      <c r="K767" s="110"/>
      <c r="L767" s="110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  <c r="AJ767" s="111"/>
      <c r="AK767" s="111"/>
      <c r="AL767" s="111"/>
      <c r="AM767" s="111"/>
      <c r="AN767" s="111"/>
      <c r="AO767" s="111"/>
      <c r="AP767" s="111"/>
      <c r="AQ767" s="111"/>
      <c r="AR767" s="111"/>
      <c r="AS767" s="111"/>
      <c r="AT767" s="111"/>
      <c r="AU767" s="111"/>
      <c r="AV767" s="111"/>
      <c r="AW767" s="111"/>
      <c r="AX767" s="111"/>
      <c r="AY767" s="111"/>
      <c r="AZ767" s="111"/>
      <c r="BA767" s="111"/>
      <c r="BB767" s="111"/>
      <c r="BC767" s="111"/>
      <c r="BD767" s="111"/>
      <c r="BE767" s="111"/>
      <c r="BF767" s="111"/>
      <c r="BG767" s="111"/>
      <c r="BH767" s="111"/>
      <c r="BI767" s="111"/>
      <c r="BJ767" s="111"/>
      <c r="BK767" s="111"/>
      <c r="BL767" s="111"/>
      <c r="BM767" s="111"/>
      <c r="BN767" s="111"/>
      <c r="BO767" s="111"/>
      <c r="BP767" s="111"/>
      <c r="BQ767" s="111"/>
      <c r="BR767" s="111"/>
      <c r="BS767" s="111"/>
      <c r="BT767" s="111"/>
      <c r="BU767" s="111"/>
      <c r="BV767" s="111"/>
    </row>
    <row r="768" spans="1:74" s="50" customFormat="1" ht="15" hidden="1" customHeight="1">
      <c r="A768" s="109">
        <v>764</v>
      </c>
      <c r="B768" s="112" t="s">
        <v>1535</v>
      </c>
      <c r="C768" s="115" t="s">
        <v>1536</v>
      </c>
      <c r="D768" s="26" t="s">
        <v>21</v>
      </c>
      <c r="E768" s="109"/>
      <c r="F768" s="109"/>
      <c r="G768" s="110">
        <v>0</v>
      </c>
      <c r="H768" s="3">
        <f t="shared" si="36"/>
        <v>0</v>
      </c>
      <c r="I768" s="3">
        <f t="shared" si="37"/>
        <v>0</v>
      </c>
      <c r="J768" s="110">
        <f t="shared" si="38"/>
        <v>0</v>
      </c>
      <c r="K768" s="110"/>
      <c r="L768" s="110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  <c r="AJ768" s="111"/>
      <c r="AK768" s="111"/>
      <c r="AL768" s="111"/>
      <c r="AM768" s="111"/>
      <c r="AN768" s="111"/>
      <c r="AO768" s="111"/>
      <c r="AP768" s="111"/>
      <c r="AQ768" s="111"/>
      <c r="AR768" s="111"/>
      <c r="AS768" s="111"/>
      <c r="AT768" s="111"/>
      <c r="AU768" s="111"/>
      <c r="AV768" s="111"/>
      <c r="AW768" s="111"/>
      <c r="AX768" s="111"/>
      <c r="AY768" s="111"/>
      <c r="AZ768" s="111"/>
      <c r="BA768" s="111"/>
      <c r="BB768" s="111"/>
      <c r="BC768" s="111"/>
      <c r="BD768" s="111"/>
      <c r="BE768" s="111"/>
      <c r="BF768" s="111"/>
      <c r="BG768" s="111"/>
      <c r="BH768" s="111"/>
      <c r="BI768" s="111"/>
      <c r="BJ768" s="111"/>
      <c r="BK768" s="111"/>
      <c r="BL768" s="111"/>
      <c r="BM768" s="111"/>
      <c r="BN768" s="111"/>
      <c r="BO768" s="111"/>
      <c r="BP768" s="111"/>
      <c r="BQ768" s="111"/>
      <c r="BR768" s="111"/>
      <c r="BS768" s="111"/>
      <c r="BT768" s="111"/>
      <c r="BU768" s="111"/>
      <c r="BV768" s="111"/>
    </row>
    <row r="769" spans="1:74" s="50" customFormat="1" ht="15" hidden="1" customHeight="1">
      <c r="A769" s="111">
        <v>765</v>
      </c>
      <c r="B769" s="4" t="s">
        <v>1537</v>
      </c>
      <c r="C769" s="19" t="s">
        <v>1538</v>
      </c>
      <c r="D769" s="3" t="s">
        <v>21</v>
      </c>
      <c r="E769" s="111"/>
      <c r="F769" s="111"/>
      <c r="G769" s="110">
        <v>1</v>
      </c>
      <c r="H769" s="3">
        <f t="shared" si="36"/>
        <v>0</v>
      </c>
      <c r="I769" s="3">
        <f t="shared" si="37"/>
        <v>0</v>
      </c>
      <c r="J769" s="110">
        <f t="shared" si="38"/>
        <v>1</v>
      </c>
      <c r="K769" s="110"/>
      <c r="L769" s="110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  <c r="AJ769" s="111"/>
      <c r="AK769" s="111"/>
      <c r="AL769" s="111"/>
      <c r="AM769" s="111"/>
      <c r="AN769" s="111"/>
      <c r="AO769" s="111"/>
      <c r="AP769" s="111"/>
      <c r="AQ769" s="111"/>
      <c r="AR769" s="111"/>
      <c r="AS769" s="111"/>
      <c r="AT769" s="111"/>
      <c r="AU769" s="111"/>
      <c r="AV769" s="111"/>
      <c r="AW769" s="111"/>
      <c r="AX769" s="111"/>
      <c r="AY769" s="111"/>
      <c r="AZ769" s="111"/>
      <c r="BA769" s="111"/>
      <c r="BB769" s="111"/>
      <c r="BC769" s="111"/>
      <c r="BD769" s="111"/>
      <c r="BE769" s="111"/>
      <c r="BF769" s="111"/>
      <c r="BG769" s="111"/>
      <c r="BH769" s="111"/>
      <c r="BI769" s="111"/>
      <c r="BJ769" s="111"/>
      <c r="BK769" s="111"/>
      <c r="BL769" s="111"/>
      <c r="BM769" s="111"/>
      <c r="BN769" s="111"/>
      <c r="BO769" s="111"/>
      <c r="BP769" s="111"/>
      <c r="BQ769" s="111"/>
      <c r="BR769" s="111"/>
      <c r="BS769" s="111"/>
      <c r="BT769" s="111"/>
      <c r="BU769" s="111"/>
      <c r="BV769" s="111"/>
    </row>
    <row r="770" spans="1:74" s="50" customFormat="1" ht="15" hidden="1" customHeight="1">
      <c r="A770" s="111">
        <v>766</v>
      </c>
      <c r="B770" s="4" t="s">
        <v>1539</v>
      </c>
      <c r="C770" s="20" t="s">
        <v>1540</v>
      </c>
      <c r="D770" s="3" t="s">
        <v>21</v>
      </c>
      <c r="E770" s="111"/>
      <c r="F770" s="111"/>
      <c r="G770" s="110">
        <v>2</v>
      </c>
      <c r="H770" s="3">
        <f t="shared" si="36"/>
        <v>0</v>
      </c>
      <c r="I770" s="3">
        <f t="shared" si="37"/>
        <v>0</v>
      </c>
      <c r="J770" s="110">
        <f t="shared" si="38"/>
        <v>2</v>
      </c>
      <c r="K770" s="110"/>
      <c r="L770" s="110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  <c r="AJ770" s="111"/>
      <c r="AK770" s="111"/>
      <c r="AL770" s="111"/>
      <c r="AM770" s="111"/>
      <c r="AN770" s="111"/>
      <c r="AO770" s="111"/>
      <c r="AP770" s="111"/>
      <c r="AQ770" s="111"/>
      <c r="AR770" s="111"/>
      <c r="AS770" s="111"/>
      <c r="AT770" s="111"/>
      <c r="AU770" s="111"/>
      <c r="AV770" s="111"/>
      <c r="AW770" s="111"/>
      <c r="AX770" s="111"/>
      <c r="AY770" s="111"/>
      <c r="AZ770" s="111"/>
      <c r="BA770" s="111"/>
      <c r="BB770" s="111"/>
      <c r="BC770" s="111"/>
      <c r="BD770" s="111"/>
      <c r="BE770" s="111"/>
      <c r="BF770" s="111"/>
      <c r="BG770" s="111"/>
      <c r="BH770" s="111"/>
      <c r="BI770" s="111"/>
      <c r="BJ770" s="111"/>
      <c r="BK770" s="111"/>
      <c r="BL770" s="111"/>
      <c r="BM770" s="111"/>
      <c r="BN770" s="111"/>
      <c r="BO770" s="111"/>
      <c r="BP770" s="111"/>
      <c r="BQ770" s="111"/>
      <c r="BR770" s="111"/>
      <c r="BS770" s="111"/>
      <c r="BT770" s="111"/>
      <c r="BU770" s="111"/>
      <c r="BV770" s="111"/>
    </row>
    <row r="771" spans="1:74" s="50" customFormat="1" ht="15" hidden="1" customHeight="1">
      <c r="A771" s="111">
        <v>767</v>
      </c>
      <c r="B771" s="4" t="s">
        <v>1541</v>
      </c>
      <c r="C771" s="19" t="s">
        <v>1542</v>
      </c>
      <c r="D771" s="3" t="s">
        <v>21</v>
      </c>
      <c r="E771" s="111"/>
      <c r="F771" s="111"/>
      <c r="G771" s="110">
        <v>0</v>
      </c>
      <c r="H771" s="3">
        <f t="shared" si="36"/>
        <v>0</v>
      </c>
      <c r="I771" s="3">
        <f t="shared" si="37"/>
        <v>0</v>
      </c>
      <c r="J771" s="110">
        <f t="shared" si="38"/>
        <v>0</v>
      </c>
      <c r="K771" s="110"/>
      <c r="L771" s="110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  <c r="AJ771" s="111"/>
      <c r="AK771" s="111"/>
      <c r="AL771" s="111"/>
      <c r="AM771" s="111"/>
      <c r="AN771" s="111"/>
      <c r="AO771" s="111"/>
      <c r="AP771" s="111"/>
      <c r="AQ771" s="111"/>
      <c r="AR771" s="111"/>
      <c r="AS771" s="111"/>
      <c r="AT771" s="111"/>
      <c r="AU771" s="111"/>
      <c r="AV771" s="111"/>
      <c r="AW771" s="111"/>
      <c r="AX771" s="111"/>
      <c r="AY771" s="111"/>
      <c r="AZ771" s="111"/>
      <c r="BA771" s="111"/>
      <c r="BB771" s="111"/>
      <c r="BC771" s="111"/>
      <c r="BD771" s="111"/>
      <c r="BE771" s="111"/>
      <c r="BF771" s="111"/>
      <c r="BG771" s="111"/>
      <c r="BH771" s="111"/>
      <c r="BI771" s="111"/>
      <c r="BJ771" s="111"/>
      <c r="BK771" s="111"/>
      <c r="BL771" s="111"/>
      <c r="BM771" s="111"/>
      <c r="BN771" s="111"/>
      <c r="BO771" s="111"/>
      <c r="BP771" s="111"/>
      <c r="BQ771" s="111"/>
      <c r="BR771" s="111"/>
      <c r="BS771" s="111"/>
      <c r="BT771" s="111"/>
      <c r="BU771" s="111"/>
      <c r="BV771" s="111"/>
    </row>
    <row r="772" spans="1:74" s="50" customFormat="1" ht="15" hidden="1" customHeight="1">
      <c r="A772" s="142">
        <v>768</v>
      </c>
      <c r="B772" s="252" t="s">
        <v>1543</v>
      </c>
      <c r="C772" s="253" t="s">
        <v>1544</v>
      </c>
      <c r="D772" s="143" t="s">
        <v>21</v>
      </c>
      <c r="E772" s="111"/>
      <c r="F772" s="111"/>
      <c r="G772" s="110">
        <v>94</v>
      </c>
      <c r="H772" s="3">
        <f t="shared" si="36"/>
        <v>0</v>
      </c>
      <c r="I772" s="3">
        <f t="shared" si="37"/>
        <v>0</v>
      </c>
      <c r="J772" s="110">
        <f t="shared" si="38"/>
        <v>94</v>
      </c>
      <c r="K772" s="110"/>
      <c r="L772" s="110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  <c r="AJ772" s="111"/>
      <c r="AK772" s="111"/>
      <c r="AL772" s="111"/>
      <c r="AM772" s="111"/>
      <c r="AN772" s="111"/>
      <c r="AO772" s="111"/>
      <c r="AP772" s="111"/>
      <c r="AQ772" s="111"/>
      <c r="AR772" s="111"/>
      <c r="AS772" s="111"/>
      <c r="AT772" s="111"/>
      <c r="AU772" s="111"/>
      <c r="AV772" s="111"/>
      <c r="AW772" s="111"/>
      <c r="AX772" s="111"/>
      <c r="AY772" s="111"/>
      <c r="AZ772" s="111"/>
      <c r="BA772" s="111"/>
      <c r="BB772" s="111"/>
      <c r="BC772" s="111"/>
      <c r="BD772" s="111"/>
      <c r="BE772" s="111"/>
      <c r="BF772" s="111"/>
      <c r="BG772" s="111"/>
      <c r="BH772" s="111"/>
      <c r="BI772" s="111"/>
      <c r="BJ772" s="111"/>
      <c r="BK772" s="111"/>
      <c r="BL772" s="111"/>
      <c r="BM772" s="111"/>
      <c r="BN772" s="111"/>
      <c r="BO772" s="111"/>
      <c r="BP772" s="111"/>
      <c r="BQ772" s="111"/>
      <c r="BR772" s="111"/>
      <c r="BS772" s="111"/>
      <c r="BT772" s="111"/>
      <c r="BU772" s="111"/>
      <c r="BV772" s="111"/>
    </row>
    <row r="773" spans="1:74" s="50" customFormat="1" ht="15" hidden="1" customHeight="1">
      <c r="A773" s="142">
        <v>769</v>
      </c>
      <c r="B773" s="252" t="s">
        <v>1545</v>
      </c>
      <c r="C773" s="253" t="s">
        <v>1546</v>
      </c>
      <c r="D773" s="143" t="s">
        <v>21</v>
      </c>
      <c r="E773" s="111"/>
      <c r="F773" s="111"/>
      <c r="G773" s="110">
        <v>43</v>
      </c>
      <c r="H773" s="3">
        <f t="shared" si="36"/>
        <v>0</v>
      </c>
      <c r="I773" s="3">
        <f t="shared" si="37"/>
        <v>0</v>
      </c>
      <c r="J773" s="110">
        <f t="shared" si="38"/>
        <v>43</v>
      </c>
      <c r="K773" s="110"/>
      <c r="L773" s="110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  <c r="AJ773" s="111"/>
      <c r="AK773" s="111"/>
      <c r="AL773" s="111"/>
      <c r="AM773" s="111"/>
      <c r="AN773" s="111"/>
      <c r="AO773" s="111"/>
      <c r="AP773" s="111"/>
      <c r="AQ773" s="111"/>
      <c r="AR773" s="111"/>
      <c r="AS773" s="111"/>
      <c r="AT773" s="111"/>
      <c r="AU773" s="111"/>
      <c r="AV773" s="111"/>
      <c r="AW773" s="111"/>
      <c r="AX773" s="111"/>
      <c r="AY773" s="111"/>
      <c r="AZ773" s="111"/>
      <c r="BA773" s="111"/>
      <c r="BB773" s="111"/>
      <c r="BC773" s="111"/>
      <c r="BD773" s="111"/>
      <c r="BE773" s="111"/>
      <c r="BF773" s="111"/>
      <c r="BG773" s="111"/>
      <c r="BH773" s="111"/>
      <c r="BI773" s="111"/>
      <c r="BJ773" s="111"/>
      <c r="BK773" s="111"/>
      <c r="BL773" s="111"/>
      <c r="BM773" s="111"/>
      <c r="BN773" s="111"/>
      <c r="BO773" s="111"/>
      <c r="BP773" s="111"/>
      <c r="BQ773" s="111"/>
      <c r="BR773" s="111"/>
      <c r="BS773" s="111"/>
      <c r="BT773" s="111"/>
      <c r="BU773" s="111"/>
      <c r="BV773" s="111"/>
    </row>
    <row r="774" spans="1:74" s="50" customFormat="1" ht="30" hidden="1" customHeight="1">
      <c r="A774" s="111">
        <v>770</v>
      </c>
      <c r="B774" s="4" t="s">
        <v>1547</v>
      </c>
      <c r="C774" s="277" t="s">
        <v>1548</v>
      </c>
      <c r="D774" s="3" t="s">
        <v>21</v>
      </c>
      <c r="E774" s="111"/>
      <c r="F774" s="111"/>
      <c r="G774" s="110">
        <v>2</v>
      </c>
      <c r="H774" s="3">
        <f t="shared" si="36"/>
        <v>0</v>
      </c>
      <c r="I774" s="3">
        <f t="shared" si="37"/>
        <v>0</v>
      </c>
      <c r="J774" s="110">
        <f t="shared" si="38"/>
        <v>2</v>
      </c>
      <c r="K774" s="110"/>
      <c r="L774" s="110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  <c r="AJ774" s="111"/>
      <c r="AK774" s="111"/>
      <c r="AL774" s="111"/>
      <c r="AM774" s="111"/>
      <c r="AN774" s="111"/>
      <c r="AO774" s="111"/>
      <c r="AP774" s="111"/>
      <c r="AQ774" s="111"/>
      <c r="AR774" s="111"/>
      <c r="AS774" s="111"/>
      <c r="AT774" s="111"/>
      <c r="AU774" s="111"/>
      <c r="AV774" s="111"/>
      <c r="AW774" s="111"/>
      <c r="AX774" s="111"/>
      <c r="AY774" s="111"/>
      <c r="AZ774" s="111"/>
      <c r="BA774" s="111"/>
      <c r="BB774" s="111"/>
      <c r="BC774" s="111"/>
      <c r="BD774" s="111"/>
      <c r="BE774" s="111"/>
      <c r="BF774" s="111"/>
      <c r="BG774" s="111"/>
      <c r="BH774" s="111"/>
      <c r="BI774" s="111"/>
      <c r="BJ774" s="111"/>
      <c r="BK774" s="111"/>
      <c r="BL774" s="111"/>
      <c r="BM774" s="111"/>
      <c r="BN774" s="111"/>
      <c r="BO774" s="111"/>
      <c r="BP774" s="111"/>
      <c r="BQ774" s="111"/>
      <c r="BR774" s="111"/>
      <c r="BS774" s="111"/>
      <c r="BT774" s="111"/>
      <c r="BU774" s="111"/>
      <c r="BV774" s="111"/>
    </row>
    <row r="775" spans="1:74" s="50" customFormat="1" ht="15" hidden="1" customHeight="1">
      <c r="A775" s="111">
        <v>771</v>
      </c>
      <c r="B775" s="4" t="s">
        <v>1549</v>
      </c>
      <c r="C775" s="19" t="s">
        <v>1550</v>
      </c>
      <c r="D775" s="3" t="s">
        <v>21</v>
      </c>
      <c r="E775" s="111"/>
      <c r="F775" s="111"/>
      <c r="G775" s="110">
        <v>4</v>
      </c>
      <c r="H775" s="3">
        <f t="shared" si="36"/>
        <v>0</v>
      </c>
      <c r="I775" s="3">
        <f t="shared" si="37"/>
        <v>0</v>
      </c>
      <c r="J775" s="110">
        <f t="shared" si="38"/>
        <v>4</v>
      </c>
      <c r="K775" s="110"/>
      <c r="L775" s="110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  <c r="AJ775" s="111"/>
      <c r="AK775" s="111"/>
      <c r="AL775" s="111"/>
      <c r="AM775" s="111"/>
      <c r="AN775" s="111"/>
      <c r="AO775" s="111"/>
      <c r="AP775" s="111"/>
      <c r="AQ775" s="111"/>
      <c r="AR775" s="111"/>
      <c r="AS775" s="111"/>
      <c r="AT775" s="111"/>
      <c r="AU775" s="111"/>
      <c r="AV775" s="111"/>
      <c r="AW775" s="111"/>
      <c r="AX775" s="111"/>
      <c r="AY775" s="111"/>
      <c r="AZ775" s="111"/>
      <c r="BA775" s="111"/>
      <c r="BB775" s="111"/>
      <c r="BC775" s="111"/>
      <c r="BD775" s="111"/>
      <c r="BE775" s="111"/>
      <c r="BF775" s="111"/>
      <c r="BG775" s="111"/>
      <c r="BH775" s="111"/>
      <c r="BI775" s="111"/>
      <c r="BJ775" s="111"/>
      <c r="BK775" s="111"/>
      <c r="BL775" s="111"/>
      <c r="BM775" s="111"/>
      <c r="BN775" s="111"/>
      <c r="BO775" s="111"/>
      <c r="BP775" s="111"/>
      <c r="BQ775" s="111"/>
      <c r="BR775" s="111"/>
      <c r="BS775" s="111"/>
      <c r="BT775" s="111"/>
      <c r="BU775" s="111"/>
      <c r="BV775" s="111"/>
    </row>
    <row r="776" spans="1:74" s="50" customFormat="1" ht="15" hidden="1" customHeight="1">
      <c r="A776" s="111">
        <v>772</v>
      </c>
      <c r="B776" s="4" t="s">
        <v>1551</v>
      </c>
      <c r="C776" s="19" t="s">
        <v>1552</v>
      </c>
      <c r="D776" s="3" t="s">
        <v>21</v>
      </c>
      <c r="E776" s="111"/>
      <c r="F776" s="111"/>
      <c r="G776" s="110">
        <v>7</v>
      </c>
      <c r="H776" s="3">
        <f t="shared" si="36"/>
        <v>0</v>
      </c>
      <c r="I776" s="3">
        <f t="shared" si="37"/>
        <v>0</v>
      </c>
      <c r="J776" s="110">
        <f t="shared" si="38"/>
        <v>7</v>
      </c>
      <c r="K776" s="110"/>
      <c r="L776" s="110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  <c r="AJ776" s="111"/>
      <c r="AK776" s="111"/>
      <c r="AL776" s="111"/>
      <c r="AM776" s="111"/>
      <c r="AN776" s="111"/>
      <c r="AO776" s="111"/>
      <c r="AP776" s="111"/>
      <c r="AQ776" s="111"/>
      <c r="AR776" s="111"/>
      <c r="AS776" s="111"/>
      <c r="AT776" s="111"/>
      <c r="AU776" s="111"/>
      <c r="AV776" s="111"/>
      <c r="AW776" s="111"/>
      <c r="AX776" s="111"/>
      <c r="AY776" s="111"/>
      <c r="AZ776" s="111"/>
      <c r="BA776" s="111"/>
      <c r="BB776" s="111"/>
      <c r="BC776" s="111"/>
      <c r="BD776" s="111"/>
      <c r="BE776" s="111"/>
      <c r="BF776" s="111"/>
      <c r="BG776" s="111"/>
      <c r="BH776" s="111"/>
      <c r="BI776" s="111"/>
      <c r="BJ776" s="111"/>
      <c r="BK776" s="111"/>
      <c r="BL776" s="111"/>
      <c r="BM776" s="111"/>
      <c r="BN776" s="111"/>
      <c r="BO776" s="111"/>
      <c r="BP776" s="111"/>
      <c r="BQ776" s="111"/>
      <c r="BR776" s="111"/>
      <c r="BS776" s="111"/>
      <c r="BT776" s="111"/>
      <c r="BU776" s="111"/>
      <c r="BV776" s="111"/>
    </row>
    <row r="777" spans="1:74" s="50" customFormat="1" ht="15" hidden="1" customHeight="1">
      <c r="A777" s="111">
        <v>773</v>
      </c>
      <c r="B777" s="4" t="s">
        <v>1553</v>
      </c>
      <c r="C777" s="19" t="s">
        <v>1554</v>
      </c>
      <c r="D777" s="3" t="s">
        <v>21</v>
      </c>
      <c r="E777" s="111"/>
      <c r="F777" s="111"/>
      <c r="G777" s="110">
        <v>4</v>
      </c>
      <c r="H777" s="3">
        <f t="shared" si="36"/>
        <v>0</v>
      </c>
      <c r="I777" s="3">
        <f t="shared" si="37"/>
        <v>0</v>
      </c>
      <c r="J777" s="110">
        <f t="shared" si="38"/>
        <v>4</v>
      </c>
      <c r="K777" s="110"/>
      <c r="L777" s="110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  <c r="AJ777" s="111"/>
      <c r="AK777" s="111"/>
      <c r="AL777" s="111"/>
      <c r="AM777" s="111"/>
      <c r="AN777" s="111"/>
      <c r="AO777" s="111"/>
      <c r="AP777" s="111"/>
      <c r="AQ777" s="111"/>
      <c r="AR777" s="111"/>
      <c r="AS777" s="111"/>
      <c r="AT777" s="111"/>
      <c r="AU777" s="111"/>
      <c r="AV777" s="111"/>
      <c r="AW777" s="111"/>
      <c r="AX777" s="111"/>
      <c r="AY777" s="111"/>
      <c r="AZ777" s="111"/>
      <c r="BA777" s="111"/>
      <c r="BB777" s="111"/>
      <c r="BC777" s="111"/>
      <c r="BD777" s="111"/>
      <c r="BE777" s="111"/>
      <c r="BF777" s="111"/>
      <c r="BG777" s="111"/>
      <c r="BH777" s="111"/>
      <c r="BI777" s="111"/>
      <c r="BJ777" s="111"/>
      <c r="BK777" s="111"/>
      <c r="BL777" s="111"/>
      <c r="BM777" s="111"/>
      <c r="BN777" s="111"/>
      <c r="BO777" s="111"/>
      <c r="BP777" s="111"/>
      <c r="BQ777" s="111"/>
      <c r="BR777" s="111"/>
      <c r="BS777" s="111"/>
      <c r="BT777" s="111"/>
      <c r="BU777" s="111"/>
      <c r="BV777" s="111"/>
    </row>
    <row r="778" spans="1:74" s="50" customFormat="1" ht="15" hidden="1" customHeight="1">
      <c r="A778" s="111">
        <v>774</v>
      </c>
      <c r="B778" s="342" t="s">
        <v>1555</v>
      </c>
      <c r="C778" s="19" t="s">
        <v>1556</v>
      </c>
      <c r="D778" s="3" t="s">
        <v>21</v>
      </c>
      <c r="E778" s="111"/>
      <c r="F778" s="111"/>
      <c r="G778" s="110">
        <v>0</v>
      </c>
      <c r="H778" s="3">
        <f t="shared" si="36"/>
        <v>0</v>
      </c>
      <c r="I778" s="3">
        <f t="shared" si="37"/>
        <v>0</v>
      </c>
      <c r="J778" s="110">
        <f t="shared" si="38"/>
        <v>0</v>
      </c>
      <c r="K778" s="110"/>
      <c r="L778" s="110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  <c r="AJ778" s="111"/>
      <c r="AK778" s="111"/>
      <c r="AL778" s="111"/>
      <c r="AM778" s="111"/>
      <c r="AN778" s="111"/>
      <c r="AO778" s="111"/>
      <c r="AP778" s="111"/>
      <c r="AQ778" s="111"/>
      <c r="AR778" s="111"/>
      <c r="AS778" s="111"/>
      <c r="AT778" s="111"/>
      <c r="AU778" s="111"/>
      <c r="AV778" s="111"/>
      <c r="AW778" s="111"/>
      <c r="AX778" s="111"/>
      <c r="AY778" s="111"/>
      <c r="AZ778" s="111"/>
      <c r="BA778" s="111"/>
      <c r="BB778" s="111"/>
      <c r="BC778" s="111"/>
      <c r="BD778" s="111"/>
      <c r="BE778" s="111"/>
      <c r="BF778" s="111"/>
      <c r="BG778" s="111"/>
      <c r="BH778" s="111"/>
      <c r="BI778" s="111"/>
      <c r="BJ778" s="111"/>
      <c r="BK778" s="111"/>
      <c r="BL778" s="111"/>
      <c r="BM778" s="111"/>
      <c r="BN778" s="111"/>
      <c r="BO778" s="111"/>
      <c r="BP778" s="111"/>
      <c r="BQ778" s="111"/>
      <c r="BR778" s="111"/>
      <c r="BS778" s="111"/>
      <c r="BT778" s="111"/>
      <c r="BU778" s="111"/>
      <c r="BV778" s="111"/>
    </row>
    <row r="779" spans="1:74" s="50" customFormat="1" ht="15" hidden="1" customHeight="1">
      <c r="A779" s="111">
        <v>775</v>
      </c>
      <c r="B779" s="4" t="s">
        <v>1557</v>
      </c>
      <c r="C779" s="19" t="s">
        <v>1558</v>
      </c>
      <c r="D779" s="3" t="s">
        <v>21</v>
      </c>
      <c r="E779" s="111"/>
      <c r="F779" s="111"/>
      <c r="G779" s="110">
        <v>2</v>
      </c>
      <c r="H779" s="3">
        <f t="shared" si="36"/>
        <v>0</v>
      </c>
      <c r="I779" s="3">
        <f t="shared" si="37"/>
        <v>0</v>
      </c>
      <c r="J779" s="110">
        <f t="shared" si="38"/>
        <v>2</v>
      </c>
      <c r="K779" s="110"/>
      <c r="L779" s="110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  <c r="AJ779" s="111"/>
      <c r="AK779" s="111"/>
      <c r="AL779" s="111"/>
      <c r="AM779" s="111"/>
      <c r="AN779" s="111"/>
      <c r="AO779" s="111"/>
      <c r="AP779" s="111"/>
      <c r="AQ779" s="111"/>
      <c r="AR779" s="111"/>
      <c r="AS779" s="111"/>
      <c r="AT779" s="111"/>
      <c r="AU779" s="111"/>
      <c r="AV779" s="111"/>
      <c r="AW779" s="111"/>
      <c r="AX779" s="111"/>
      <c r="AY779" s="111"/>
      <c r="AZ779" s="111"/>
      <c r="BA779" s="111"/>
      <c r="BB779" s="111"/>
      <c r="BC779" s="111"/>
      <c r="BD779" s="111"/>
      <c r="BE779" s="111"/>
      <c r="BF779" s="111"/>
      <c r="BG779" s="111"/>
      <c r="BH779" s="111"/>
      <c r="BI779" s="111"/>
      <c r="BJ779" s="111"/>
      <c r="BK779" s="111"/>
      <c r="BL779" s="111"/>
      <c r="BM779" s="111"/>
      <c r="BN779" s="111"/>
      <c r="BO779" s="111"/>
      <c r="BP779" s="111"/>
      <c r="BQ779" s="111"/>
      <c r="BR779" s="111"/>
      <c r="BS779" s="111"/>
      <c r="BT779" s="111"/>
      <c r="BU779" s="111"/>
      <c r="BV779" s="111"/>
    </row>
    <row r="780" spans="1:74" s="50" customFormat="1" ht="15" hidden="1" customHeight="1">
      <c r="A780" s="111">
        <v>776</v>
      </c>
      <c r="B780" s="4" t="s">
        <v>1559</v>
      </c>
      <c r="C780" s="19" t="s">
        <v>1560</v>
      </c>
      <c r="D780" s="3" t="s">
        <v>21</v>
      </c>
      <c r="E780" s="111"/>
      <c r="F780" s="111"/>
      <c r="G780" s="110">
        <v>5</v>
      </c>
      <c r="H780" s="3">
        <f t="shared" si="36"/>
        <v>0</v>
      </c>
      <c r="I780" s="3">
        <f t="shared" si="37"/>
        <v>0</v>
      </c>
      <c r="J780" s="110">
        <f t="shared" si="38"/>
        <v>5</v>
      </c>
      <c r="K780" s="110"/>
      <c r="L780" s="110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  <c r="AJ780" s="111"/>
      <c r="AK780" s="111"/>
      <c r="AL780" s="111"/>
      <c r="AM780" s="111"/>
      <c r="AN780" s="111"/>
      <c r="AO780" s="111"/>
      <c r="AP780" s="111"/>
      <c r="AQ780" s="111"/>
      <c r="AR780" s="111"/>
      <c r="AS780" s="111"/>
      <c r="AT780" s="111"/>
      <c r="AU780" s="111"/>
      <c r="AV780" s="111"/>
      <c r="AW780" s="111"/>
      <c r="AX780" s="111"/>
      <c r="AY780" s="111"/>
      <c r="AZ780" s="111"/>
      <c r="BA780" s="111"/>
      <c r="BB780" s="111"/>
      <c r="BC780" s="111"/>
      <c r="BD780" s="111"/>
      <c r="BE780" s="111"/>
      <c r="BF780" s="111"/>
      <c r="BG780" s="111"/>
      <c r="BH780" s="111"/>
      <c r="BI780" s="111"/>
      <c r="BJ780" s="111"/>
      <c r="BK780" s="111"/>
      <c r="BL780" s="111"/>
      <c r="BM780" s="111"/>
      <c r="BN780" s="111"/>
      <c r="BO780" s="111"/>
      <c r="BP780" s="111"/>
      <c r="BQ780" s="111"/>
      <c r="BR780" s="111"/>
      <c r="BS780" s="111"/>
      <c r="BT780" s="111"/>
      <c r="BU780" s="111"/>
      <c r="BV780" s="111"/>
    </row>
    <row r="781" spans="1:74" s="50" customFormat="1" ht="15" hidden="1" customHeight="1">
      <c r="A781" s="111">
        <v>777</v>
      </c>
      <c r="B781" s="4" t="s">
        <v>1561</v>
      </c>
      <c r="C781" s="20" t="s">
        <v>1562</v>
      </c>
      <c r="D781" s="3" t="s">
        <v>21</v>
      </c>
      <c r="E781" s="111"/>
      <c r="F781" s="111"/>
      <c r="G781" s="110">
        <v>2</v>
      </c>
      <c r="H781" s="3">
        <f t="shared" si="36"/>
        <v>0</v>
      </c>
      <c r="I781" s="3">
        <f t="shared" si="37"/>
        <v>0</v>
      </c>
      <c r="J781" s="110">
        <f t="shared" si="38"/>
        <v>2</v>
      </c>
      <c r="K781" s="110"/>
      <c r="L781" s="110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  <c r="AJ781" s="111"/>
      <c r="AK781" s="111"/>
      <c r="AL781" s="111"/>
      <c r="AM781" s="111"/>
      <c r="AN781" s="111"/>
      <c r="AO781" s="111"/>
      <c r="AP781" s="111"/>
      <c r="AQ781" s="111"/>
      <c r="AR781" s="111"/>
      <c r="AS781" s="111"/>
      <c r="AT781" s="111"/>
      <c r="AU781" s="111"/>
      <c r="AV781" s="111"/>
      <c r="AW781" s="111"/>
      <c r="AX781" s="111"/>
      <c r="AY781" s="111"/>
      <c r="AZ781" s="111"/>
      <c r="BA781" s="111"/>
      <c r="BB781" s="111"/>
      <c r="BC781" s="111"/>
      <c r="BD781" s="111"/>
      <c r="BE781" s="111"/>
      <c r="BF781" s="111"/>
      <c r="BG781" s="111"/>
      <c r="BH781" s="111"/>
      <c r="BI781" s="111"/>
      <c r="BJ781" s="111"/>
      <c r="BK781" s="111"/>
      <c r="BL781" s="111"/>
      <c r="BM781" s="111"/>
      <c r="BN781" s="111"/>
      <c r="BO781" s="111"/>
      <c r="BP781" s="111"/>
      <c r="BQ781" s="111"/>
      <c r="BR781" s="111"/>
      <c r="BS781" s="111"/>
      <c r="BT781" s="111"/>
      <c r="BU781" s="111"/>
      <c r="BV781" s="111"/>
    </row>
    <row r="782" spans="1:74" s="50" customFormat="1" ht="15" hidden="1" customHeight="1">
      <c r="A782" s="109">
        <v>778</v>
      </c>
      <c r="B782" s="112" t="s">
        <v>1563</v>
      </c>
      <c r="C782" s="115" t="s">
        <v>1564</v>
      </c>
      <c r="D782" s="26" t="s">
        <v>14</v>
      </c>
      <c r="E782" s="109"/>
      <c r="F782" s="109"/>
      <c r="G782" s="110">
        <v>1</v>
      </c>
      <c r="H782" s="3">
        <f t="shared" si="36"/>
        <v>0</v>
      </c>
      <c r="I782" s="3">
        <f t="shared" si="37"/>
        <v>0</v>
      </c>
      <c r="J782" s="110">
        <f t="shared" si="38"/>
        <v>1</v>
      </c>
      <c r="K782" s="110"/>
      <c r="L782" s="110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  <c r="AJ782" s="111"/>
      <c r="AK782" s="111"/>
      <c r="AL782" s="111"/>
      <c r="AM782" s="111"/>
      <c r="AN782" s="111"/>
      <c r="AO782" s="111"/>
      <c r="AP782" s="111"/>
      <c r="AQ782" s="111"/>
      <c r="AR782" s="111"/>
      <c r="AS782" s="111"/>
      <c r="AT782" s="111"/>
      <c r="AU782" s="111"/>
      <c r="AV782" s="111"/>
      <c r="AW782" s="111"/>
      <c r="AX782" s="111"/>
      <c r="AY782" s="111"/>
      <c r="AZ782" s="111"/>
      <c r="BA782" s="111"/>
      <c r="BB782" s="111"/>
      <c r="BC782" s="111"/>
      <c r="BD782" s="111"/>
      <c r="BE782" s="111"/>
      <c r="BF782" s="111"/>
      <c r="BG782" s="111"/>
      <c r="BH782" s="111"/>
      <c r="BI782" s="111"/>
      <c r="BJ782" s="111"/>
      <c r="BK782" s="111"/>
      <c r="BL782" s="111"/>
      <c r="BM782" s="111"/>
      <c r="BN782" s="111"/>
      <c r="BO782" s="111"/>
      <c r="BP782" s="111"/>
      <c r="BQ782" s="111"/>
      <c r="BR782" s="111"/>
      <c r="BS782" s="111"/>
      <c r="BT782" s="111"/>
      <c r="BU782" s="111"/>
      <c r="BV782" s="111"/>
    </row>
    <row r="783" spans="1:74" s="50" customFormat="1" ht="15" hidden="1" customHeight="1">
      <c r="A783" s="109">
        <v>779</v>
      </c>
      <c r="B783" s="112" t="s">
        <v>1565</v>
      </c>
      <c r="C783" s="115" t="s">
        <v>1566</v>
      </c>
      <c r="D783" s="26" t="s">
        <v>14</v>
      </c>
      <c r="E783" s="109"/>
      <c r="F783" s="109"/>
      <c r="G783" s="110">
        <v>0</v>
      </c>
      <c r="H783" s="3">
        <f t="shared" si="36"/>
        <v>0</v>
      </c>
      <c r="I783" s="3">
        <f t="shared" si="37"/>
        <v>0</v>
      </c>
      <c r="J783" s="110">
        <f t="shared" si="38"/>
        <v>0</v>
      </c>
      <c r="K783" s="110"/>
      <c r="L783" s="110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  <c r="AJ783" s="111"/>
      <c r="AK783" s="111"/>
      <c r="AL783" s="111"/>
      <c r="AM783" s="111"/>
      <c r="AN783" s="111"/>
      <c r="AO783" s="111"/>
      <c r="AP783" s="111"/>
      <c r="AQ783" s="111"/>
      <c r="AR783" s="111"/>
      <c r="AS783" s="111"/>
      <c r="AT783" s="111"/>
      <c r="AU783" s="111"/>
      <c r="AV783" s="111"/>
      <c r="AW783" s="111"/>
      <c r="AX783" s="111"/>
      <c r="AY783" s="111"/>
      <c r="AZ783" s="111"/>
      <c r="BA783" s="111"/>
      <c r="BB783" s="111"/>
      <c r="BC783" s="111"/>
      <c r="BD783" s="111"/>
      <c r="BE783" s="111"/>
      <c r="BF783" s="111"/>
      <c r="BG783" s="111"/>
      <c r="BH783" s="111"/>
      <c r="BI783" s="111"/>
      <c r="BJ783" s="111"/>
      <c r="BK783" s="111"/>
      <c r="BL783" s="111"/>
      <c r="BM783" s="111"/>
      <c r="BN783" s="111"/>
      <c r="BO783" s="111"/>
      <c r="BP783" s="111"/>
      <c r="BQ783" s="111"/>
      <c r="BR783" s="111"/>
      <c r="BS783" s="111"/>
      <c r="BT783" s="111"/>
      <c r="BU783" s="111"/>
      <c r="BV783" s="111"/>
    </row>
    <row r="784" spans="1:74" s="50" customFormat="1" ht="15" hidden="1" customHeight="1">
      <c r="A784" s="109">
        <v>780</v>
      </c>
      <c r="B784" s="112" t="s">
        <v>1567</v>
      </c>
      <c r="C784" s="115" t="s">
        <v>1568</v>
      </c>
      <c r="D784" s="26" t="s">
        <v>14</v>
      </c>
      <c r="E784" s="109"/>
      <c r="F784" s="109"/>
      <c r="G784" s="110">
        <v>1</v>
      </c>
      <c r="H784" s="3">
        <f t="shared" si="36"/>
        <v>0</v>
      </c>
      <c r="I784" s="3">
        <f t="shared" si="37"/>
        <v>0</v>
      </c>
      <c r="J784" s="110">
        <f t="shared" si="38"/>
        <v>1</v>
      </c>
      <c r="K784" s="110"/>
      <c r="L784" s="110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/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/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/>
      <c r="BP784" s="111"/>
      <c r="BQ784" s="111"/>
      <c r="BR784" s="111"/>
      <c r="BS784" s="111"/>
      <c r="BT784" s="111"/>
      <c r="BU784" s="111"/>
      <c r="BV784" s="111"/>
    </row>
    <row r="785" spans="1:74" s="50" customFormat="1" ht="15" hidden="1" customHeight="1">
      <c r="A785" s="109">
        <v>781</v>
      </c>
      <c r="B785" s="112" t="s">
        <v>1569</v>
      </c>
      <c r="C785" s="115" t="s">
        <v>1570</v>
      </c>
      <c r="D785" s="26" t="s">
        <v>14</v>
      </c>
      <c r="E785" s="109"/>
      <c r="F785" s="109"/>
      <c r="G785" s="110">
        <v>4</v>
      </c>
      <c r="H785" s="3">
        <f t="shared" si="36"/>
        <v>0</v>
      </c>
      <c r="I785" s="3">
        <f t="shared" si="37"/>
        <v>0</v>
      </c>
      <c r="J785" s="110">
        <f t="shared" si="38"/>
        <v>4</v>
      </c>
      <c r="K785" s="110"/>
      <c r="L785" s="110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/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/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/>
      <c r="BP785" s="111"/>
      <c r="BQ785" s="111"/>
      <c r="BR785" s="111"/>
      <c r="BS785" s="111"/>
      <c r="BT785" s="111"/>
      <c r="BU785" s="111"/>
      <c r="BV785" s="111"/>
    </row>
    <row r="786" spans="1:74" s="50" customFormat="1" ht="15" hidden="1" customHeight="1">
      <c r="A786" s="109">
        <v>782</v>
      </c>
      <c r="B786" s="112" t="s">
        <v>1571</v>
      </c>
      <c r="C786" s="115" t="s">
        <v>1572</v>
      </c>
      <c r="D786" s="26" t="s">
        <v>14</v>
      </c>
      <c r="E786" s="109"/>
      <c r="F786" s="109"/>
      <c r="G786" s="110">
        <v>2</v>
      </c>
      <c r="H786" s="3">
        <f t="shared" si="36"/>
        <v>0</v>
      </c>
      <c r="I786" s="3">
        <f t="shared" si="37"/>
        <v>0</v>
      </c>
      <c r="J786" s="110">
        <f t="shared" si="38"/>
        <v>2</v>
      </c>
      <c r="K786" s="110"/>
      <c r="L786" s="110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  <c r="AJ786" s="111"/>
      <c r="AK786" s="111"/>
      <c r="AL786" s="111"/>
      <c r="AM786" s="111"/>
      <c r="AN786" s="111"/>
      <c r="AO786" s="111"/>
      <c r="AP786" s="111"/>
      <c r="AQ786" s="111"/>
      <c r="AR786" s="111"/>
      <c r="AS786" s="111"/>
      <c r="AT786" s="111"/>
      <c r="AU786" s="111"/>
      <c r="AV786" s="111"/>
      <c r="AW786" s="111"/>
      <c r="AX786" s="111"/>
      <c r="AY786" s="111"/>
      <c r="AZ786" s="111"/>
      <c r="BA786" s="111"/>
      <c r="BB786" s="111"/>
      <c r="BC786" s="111"/>
      <c r="BD786" s="111"/>
      <c r="BE786" s="111"/>
      <c r="BF786" s="111"/>
      <c r="BG786" s="111"/>
      <c r="BH786" s="111"/>
      <c r="BI786" s="111"/>
      <c r="BJ786" s="111"/>
      <c r="BK786" s="111"/>
      <c r="BL786" s="111"/>
      <c r="BM786" s="111"/>
      <c r="BN786" s="111"/>
      <c r="BO786" s="111"/>
      <c r="BP786" s="111"/>
      <c r="BQ786" s="111"/>
      <c r="BR786" s="111"/>
      <c r="BS786" s="111"/>
      <c r="BT786" s="111"/>
      <c r="BU786" s="111"/>
      <c r="BV786" s="111"/>
    </row>
    <row r="787" spans="1:74" s="50" customFormat="1" ht="15" hidden="1" customHeight="1">
      <c r="A787" s="142">
        <v>783</v>
      </c>
      <c r="B787" s="252" t="s">
        <v>1573</v>
      </c>
      <c r="C787" s="253" t="s">
        <v>1574</v>
      </c>
      <c r="D787" s="143" t="s">
        <v>21</v>
      </c>
      <c r="E787" s="109"/>
      <c r="F787" s="109"/>
      <c r="G787" s="110">
        <v>82</v>
      </c>
      <c r="H787" s="3">
        <f t="shared" si="36"/>
        <v>0</v>
      </c>
      <c r="I787" s="3">
        <f t="shared" si="37"/>
        <v>80</v>
      </c>
      <c r="J787" s="110">
        <f t="shared" si="38"/>
        <v>2</v>
      </c>
      <c r="K787" s="110"/>
      <c r="L787" s="110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>
        <v>30</v>
      </c>
      <c r="AA787" s="111"/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>
        <f>49+1</f>
        <v>50</v>
      </c>
      <c r="AM787" s="111"/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/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/>
      <c r="BP787" s="111"/>
      <c r="BQ787" s="111"/>
      <c r="BR787" s="111"/>
      <c r="BS787" s="111"/>
      <c r="BT787" s="111"/>
      <c r="BU787" s="111"/>
      <c r="BV787" s="111"/>
    </row>
    <row r="788" spans="1:74" s="50" customFormat="1" ht="15" hidden="1" customHeight="1">
      <c r="A788" s="109">
        <v>784</v>
      </c>
      <c r="B788" s="112" t="s">
        <v>1575</v>
      </c>
      <c r="C788" s="113" t="s">
        <v>1576</v>
      </c>
      <c r="D788" s="26" t="s">
        <v>21</v>
      </c>
      <c r="E788" s="109"/>
      <c r="F788" s="109"/>
      <c r="G788" s="110">
        <v>14</v>
      </c>
      <c r="H788" s="3">
        <f t="shared" si="36"/>
        <v>0</v>
      </c>
      <c r="I788" s="3">
        <f t="shared" si="37"/>
        <v>0</v>
      </c>
      <c r="J788" s="110">
        <f t="shared" si="38"/>
        <v>14</v>
      </c>
      <c r="K788" s="110"/>
      <c r="L788" s="110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  <c r="AJ788" s="111"/>
      <c r="AK788" s="111"/>
      <c r="AL788" s="111"/>
      <c r="AM788" s="111"/>
      <c r="AN788" s="111"/>
      <c r="AO788" s="111"/>
      <c r="AP788" s="111"/>
      <c r="AQ788" s="111"/>
      <c r="AR788" s="111"/>
      <c r="AS788" s="111"/>
      <c r="AT788" s="111"/>
      <c r="AU788" s="111"/>
      <c r="AV788" s="111"/>
      <c r="AW788" s="111"/>
      <c r="AX788" s="111"/>
      <c r="AY788" s="111"/>
      <c r="AZ788" s="111"/>
      <c r="BA788" s="111"/>
      <c r="BB788" s="111"/>
      <c r="BC788" s="111"/>
      <c r="BD788" s="111"/>
      <c r="BE788" s="111"/>
      <c r="BF788" s="111"/>
      <c r="BG788" s="111"/>
      <c r="BH788" s="111"/>
      <c r="BI788" s="111"/>
      <c r="BJ788" s="111"/>
      <c r="BK788" s="111"/>
      <c r="BL788" s="111"/>
      <c r="BM788" s="111"/>
      <c r="BN788" s="111"/>
      <c r="BO788" s="111"/>
      <c r="BP788" s="111"/>
      <c r="BQ788" s="111"/>
      <c r="BR788" s="111"/>
      <c r="BS788" s="111"/>
      <c r="BT788" s="111"/>
      <c r="BU788" s="111"/>
      <c r="BV788" s="111"/>
    </row>
    <row r="789" spans="1:74" s="50" customFormat="1" ht="15" hidden="1" customHeight="1">
      <c r="A789" s="109">
        <v>785</v>
      </c>
      <c r="B789" s="116" t="s">
        <v>1577</v>
      </c>
      <c r="C789" s="113" t="s">
        <v>1578</v>
      </c>
      <c r="D789" s="26" t="s">
        <v>21</v>
      </c>
      <c r="E789" s="109"/>
      <c r="F789" s="109"/>
      <c r="G789" s="110">
        <v>0</v>
      </c>
      <c r="H789" s="3">
        <f t="shared" si="36"/>
        <v>0</v>
      </c>
      <c r="I789" s="3">
        <f t="shared" si="37"/>
        <v>0</v>
      </c>
      <c r="J789" s="110">
        <f t="shared" si="38"/>
        <v>0</v>
      </c>
      <c r="K789" s="110"/>
      <c r="L789" s="110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  <c r="AJ789" s="111"/>
      <c r="AK789" s="111"/>
      <c r="AL789" s="111"/>
      <c r="AM789" s="111"/>
      <c r="AN789" s="111"/>
      <c r="AO789" s="111"/>
      <c r="AP789" s="111"/>
      <c r="AQ789" s="111"/>
      <c r="AR789" s="111"/>
      <c r="AS789" s="111"/>
      <c r="AT789" s="111"/>
      <c r="AU789" s="111"/>
      <c r="AV789" s="111"/>
      <c r="AW789" s="111"/>
      <c r="AX789" s="111"/>
      <c r="AY789" s="111"/>
      <c r="AZ789" s="111"/>
      <c r="BA789" s="111"/>
      <c r="BB789" s="111"/>
      <c r="BC789" s="111"/>
      <c r="BD789" s="111"/>
      <c r="BE789" s="111"/>
      <c r="BF789" s="111"/>
      <c r="BG789" s="111"/>
      <c r="BH789" s="111"/>
      <c r="BI789" s="111"/>
      <c r="BJ789" s="111"/>
      <c r="BK789" s="111"/>
      <c r="BL789" s="111"/>
      <c r="BM789" s="111"/>
      <c r="BN789" s="111"/>
      <c r="BO789" s="111"/>
      <c r="BP789" s="111"/>
      <c r="BQ789" s="111"/>
      <c r="BR789" s="111"/>
      <c r="BS789" s="111"/>
      <c r="BT789" s="111"/>
      <c r="BU789" s="111"/>
      <c r="BV789" s="111"/>
    </row>
    <row r="790" spans="1:74" s="50" customFormat="1" ht="15" hidden="1" customHeight="1">
      <c r="A790" s="109">
        <v>786</v>
      </c>
      <c r="B790" s="112" t="s">
        <v>1579</v>
      </c>
      <c r="C790" s="149" t="s">
        <v>1580</v>
      </c>
      <c r="D790" s="26" t="s">
        <v>21</v>
      </c>
      <c r="E790" s="109"/>
      <c r="F790" s="109"/>
      <c r="G790" s="110">
        <v>0</v>
      </c>
      <c r="H790" s="3">
        <f t="shared" si="36"/>
        <v>0</v>
      </c>
      <c r="I790" s="3">
        <f t="shared" si="37"/>
        <v>0</v>
      </c>
      <c r="J790" s="110">
        <f t="shared" si="38"/>
        <v>0</v>
      </c>
      <c r="K790" s="110"/>
      <c r="L790" s="110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  <c r="AJ790" s="111"/>
      <c r="AK790" s="111"/>
      <c r="AL790" s="111"/>
      <c r="AM790" s="111"/>
      <c r="AN790" s="111"/>
      <c r="AO790" s="111"/>
      <c r="AP790" s="111"/>
      <c r="AQ790" s="111"/>
      <c r="AR790" s="111"/>
      <c r="AS790" s="111"/>
      <c r="AT790" s="111"/>
      <c r="AU790" s="111"/>
      <c r="AV790" s="111"/>
      <c r="AW790" s="111"/>
      <c r="AX790" s="111"/>
      <c r="AY790" s="111"/>
      <c r="AZ790" s="111"/>
      <c r="BA790" s="111"/>
      <c r="BB790" s="111"/>
      <c r="BC790" s="111"/>
      <c r="BD790" s="111"/>
      <c r="BE790" s="111"/>
      <c r="BF790" s="111"/>
      <c r="BG790" s="111"/>
      <c r="BH790" s="111"/>
      <c r="BI790" s="111"/>
      <c r="BJ790" s="111"/>
      <c r="BK790" s="111"/>
      <c r="BL790" s="111"/>
      <c r="BM790" s="111"/>
      <c r="BN790" s="111"/>
      <c r="BO790" s="111"/>
      <c r="BP790" s="111"/>
      <c r="BQ790" s="111"/>
      <c r="BR790" s="111"/>
      <c r="BS790" s="111"/>
      <c r="BT790" s="111"/>
      <c r="BU790" s="111"/>
      <c r="BV790" s="111"/>
    </row>
    <row r="791" spans="1:74" s="50" customFormat="1" ht="15" hidden="1" customHeight="1">
      <c r="A791" s="109">
        <v>787</v>
      </c>
      <c r="B791" s="112" t="s">
        <v>1581</v>
      </c>
      <c r="C791" s="149" t="s">
        <v>1582</v>
      </c>
      <c r="D791" s="26" t="s">
        <v>21</v>
      </c>
      <c r="E791" s="109"/>
      <c r="F791" s="109"/>
      <c r="G791" s="110">
        <v>1</v>
      </c>
      <c r="H791" s="3">
        <f t="shared" si="36"/>
        <v>0</v>
      </c>
      <c r="I791" s="3">
        <f t="shared" si="37"/>
        <v>0</v>
      </c>
      <c r="J791" s="110">
        <f t="shared" si="38"/>
        <v>1</v>
      </c>
      <c r="K791" s="110"/>
      <c r="L791" s="110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  <c r="AJ791" s="111"/>
      <c r="AK791" s="111"/>
      <c r="AL791" s="111"/>
      <c r="AM791" s="111"/>
      <c r="AN791" s="111"/>
      <c r="AO791" s="111"/>
      <c r="AP791" s="111"/>
      <c r="AQ791" s="111"/>
      <c r="AR791" s="111"/>
      <c r="AS791" s="111"/>
      <c r="AT791" s="111"/>
      <c r="AU791" s="111"/>
      <c r="AV791" s="111"/>
      <c r="AW791" s="111"/>
      <c r="AX791" s="111"/>
      <c r="AY791" s="111"/>
      <c r="AZ791" s="111"/>
      <c r="BA791" s="111"/>
      <c r="BB791" s="111"/>
      <c r="BC791" s="111"/>
      <c r="BD791" s="111"/>
      <c r="BE791" s="111"/>
      <c r="BF791" s="111"/>
      <c r="BG791" s="111"/>
      <c r="BH791" s="111"/>
      <c r="BI791" s="111"/>
      <c r="BJ791" s="111"/>
      <c r="BK791" s="111"/>
      <c r="BL791" s="111"/>
      <c r="BM791" s="111"/>
      <c r="BN791" s="111"/>
      <c r="BO791" s="111"/>
      <c r="BP791" s="111"/>
      <c r="BQ791" s="111"/>
      <c r="BR791" s="111"/>
      <c r="BS791" s="111"/>
      <c r="BT791" s="111"/>
      <c r="BU791" s="111"/>
      <c r="BV791" s="111"/>
    </row>
    <row r="792" spans="1:74" s="50" customFormat="1" ht="15" hidden="1" customHeight="1">
      <c r="A792" s="109">
        <v>788</v>
      </c>
      <c r="B792" s="112" t="s">
        <v>1583</v>
      </c>
      <c r="C792" s="141" t="s">
        <v>1584</v>
      </c>
      <c r="D792" s="26" t="s">
        <v>21</v>
      </c>
      <c r="E792" s="109"/>
      <c r="F792" s="109"/>
      <c r="G792" s="110">
        <v>1</v>
      </c>
      <c r="H792" s="3">
        <f t="shared" si="36"/>
        <v>0</v>
      </c>
      <c r="I792" s="3">
        <f t="shared" si="37"/>
        <v>0</v>
      </c>
      <c r="J792" s="110">
        <f t="shared" si="38"/>
        <v>1</v>
      </c>
      <c r="K792" s="110"/>
      <c r="L792" s="110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  <c r="AJ792" s="111"/>
      <c r="AK792" s="111"/>
      <c r="AL792" s="111"/>
      <c r="AM792" s="111"/>
      <c r="AN792" s="111"/>
      <c r="AO792" s="111"/>
      <c r="AP792" s="111"/>
      <c r="AQ792" s="111"/>
      <c r="AR792" s="111"/>
      <c r="AS792" s="111"/>
      <c r="AT792" s="111"/>
      <c r="AU792" s="111"/>
      <c r="AV792" s="111"/>
      <c r="AW792" s="111"/>
      <c r="AX792" s="111"/>
      <c r="AY792" s="111"/>
      <c r="AZ792" s="111"/>
      <c r="BA792" s="111"/>
      <c r="BB792" s="111"/>
      <c r="BC792" s="111"/>
      <c r="BD792" s="111"/>
      <c r="BE792" s="111"/>
      <c r="BF792" s="111"/>
      <c r="BG792" s="111"/>
      <c r="BH792" s="111"/>
      <c r="BI792" s="111"/>
      <c r="BJ792" s="111"/>
      <c r="BK792" s="111"/>
      <c r="BL792" s="111"/>
      <c r="BM792" s="111"/>
      <c r="BN792" s="111"/>
      <c r="BO792" s="111"/>
      <c r="BP792" s="111"/>
      <c r="BQ792" s="111"/>
      <c r="BR792" s="111"/>
      <c r="BS792" s="111"/>
      <c r="BT792" s="111"/>
      <c r="BU792" s="111"/>
      <c r="BV792" s="111"/>
    </row>
    <row r="793" spans="1:74" s="50" customFormat="1" ht="15" hidden="1" customHeight="1">
      <c r="A793" s="109">
        <v>789</v>
      </c>
      <c r="B793" s="112" t="s">
        <v>1585</v>
      </c>
      <c r="C793" s="115" t="s">
        <v>1586</v>
      </c>
      <c r="D793" s="26" t="s">
        <v>21</v>
      </c>
      <c r="E793" s="109"/>
      <c r="F793" s="109"/>
      <c r="G793" s="110">
        <v>0</v>
      </c>
      <c r="H793" s="3">
        <f t="shared" si="36"/>
        <v>0</v>
      </c>
      <c r="I793" s="3">
        <f t="shared" si="37"/>
        <v>0</v>
      </c>
      <c r="J793" s="110">
        <f t="shared" si="38"/>
        <v>0</v>
      </c>
      <c r="K793" s="110"/>
      <c r="L793" s="110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  <c r="AJ793" s="111"/>
      <c r="AK793" s="111"/>
      <c r="AL793" s="111"/>
      <c r="AM793" s="111"/>
      <c r="AN793" s="111"/>
      <c r="AO793" s="111"/>
      <c r="AP793" s="111"/>
      <c r="AQ793" s="111"/>
      <c r="AR793" s="111"/>
      <c r="AS793" s="111"/>
      <c r="AT793" s="111"/>
      <c r="AU793" s="111"/>
      <c r="AV793" s="111"/>
      <c r="AW793" s="111"/>
      <c r="AX793" s="111"/>
      <c r="AY793" s="111"/>
      <c r="AZ793" s="111"/>
      <c r="BA793" s="111"/>
      <c r="BB793" s="111"/>
      <c r="BC793" s="111"/>
      <c r="BD793" s="111"/>
      <c r="BE793" s="111"/>
      <c r="BF793" s="111"/>
      <c r="BG793" s="111"/>
      <c r="BH793" s="111"/>
      <c r="BI793" s="111"/>
      <c r="BJ793" s="111"/>
      <c r="BK793" s="111"/>
      <c r="BL793" s="111"/>
      <c r="BM793" s="111"/>
      <c r="BN793" s="111"/>
      <c r="BO793" s="111"/>
      <c r="BP793" s="111"/>
      <c r="BQ793" s="111"/>
      <c r="BR793" s="111"/>
      <c r="BS793" s="111"/>
      <c r="BT793" s="111"/>
      <c r="BU793" s="111"/>
      <c r="BV793" s="111"/>
    </row>
    <row r="794" spans="1:74" s="50" customFormat="1" ht="15" hidden="1" customHeight="1">
      <c r="A794" s="109">
        <v>790</v>
      </c>
      <c r="B794" s="112" t="s">
        <v>1587</v>
      </c>
      <c r="C794" s="115" t="s">
        <v>1588</v>
      </c>
      <c r="D794" s="26" t="s">
        <v>21</v>
      </c>
      <c r="E794" s="109"/>
      <c r="F794" s="109"/>
      <c r="G794" s="110">
        <v>0</v>
      </c>
      <c r="H794" s="3">
        <f t="shared" si="36"/>
        <v>0</v>
      </c>
      <c r="I794" s="3">
        <f t="shared" si="37"/>
        <v>0</v>
      </c>
      <c r="J794" s="110">
        <f t="shared" si="38"/>
        <v>0</v>
      </c>
      <c r="K794" s="110"/>
      <c r="L794" s="110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  <c r="AJ794" s="111"/>
      <c r="AK794" s="111"/>
      <c r="AL794" s="111"/>
      <c r="AM794" s="111"/>
      <c r="AN794" s="111"/>
      <c r="AO794" s="111"/>
      <c r="AP794" s="111"/>
      <c r="AQ794" s="111"/>
      <c r="AR794" s="111"/>
      <c r="AS794" s="111"/>
      <c r="AT794" s="111"/>
      <c r="AU794" s="111"/>
      <c r="AV794" s="111"/>
      <c r="AW794" s="111"/>
      <c r="AX794" s="111"/>
      <c r="AY794" s="111"/>
      <c r="AZ794" s="111"/>
      <c r="BA794" s="111"/>
      <c r="BB794" s="111"/>
      <c r="BC794" s="111"/>
      <c r="BD794" s="111"/>
      <c r="BE794" s="111"/>
      <c r="BF794" s="111"/>
      <c r="BG794" s="111"/>
      <c r="BH794" s="111"/>
      <c r="BI794" s="111"/>
      <c r="BJ794" s="111"/>
      <c r="BK794" s="111"/>
      <c r="BL794" s="111"/>
      <c r="BM794" s="111"/>
      <c r="BN794" s="111"/>
      <c r="BO794" s="111"/>
      <c r="BP794" s="111"/>
      <c r="BQ794" s="111"/>
      <c r="BR794" s="111"/>
      <c r="BS794" s="111"/>
      <c r="BT794" s="111"/>
      <c r="BU794" s="111"/>
      <c r="BV794" s="111"/>
    </row>
    <row r="795" spans="1:74" s="50" customFormat="1" ht="15" hidden="1" customHeight="1">
      <c r="A795" s="109">
        <v>791</v>
      </c>
      <c r="B795" s="112" t="s">
        <v>1589</v>
      </c>
      <c r="C795" s="115" t="s">
        <v>1590</v>
      </c>
      <c r="D795" s="26" t="s">
        <v>21</v>
      </c>
      <c r="E795" s="109"/>
      <c r="F795" s="109"/>
      <c r="G795" s="110">
        <v>0</v>
      </c>
      <c r="H795" s="3">
        <f t="shared" si="36"/>
        <v>0</v>
      </c>
      <c r="I795" s="3">
        <f t="shared" si="37"/>
        <v>0</v>
      </c>
      <c r="J795" s="110">
        <f t="shared" si="38"/>
        <v>0</v>
      </c>
      <c r="K795" s="110"/>
      <c r="L795" s="110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  <c r="AJ795" s="111"/>
      <c r="AK795" s="111"/>
      <c r="AL795" s="111"/>
      <c r="AM795" s="111"/>
      <c r="AN795" s="111"/>
      <c r="AO795" s="111"/>
      <c r="AP795" s="111"/>
      <c r="AQ795" s="111"/>
      <c r="AR795" s="111"/>
      <c r="AS795" s="111"/>
      <c r="AT795" s="111"/>
      <c r="AU795" s="111"/>
      <c r="AV795" s="111"/>
      <c r="AW795" s="111"/>
      <c r="AX795" s="111"/>
      <c r="AY795" s="111"/>
      <c r="AZ795" s="111"/>
      <c r="BA795" s="111"/>
      <c r="BB795" s="111"/>
      <c r="BC795" s="111"/>
      <c r="BD795" s="111"/>
      <c r="BE795" s="111"/>
      <c r="BF795" s="111"/>
      <c r="BG795" s="111"/>
      <c r="BH795" s="111"/>
      <c r="BI795" s="111"/>
      <c r="BJ795" s="111"/>
      <c r="BK795" s="111"/>
      <c r="BL795" s="111"/>
      <c r="BM795" s="111"/>
      <c r="BN795" s="111"/>
      <c r="BO795" s="111"/>
      <c r="BP795" s="111"/>
      <c r="BQ795" s="111"/>
      <c r="BR795" s="111"/>
      <c r="BS795" s="111"/>
      <c r="BT795" s="111"/>
      <c r="BU795" s="111"/>
      <c r="BV795" s="111"/>
    </row>
    <row r="796" spans="1:74" s="50" customFormat="1" ht="15.75" hidden="1" customHeight="1">
      <c r="A796" s="109">
        <v>792</v>
      </c>
      <c r="B796" s="112" t="s">
        <v>1591</v>
      </c>
      <c r="C796" s="115" t="s">
        <v>1592</v>
      </c>
      <c r="D796" s="26" t="s">
        <v>21</v>
      </c>
      <c r="E796" s="109"/>
      <c r="F796" s="109"/>
      <c r="G796" s="110">
        <v>0</v>
      </c>
      <c r="H796" s="3">
        <f t="shared" si="36"/>
        <v>0</v>
      </c>
      <c r="I796" s="3">
        <f t="shared" si="37"/>
        <v>0</v>
      </c>
      <c r="J796" s="110">
        <f t="shared" si="38"/>
        <v>0</v>
      </c>
      <c r="K796" s="110"/>
      <c r="L796" s="110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  <c r="AJ796" s="111"/>
      <c r="AK796" s="111"/>
      <c r="AL796" s="111"/>
      <c r="AM796" s="111"/>
      <c r="AN796" s="111"/>
      <c r="AO796" s="111"/>
      <c r="AP796" s="111"/>
      <c r="AQ796" s="111"/>
      <c r="AR796" s="111"/>
      <c r="AS796" s="111"/>
      <c r="AT796" s="111"/>
      <c r="AU796" s="111"/>
      <c r="AV796" s="111"/>
      <c r="AW796" s="111"/>
      <c r="AX796" s="111"/>
      <c r="AY796" s="111"/>
      <c r="AZ796" s="111"/>
      <c r="BA796" s="111"/>
      <c r="BB796" s="111"/>
      <c r="BC796" s="111"/>
      <c r="BD796" s="111"/>
      <c r="BE796" s="111"/>
      <c r="BF796" s="111"/>
      <c r="BG796" s="111"/>
      <c r="BH796" s="111"/>
      <c r="BI796" s="111"/>
      <c r="BJ796" s="111"/>
      <c r="BK796" s="111"/>
      <c r="BL796" s="111"/>
      <c r="BM796" s="111"/>
      <c r="BN796" s="111"/>
      <c r="BO796" s="111"/>
      <c r="BP796" s="111"/>
      <c r="BQ796" s="111"/>
      <c r="BR796" s="111"/>
      <c r="BS796" s="111"/>
      <c r="BT796" s="111"/>
      <c r="BU796" s="111"/>
      <c r="BV796" s="111"/>
    </row>
    <row r="797" spans="1:74" s="50" customFormat="1" ht="30" hidden="1" customHeight="1">
      <c r="A797" s="109">
        <v>793</v>
      </c>
      <c r="B797" s="112" t="s">
        <v>1593</v>
      </c>
      <c r="C797" s="149" t="s">
        <v>1594</v>
      </c>
      <c r="D797" s="26" t="s">
        <v>21</v>
      </c>
      <c r="E797" s="109"/>
      <c r="F797" s="109"/>
      <c r="G797" s="110">
        <v>1</v>
      </c>
      <c r="H797" s="3">
        <f t="shared" si="36"/>
        <v>0</v>
      </c>
      <c r="I797" s="3">
        <f t="shared" si="37"/>
        <v>0</v>
      </c>
      <c r="J797" s="110">
        <f t="shared" si="38"/>
        <v>1</v>
      </c>
      <c r="K797" s="110"/>
      <c r="L797" s="110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  <c r="AJ797" s="111"/>
      <c r="AK797" s="111"/>
      <c r="AL797" s="111"/>
      <c r="AM797" s="111"/>
      <c r="AN797" s="111"/>
      <c r="AO797" s="111"/>
      <c r="AP797" s="111"/>
      <c r="AQ797" s="111"/>
      <c r="AR797" s="111"/>
      <c r="AS797" s="111"/>
      <c r="AT797" s="111"/>
      <c r="AU797" s="111"/>
      <c r="AV797" s="111"/>
      <c r="AW797" s="111"/>
      <c r="AX797" s="111"/>
      <c r="AY797" s="111"/>
      <c r="AZ797" s="111"/>
      <c r="BA797" s="111"/>
      <c r="BB797" s="111"/>
      <c r="BC797" s="111"/>
      <c r="BD797" s="111"/>
      <c r="BE797" s="111"/>
      <c r="BF797" s="111"/>
      <c r="BG797" s="111"/>
      <c r="BH797" s="111"/>
      <c r="BI797" s="111"/>
      <c r="BJ797" s="111"/>
      <c r="BK797" s="111"/>
      <c r="BL797" s="111"/>
      <c r="BM797" s="111"/>
      <c r="BN797" s="111"/>
      <c r="BO797" s="111"/>
      <c r="BP797" s="111"/>
      <c r="BQ797" s="111"/>
      <c r="BR797" s="111"/>
      <c r="BS797" s="111"/>
      <c r="BT797" s="111"/>
      <c r="BU797" s="111"/>
      <c r="BV797" s="111"/>
    </row>
    <row r="798" spans="1:74" s="50" customFormat="1" ht="30" hidden="1" customHeight="1">
      <c r="A798" s="109">
        <v>794</v>
      </c>
      <c r="B798" s="112" t="s">
        <v>1595</v>
      </c>
      <c r="C798" s="149" t="s">
        <v>1596</v>
      </c>
      <c r="D798" s="26" t="s">
        <v>21</v>
      </c>
      <c r="E798" s="109"/>
      <c r="F798" s="109"/>
      <c r="G798" s="110">
        <v>1</v>
      </c>
      <c r="H798" s="3">
        <f t="shared" si="36"/>
        <v>0</v>
      </c>
      <c r="I798" s="3">
        <f t="shared" si="37"/>
        <v>0</v>
      </c>
      <c r="J798" s="110">
        <f t="shared" si="38"/>
        <v>1</v>
      </c>
      <c r="K798" s="110"/>
      <c r="L798" s="110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  <c r="AI798" s="111"/>
      <c r="AJ798" s="111"/>
      <c r="AK798" s="111"/>
      <c r="AL798" s="111"/>
      <c r="AM798" s="111"/>
      <c r="AN798" s="111"/>
      <c r="AO798" s="111"/>
      <c r="AP798" s="111"/>
      <c r="AQ798" s="111"/>
      <c r="AR798" s="111"/>
      <c r="AS798" s="111"/>
      <c r="AT798" s="111"/>
      <c r="AU798" s="111"/>
      <c r="AV798" s="111"/>
      <c r="AW798" s="111"/>
      <c r="AX798" s="111"/>
      <c r="AY798" s="111"/>
      <c r="AZ798" s="111"/>
      <c r="BA798" s="111"/>
      <c r="BB798" s="111"/>
      <c r="BC798" s="111"/>
      <c r="BD798" s="111"/>
      <c r="BE798" s="111"/>
      <c r="BF798" s="111"/>
      <c r="BG798" s="111"/>
      <c r="BH798" s="111"/>
      <c r="BI798" s="111"/>
      <c r="BJ798" s="111"/>
      <c r="BK798" s="111"/>
      <c r="BL798" s="111"/>
      <c r="BM798" s="111"/>
      <c r="BN798" s="111"/>
      <c r="BO798" s="111"/>
      <c r="BP798" s="111"/>
      <c r="BQ798" s="111"/>
      <c r="BR798" s="111"/>
      <c r="BS798" s="111"/>
      <c r="BT798" s="111"/>
      <c r="BU798" s="111"/>
      <c r="BV798" s="111"/>
    </row>
    <row r="799" spans="1:74" s="50" customFormat="1" ht="15" hidden="1" customHeight="1">
      <c r="A799" s="109">
        <v>795</v>
      </c>
      <c r="B799" s="112" t="s">
        <v>1597</v>
      </c>
      <c r="C799" s="115" t="s">
        <v>1598</v>
      </c>
      <c r="D799" s="26" t="s">
        <v>21</v>
      </c>
      <c r="E799" s="109"/>
      <c r="F799" s="109"/>
      <c r="G799" s="110">
        <v>0</v>
      </c>
      <c r="H799" s="3">
        <f t="shared" si="36"/>
        <v>0</v>
      </c>
      <c r="I799" s="3">
        <f t="shared" si="37"/>
        <v>0</v>
      </c>
      <c r="J799" s="110">
        <f t="shared" si="38"/>
        <v>0</v>
      </c>
      <c r="K799" s="110"/>
      <c r="L799" s="110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  <c r="AI799" s="111"/>
      <c r="AJ799" s="111"/>
      <c r="AK799" s="111"/>
      <c r="AL799" s="111"/>
      <c r="AM799" s="111"/>
      <c r="AN799" s="111"/>
      <c r="AO799" s="111"/>
      <c r="AP799" s="111"/>
      <c r="AQ799" s="111"/>
      <c r="AR799" s="111"/>
      <c r="AS799" s="111"/>
      <c r="AT799" s="111"/>
      <c r="AU799" s="111"/>
      <c r="AV799" s="111"/>
      <c r="AW799" s="111"/>
      <c r="AX799" s="111"/>
      <c r="AY799" s="111"/>
      <c r="AZ799" s="111"/>
      <c r="BA799" s="111"/>
      <c r="BB799" s="111"/>
      <c r="BC799" s="111"/>
      <c r="BD799" s="111"/>
      <c r="BE799" s="111"/>
      <c r="BF799" s="111"/>
      <c r="BG799" s="111"/>
      <c r="BH799" s="111"/>
      <c r="BI799" s="111"/>
      <c r="BJ799" s="111"/>
      <c r="BK799" s="111"/>
      <c r="BL799" s="111"/>
      <c r="BM799" s="111"/>
      <c r="BN799" s="111"/>
      <c r="BO799" s="111"/>
      <c r="BP799" s="111"/>
      <c r="BQ799" s="111"/>
      <c r="BR799" s="111"/>
      <c r="BS799" s="111"/>
      <c r="BT799" s="111"/>
      <c r="BU799" s="111"/>
      <c r="BV799" s="111"/>
    </row>
    <row r="800" spans="1:74" s="50" customFormat="1" ht="30" hidden="1" customHeight="1">
      <c r="A800" s="109">
        <v>796</v>
      </c>
      <c r="B800" s="112" t="s">
        <v>1599</v>
      </c>
      <c r="C800" s="129" t="s">
        <v>1600</v>
      </c>
      <c r="D800" s="26" t="s">
        <v>21</v>
      </c>
      <c r="E800" s="109"/>
      <c r="F800" s="109"/>
      <c r="G800" s="110">
        <v>2</v>
      </c>
      <c r="H800" s="3">
        <f t="shared" si="36"/>
        <v>0</v>
      </c>
      <c r="I800" s="3">
        <f t="shared" si="37"/>
        <v>0</v>
      </c>
      <c r="J800" s="110">
        <f t="shared" si="38"/>
        <v>2</v>
      </c>
      <c r="K800" s="110"/>
      <c r="L800" s="110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  <c r="AI800" s="111"/>
      <c r="AJ800" s="111"/>
      <c r="AK800" s="111"/>
      <c r="AL800" s="111"/>
      <c r="AM800" s="111"/>
      <c r="AN800" s="111"/>
      <c r="AO800" s="111"/>
      <c r="AP800" s="111"/>
      <c r="AQ800" s="111"/>
      <c r="AR800" s="111"/>
      <c r="AS800" s="111"/>
      <c r="AT800" s="111"/>
      <c r="AU800" s="111"/>
      <c r="AV800" s="111"/>
      <c r="AW800" s="111"/>
      <c r="AX800" s="111"/>
      <c r="AY800" s="111"/>
      <c r="AZ800" s="111"/>
      <c r="BA800" s="111"/>
      <c r="BB800" s="111"/>
      <c r="BC800" s="111"/>
      <c r="BD800" s="111"/>
      <c r="BE800" s="111"/>
      <c r="BF800" s="111"/>
      <c r="BG800" s="111"/>
      <c r="BH800" s="111"/>
      <c r="BI800" s="111"/>
      <c r="BJ800" s="111"/>
      <c r="BK800" s="111"/>
      <c r="BL800" s="111"/>
      <c r="BM800" s="111"/>
      <c r="BN800" s="111"/>
      <c r="BO800" s="111"/>
      <c r="BP800" s="111"/>
      <c r="BQ800" s="111"/>
      <c r="BR800" s="111"/>
      <c r="BS800" s="111"/>
      <c r="BT800" s="111"/>
      <c r="BU800" s="111"/>
      <c r="BV800" s="111"/>
    </row>
    <row r="801" spans="1:74" s="50" customFormat="1" ht="15" hidden="1" customHeight="1">
      <c r="A801" s="109">
        <v>797</v>
      </c>
      <c r="B801" s="116" t="s">
        <v>1601</v>
      </c>
      <c r="C801" s="115" t="s">
        <v>1602</v>
      </c>
      <c r="D801" s="26" t="s">
        <v>21</v>
      </c>
      <c r="E801" s="109"/>
      <c r="F801" s="109"/>
      <c r="G801" s="110">
        <v>1</v>
      </c>
      <c r="H801" s="3">
        <f t="shared" si="36"/>
        <v>0</v>
      </c>
      <c r="I801" s="3">
        <f t="shared" si="37"/>
        <v>0</v>
      </c>
      <c r="J801" s="110">
        <f t="shared" si="38"/>
        <v>1</v>
      </c>
      <c r="K801" s="110"/>
      <c r="L801" s="110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  <c r="AI801" s="111"/>
      <c r="AJ801" s="111"/>
      <c r="AK801" s="111"/>
      <c r="AL801" s="111"/>
      <c r="AM801" s="111"/>
      <c r="AN801" s="111"/>
      <c r="AO801" s="111"/>
      <c r="AP801" s="111"/>
      <c r="AQ801" s="111"/>
      <c r="AR801" s="111"/>
      <c r="AS801" s="111"/>
      <c r="AT801" s="111"/>
      <c r="AU801" s="111"/>
      <c r="AV801" s="111"/>
      <c r="AW801" s="111"/>
      <c r="AX801" s="111"/>
      <c r="AY801" s="111"/>
      <c r="AZ801" s="111"/>
      <c r="BA801" s="111"/>
      <c r="BB801" s="111"/>
      <c r="BC801" s="111"/>
      <c r="BD801" s="111"/>
      <c r="BE801" s="111"/>
      <c r="BF801" s="111"/>
      <c r="BG801" s="111"/>
      <c r="BH801" s="111"/>
      <c r="BI801" s="111"/>
      <c r="BJ801" s="111"/>
      <c r="BK801" s="111"/>
      <c r="BL801" s="111"/>
      <c r="BM801" s="111"/>
      <c r="BN801" s="111"/>
      <c r="BO801" s="111"/>
      <c r="BP801" s="111"/>
      <c r="BQ801" s="111"/>
      <c r="BR801" s="111"/>
      <c r="BS801" s="111"/>
      <c r="BT801" s="111"/>
      <c r="BU801" s="111"/>
      <c r="BV801" s="111"/>
    </row>
    <row r="802" spans="1:74" s="50" customFormat="1" ht="15" hidden="1" customHeight="1">
      <c r="A802" s="109">
        <v>798</v>
      </c>
      <c r="B802" s="112" t="s">
        <v>1603</v>
      </c>
      <c r="C802" s="115" t="s">
        <v>1604</v>
      </c>
      <c r="D802" s="26" t="s">
        <v>21</v>
      </c>
      <c r="E802" s="109"/>
      <c r="F802" s="109"/>
      <c r="G802" s="110">
        <v>0</v>
      </c>
      <c r="H802" s="3">
        <f t="shared" si="36"/>
        <v>0</v>
      </c>
      <c r="I802" s="3">
        <f t="shared" si="37"/>
        <v>0</v>
      </c>
      <c r="J802" s="110">
        <f t="shared" si="38"/>
        <v>0</v>
      </c>
      <c r="K802" s="110"/>
      <c r="L802" s="110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  <c r="AI802" s="111"/>
      <c r="AJ802" s="111"/>
      <c r="AK802" s="111"/>
      <c r="AL802" s="111"/>
      <c r="AM802" s="111"/>
      <c r="AN802" s="111"/>
      <c r="AO802" s="111"/>
      <c r="AP802" s="111"/>
      <c r="AQ802" s="111"/>
      <c r="AR802" s="111"/>
      <c r="AS802" s="111"/>
      <c r="AT802" s="111"/>
      <c r="AU802" s="111"/>
      <c r="AV802" s="111"/>
      <c r="AW802" s="111"/>
      <c r="AX802" s="111"/>
      <c r="AY802" s="111"/>
      <c r="AZ802" s="111"/>
      <c r="BA802" s="111"/>
      <c r="BB802" s="111"/>
      <c r="BC802" s="111"/>
      <c r="BD802" s="111"/>
      <c r="BE802" s="111"/>
      <c r="BF802" s="111"/>
      <c r="BG802" s="111"/>
      <c r="BH802" s="111"/>
      <c r="BI802" s="111"/>
      <c r="BJ802" s="111"/>
      <c r="BK802" s="111"/>
      <c r="BL802" s="111"/>
      <c r="BM802" s="111"/>
      <c r="BN802" s="111"/>
      <c r="BO802" s="111"/>
      <c r="BP802" s="111"/>
      <c r="BQ802" s="111"/>
      <c r="BR802" s="111"/>
      <c r="BS802" s="111"/>
      <c r="BT802" s="111"/>
      <c r="BU802" s="111"/>
      <c r="BV802" s="111"/>
    </row>
    <row r="803" spans="1:74" s="50" customFormat="1" ht="30" hidden="1" customHeight="1">
      <c r="A803" s="109">
        <v>799</v>
      </c>
      <c r="B803" s="112" t="s">
        <v>1605</v>
      </c>
      <c r="C803" s="129" t="s">
        <v>1606</v>
      </c>
      <c r="D803" s="26" t="s">
        <v>21</v>
      </c>
      <c r="E803" s="109"/>
      <c r="F803" s="109"/>
      <c r="G803" s="110">
        <v>0</v>
      </c>
      <c r="H803" s="3">
        <f t="shared" si="36"/>
        <v>0</v>
      </c>
      <c r="I803" s="3">
        <f t="shared" si="37"/>
        <v>0</v>
      </c>
      <c r="J803" s="110">
        <f t="shared" si="38"/>
        <v>0</v>
      </c>
      <c r="K803" s="110"/>
      <c r="L803" s="110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  <c r="AI803" s="111"/>
      <c r="AJ803" s="111"/>
      <c r="AK803" s="111"/>
      <c r="AL803" s="111"/>
      <c r="AM803" s="111"/>
      <c r="AN803" s="111"/>
      <c r="AO803" s="111"/>
      <c r="AP803" s="111"/>
      <c r="AQ803" s="111"/>
      <c r="AR803" s="111"/>
      <c r="AS803" s="111"/>
      <c r="AT803" s="111"/>
      <c r="AU803" s="111"/>
      <c r="AV803" s="111"/>
      <c r="AW803" s="111"/>
      <c r="AX803" s="111"/>
      <c r="AY803" s="111"/>
      <c r="AZ803" s="111"/>
      <c r="BA803" s="111"/>
      <c r="BB803" s="111"/>
      <c r="BC803" s="111"/>
      <c r="BD803" s="111"/>
      <c r="BE803" s="111"/>
      <c r="BF803" s="111"/>
      <c r="BG803" s="111"/>
      <c r="BH803" s="111"/>
      <c r="BI803" s="111"/>
      <c r="BJ803" s="111"/>
      <c r="BK803" s="111"/>
      <c r="BL803" s="111"/>
      <c r="BM803" s="111"/>
      <c r="BN803" s="111"/>
      <c r="BO803" s="111"/>
      <c r="BP803" s="111"/>
      <c r="BQ803" s="111"/>
      <c r="BR803" s="111"/>
      <c r="BS803" s="111"/>
      <c r="BT803" s="111"/>
      <c r="BU803" s="111"/>
      <c r="BV803" s="111"/>
    </row>
    <row r="804" spans="1:74" s="50" customFormat="1" ht="30" hidden="1" customHeight="1">
      <c r="A804" s="109">
        <v>800</v>
      </c>
      <c r="B804" s="112" t="s">
        <v>1607</v>
      </c>
      <c r="C804" s="129" t="s">
        <v>1608</v>
      </c>
      <c r="D804" s="26" t="s">
        <v>21</v>
      </c>
      <c r="E804" s="109"/>
      <c r="F804" s="109"/>
      <c r="G804" s="110">
        <v>0</v>
      </c>
      <c r="H804" s="3">
        <f t="shared" si="36"/>
        <v>0</v>
      </c>
      <c r="I804" s="3">
        <f t="shared" si="37"/>
        <v>0</v>
      </c>
      <c r="J804" s="110">
        <f t="shared" si="38"/>
        <v>0</v>
      </c>
      <c r="K804" s="110"/>
      <c r="L804" s="110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  <c r="AI804" s="111"/>
      <c r="AJ804" s="111"/>
      <c r="AK804" s="111"/>
      <c r="AL804" s="111"/>
      <c r="AM804" s="111"/>
      <c r="AN804" s="111"/>
      <c r="AO804" s="111"/>
      <c r="AP804" s="111"/>
      <c r="AQ804" s="111"/>
      <c r="AR804" s="111"/>
      <c r="AS804" s="111"/>
      <c r="AT804" s="111"/>
      <c r="AU804" s="111"/>
      <c r="AV804" s="111"/>
      <c r="AW804" s="111"/>
      <c r="AX804" s="111"/>
      <c r="AY804" s="111"/>
      <c r="AZ804" s="111"/>
      <c r="BA804" s="111"/>
      <c r="BB804" s="111"/>
      <c r="BC804" s="111"/>
      <c r="BD804" s="111"/>
      <c r="BE804" s="111"/>
      <c r="BF804" s="111"/>
      <c r="BG804" s="111"/>
      <c r="BH804" s="111"/>
      <c r="BI804" s="111"/>
      <c r="BJ804" s="111"/>
      <c r="BK804" s="111"/>
      <c r="BL804" s="111"/>
      <c r="BM804" s="111"/>
      <c r="BN804" s="111"/>
      <c r="BO804" s="111"/>
      <c r="BP804" s="111"/>
      <c r="BQ804" s="111"/>
      <c r="BR804" s="111"/>
      <c r="BS804" s="111"/>
      <c r="BT804" s="111"/>
      <c r="BU804" s="111"/>
      <c r="BV804" s="111"/>
    </row>
    <row r="805" spans="1:74" s="50" customFormat="1" ht="30" hidden="1" customHeight="1">
      <c r="A805" s="109">
        <v>801</v>
      </c>
      <c r="B805" s="112" t="s">
        <v>1609</v>
      </c>
      <c r="C805" s="129" t="s">
        <v>1610</v>
      </c>
      <c r="D805" s="26" t="s">
        <v>21</v>
      </c>
      <c r="E805" s="109"/>
      <c r="F805" s="109"/>
      <c r="G805" s="110">
        <v>0</v>
      </c>
      <c r="H805" s="3">
        <f t="shared" si="36"/>
        <v>0</v>
      </c>
      <c r="I805" s="3">
        <f t="shared" si="37"/>
        <v>0</v>
      </c>
      <c r="J805" s="110">
        <f t="shared" si="38"/>
        <v>0</v>
      </c>
      <c r="K805" s="110"/>
      <c r="L805" s="110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  <c r="AI805" s="111"/>
      <c r="AJ805" s="111"/>
      <c r="AK805" s="111"/>
      <c r="AL805" s="111"/>
      <c r="AM805" s="111"/>
      <c r="AN805" s="111"/>
      <c r="AO805" s="111"/>
      <c r="AP805" s="111"/>
      <c r="AQ805" s="111"/>
      <c r="AR805" s="111"/>
      <c r="AS805" s="111"/>
      <c r="AT805" s="111"/>
      <c r="AU805" s="111"/>
      <c r="AV805" s="111"/>
      <c r="AW805" s="111"/>
      <c r="AX805" s="111"/>
      <c r="AY805" s="111"/>
      <c r="AZ805" s="111"/>
      <c r="BA805" s="111"/>
      <c r="BB805" s="111"/>
      <c r="BC805" s="111"/>
      <c r="BD805" s="111"/>
      <c r="BE805" s="111"/>
      <c r="BF805" s="111"/>
      <c r="BG805" s="111"/>
      <c r="BH805" s="111"/>
      <c r="BI805" s="111"/>
      <c r="BJ805" s="111"/>
      <c r="BK805" s="111"/>
      <c r="BL805" s="111"/>
      <c r="BM805" s="111"/>
      <c r="BN805" s="111"/>
      <c r="BO805" s="111"/>
      <c r="BP805" s="111"/>
      <c r="BQ805" s="111"/>
      <c r="BR805" s="111"/>
      <c r="BS805" s="111"/>
      <c r="BT805" s="111"/>
      <c r="BU805" s="111"/>
      <c r="BV805" s="111"/>
    </row>
    <row r="806" spans="1:74" s="50" customFormat="1" ht="30" hidden="1" customHeight="1">
      <c r="A806" s="142">
        <v>802</v>
      </c>
      <c r="B806" s="297" t="s">
        <v>1611</v>
      </c>
      <c r="C806" s="298" t="s">
        <v>1612</v>
      </c>
      <c r="D806" s="143" t="s">
        <v>21</v>
      </c>
      <c r="E806" s="109"/>
      <c r="F806" s="109"/>
      <c r="G806" s="110">
        <v>1</v>
      </c>
      <c r="H806" s="3">
        <f t="shared" si="36"/>
        <v>0</v>
      </c>
      <c r="I806" s="3">
        <f t="shared" si="37"/>
        <v>0</v>
      </c>
      <c r="J806" s="110">
        <f t="shared" si="38"/>
        <v>1</v>
      </c>
      <c r="K806" s="110"/>
      <c r="L806" s="110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  <c r="AI806" s="111"/>
      <c r="AJ806" s="111"/>
      <c r="AK806" s="111"/>
      <c r="AL806" s="111"/>
      <c r="AM806" s="111"/>
      <c r="AN806" s="111"/>
      <c r="AO806" s="111"/>
      <c r="AP806" s="111"/>
      <c r="AQ806" s="111"/>
      <c r="AR806" s="111"/>
      <c r="AS806" s="111"/>
      <c r="AT806" s="111"/>
      <c r="AU806" s="111"/>
      <c r="AV806" s="111"/>
      <c r="AW806" s="111"/>
      <c r="AX806" s="111"/>
      <c r="AY806" s="111"/>
      <c r="AZ806" s="111"/>
      <c r="BA806" s="111"/>
      <c r="BB806" s="111"/>
      <c r="BC806" s="111"/>
      <c r="BD806" s="111"/>
      <c r="BE806" s="111"/>
      <c r="BF806" s="111"/>
      <c r="BG806" s="111"/>
      <c r="BH806" s="111"/>
      <c r="BI806" s="111"/>
      <c r="BJ806" s="111"/>
      <c r="BK806" s="111"/>
      <c r="BL806" s="111"/>
      <c r="BM806" s="111"/>
      <c r="BN806" s="111"/>
      <c r="BO806" s="111"/>
      <c r="BP806" s="111"/>
      <c r="BQ806" s="111"/>
      <c r="BR806" s="111"/>
      <c r="BS806" s="111"/>
      <c r="BT806" s="111"/>
      <c r="BU806" s="111"/>
      <c r="BV806" s="111"/>
    </row>
    <row r="807" spans="1:74" s="50" customFormat="1" ht="15" hidden="1" customHeight="1">
      <c r="A807" s="142">
        <v>803</v>
      </c>
      <c r="B807" s="252" t="s">
        <v>1613</v>
      </c>
      <c r="C807" s="253" t="s">
        <v>1614</v>
      </c>
      <c r="D807" s="143" t="s">
        <v>21</v>
      </c>
      <c r="E807" s="109"/>
      <c r="F807" s="109"/>
      <c r="G807" s="110">
        <v>1</v>
      </c>
      <c r="H807" s="3">
        <f t="shared" si="36"/>
        <v>0</v>
      </c>
      <c r="I807" s="3">
        <f t="shared" si="37"/>
        <v>0</v>
      </c>
      <c r="J807" s="110">
        <f t="shared" si="38"/>
        <v>1</v>
      </c>
      <c r="K807" s="110"/>
      <c r="L807" s="110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  <c r="AJ807" s="111"/>
      <c r="AK807" s="111"/>
      <c r="AL807" s="111"/>
      <c r="AM807" s="111"/>
      <c r="AN807" s="111"/>
      <c r="AO807" s="111"/>
      <c r="AP807" s="111"/>
      <c r="AQ807" s="111"/>
      <c r="AR807" s="111"/>
      <c r="AS807" s="111"/>
      <c r="AT807" s="111"/>
      <c r="AU807" s="111"/>
      <c r="AV807" s="111"/>
      <c r="AW807" s="111"/>
      <c r="AX807" s="111"/>
      <c r="AY807" s="111"/>
      <c r="AZ807" s="111"/>
      <c r="BA807" s="111"/>
      <c r="BB807" s="111"/>
      <c r="BC807" s="111"/>
      <c r="BD807" s="111"/>
      <c r="BE807" s="111"/>
      <c r="BF807" s="111"/>
      <c r="BG807" s="111"/>
      <c r="BH807" s="111"/>
      <c r="BI807" s="111"/>
      <c r="BJ807" s="111"/>
      <c r="BK807" s="111"/>
      <c r="BL807" s="111"/>
      <c r="BM807" s="111"/>
      <c r="BN807" s="111"/>
      <c r="BO807" s="111"/>
      <c r="BP807" s="111"/>
      <c r="BQ807" s="111"/>
      <c r="BR807" s="111"/>
      <c r="BS807" s="111"/>
      <c r="BT807" s="111"/>
      <c r="BU807" s="111"/>
      <c r="BV807" s="111"/>
    </row>
    <row r="808" spans="1:74" s="50" customFormat="1" ht="15" hidden="1" customHeight="1">
      <c r="A808" s="142">
        <v>804</v>
      </c>
      <c r="B808" s="252" t="s">
        <v>1615</v>
      </c>
      <c r="C808" s="253" t="s">
        <v>1616</v>
      </c>
      <c r="D808" s="143" t="s">
        <v>21</v>
      </c>
      <c r="E808" s="109"/>
      <c r="F808" s="109"/>
      <c r="G808" s="110">
        <v>2</v>
      </c>
      <c r="H808" s="3">
        <f t="shared" si="36"/>
        <v>0</v>
      </c>
      <c r="I808" s="3">
        <f t="shared" si="37"/>
        <v>0</v>
      </c>
      <c r="J808" s="110">
        <f t="shared" si="38"/>
        <v>2</v>
      </c>
      <c r="K808" s="110"/>
      <c r="L808" s="110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  <c r="AI808" s="111"/>
      <c r="AJ808" s="111"/>
      <c r="AK808" s="111"/>
      <c r="AL808" s="111"/>
      <c r="AM808" s="111"/>
      <c r="AN808" s="111"/>
      <c r="AO808" s="111"/>
      <c r="AP808" s="111"/>
      <c r="AQ808" s="111"/>
      <c r="AR808" s="111"/>
      <c r="AS808" s="111"/>
      <c r="AT808" s="111"/>
      <c r="AU808" s="111"/>
      <c r="AV808" s="111"/>
      <c r="AW808" s="111"/>
      <c r="AX808" s="111"/>
      <c r="AY808" s="111"/>
      <c r="AZ808" s="111"/>
      <c r="BA808" s="111"/>
      <c r="BB808" s="111"/>
      <c r="BC808" s="111"/>
      <c r="BD808" s="111"/>
      <c r="BE808" s="111"/>
      <c r="BF808" s="111"/>
      <c r="BG808" s="111"/>
      <c r="BH808" s="111"/>
      <c r="BI808" s="111"/>
      <c r="BJ808" s="111"/>
      <c r="BK808" s="111"/>
      <c r="BL808" s="111"/>
      <c r="BM808" s="111"/>
      <c r="BN808" s="111"/>
      <c r="BO808" s="111"/>
      <c r="BP808" s="111"/>
      <c r="BQ808" s="111"/>
      <c r="BR808" s="111"/>
      <c r="BS808" s="111"/>
      <c r="BT808" s="111"/>
      <c r="BU808" s="111"/>
      <c r="BV808" s="111"/>
    </row>
    <row r="809" spans="1:74" s="50" customFormat="1" ht="15" hidden="1" customHeight="1">
      <c r="A809" s="109">
        <v>805</v>
      </c>
      <c r="B809" s="112" t="s">
        <v>1617</v>
      </c>
      <c r="C809" s="149" t="s">
        <v>1618</v>
      </c>
      <c r="D809" s="26" t="s">
        <v>21</v>
      </c>
      <c r="E809" s="109"/>
      <c r="F809" s="109"/>
      <c r="G809" s="110">
        <v>0</v>
      </c>
      <c r="H809" s="3">
        <f t="shared" si="36"/>
        <v>0</v>
      </c>
      <c r="I809" s="3">
        <f t="shared" si="37"/>
        <v>0</v>
      </c>
      <c r="J809" s="110">
        <f t="shared" si="38"/>
        <v>0</v>
      </c>
      <c r="K809" s="110"/>
      <c r="L809" s="110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  <c r="AI809" s="111"/>
      <c r="AJ809" s="111"/>
      <c r="AK809" s="111"/>
      <c r="AL809" s="111"/>
      <c r="AM809" s="111"/>
      <c r="AN809" s="111"/>
      <c r="AO809" s="111"/>
      <c r="AP809" s="111"/>
      <c r="AQ809" s="111"/>
      <c r="AR809" s="111"/>
      <c r="AS809" s="111"/>
      <c r="AT809" s="111"/>
      <c r="AU809" s="111"/>
      <c r="AV809" s="111"/>
      <c r="AW809" s="111"/>
      <c r="AX809" s="111"/>
      <c r="AY809" s="111"/>
      <c r="AZ809" s="111"/>
      <c r="BA809" s="111"/>
      <c r="BB809" s="111"/>
      <c r="BC809" s="111"/>
      <c r="BD809" s="111"/>
      <c r="BE809" s="111"/>
      <c r="BF809" s="111"/>
      <c r="BG809" s="111"/>
      <c r="BH809" s="111"/>
      <c r="BI809" s="111"/>
      <c r="BJ809" s="111"/>
      <c r="BK809" s="111"/>
      <c r="BL809" s="111"/>
      <c r="BM809" s="111"/>
      <c r="BN809" s="111"/>
      <c r="BO809" s="111"/>
      <c r="BP809" s="111"/>
      <c r="BQ809" s="111"/>
      <c r="BR809" s="111"/>
      <c r="BS809" s="111"/>
      <c r="BT809" s="111"/>
      <c r="BU809" s="111"/>
      <c r="BV809" s="111"/>
    </row>
    <row r="810" spans="1:74" s="50" customFormat="1" ht="30" hidden="1" customHeight="1">
      <c r="A810" s="293">
        <v>806</v>
      </c>
      <c r="B810" s="294" t="s">
        <v>1619</v>
      </c>
      <c r="C810" s="296" t="s">
        <v>1620</v>
      </c>
      <c r="D810" s="295" t="s">
        <v>21</v>
      </c>
      <c r="E810" s="335"/>
      <c r="F810" s="109"/>
      <c r="G810" s="110">
        <v>3</v>
      </c>
      <c r="H810" s="3">
        <f t="shared" si="36"/>
        <v>0</v>
      </c>
      <c r="I810" s="3">
        <f t="shared" si="37"/>
        <v>0</v>
      </c>
      <c r="J810" s="110">
        <f t="shared" si="38"/>
        <v>3</v>
      </c>
      <c r="K810" s="110"/>
      <c r="L810" s="110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  <c r="AI810" s="111"/>
      <c r="AJ810" s="111"/>
      <c r="AK810" s="111"/>
      <c r="AL810" s="111"/>
      <c r="AM810" s="111"/>
      <c r="AN810" s="111"/>
      <c r="AO810" s="111"/>
      <c r="AP810" s="111"/>
      <c r="AQ810" s="111"/>
      <c r="AR810" s="111"/>
      <c r="AS810" s="111"/>
      <c r="AT810" s="111"/>
      <c r="AU810" s="111"/>
      <c r="AV810" s="111"/>
      <c r="AW810" s="111"/>
      <c r="AX810" s="111"/>
      <c r="AY810" s="111"/>
      <c r="AZ810" s="111"/>
      <c r="BA810" s="111"/>
      <c r="BB810" s="111"/>
      <c r="BC810" s="111"/>
      <c r="BD810" s="111"/>
      <c r="BE810" s="111"/>
      <c r="BF810" s="111"/>
      <c r="BG810" s="111"/>
      <c r="BH810" s="111"/>
      <c r="BI810" s="111"/>
      <c r="BJ810" s="111"/>
      <c r="BK810" s="111"/>
      <c r="BL810" s="111"/>
      <c r="BM810" s="111"/>
      <c r="BN810" s="111"/>
      <c r="BO810" s="111"/>
      <c r="BP810" s="111"/>
      <c r="BQ810" s="111"/>
      <c r="BR810" s="111"/>
      <c r="BS810" s="111"/>
      <c r="BT810" s="111"/>
      <c r="BU810" s="111"/>
      <c r="BV810" s="111"/>
    </row>
    <row r="811" spans="1:74" s="50" customFormat="1" ht="30" hidden="1" customHeight="1">
      <c r="A811" s="142">
        <v>807</v>
      </c>
      <c r="B811" s="252" t="s">
        <v>1621</v>
      </c>
      <c r="C811" s="268" t="s">
        <v>1622</v>
      </c>
      <c r="D811" s="143" t="s">
        <v>21</v>
      </c>
      <c r="E811" s="109"/>
      <c r="F811" s="109"/>
      <c r="G811" s="110">
        <v>4</v>
      </c>
      <c r="H811" s="3">
        <f t="shared" si="36"/>
        <v>0</v>
      </c>
      <c r="I811" s="3">
        <f t="shared" si="37"/>
        <v>0</v>
      </c>
      <c r="J811" s="110">
        <f t="shared" si="38"/>
        <v>4</v>
      </c>
      <c r="K811" s="110"/>
      <c r="L811" s="110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  <c r="AI811" s="111"/>
      <c r="AJ811" s="111"/>
      <c r="AK811" s="111"/>
      <c r="AL811" s="111"/>
      <c r="AM811" s="111"/>
      <c r="AN811" s="111"/>
      <c r="AO811" s="111"/>
      <c r="AP811" s="111"/>
      <c r="AQ811" s="111"/>
      <c r="AR811" s="111"/>
      <c r="AS811" s="111"/>
      <c r="AT811" s="111"/>
      <c r="AU811" s="111"/>
      <c r="AV811" s="111"/>
      <c r="AW811" s="111"/>
      <c r="AX811" s="111"/>
      <c r="AY811" s="111"/>
      <c r="AZ811" s="111"/>
      <c r="BA811" s="111"/>
      <c r="BB811" s="111"/>
      <c r="BC811" s="111"/>
      <c r="BD811" s="111"/>
      <c r="BE811" s="111"/>
      <c r="BF811" s="111"/>
      <c r="BG811" s="111"/>
      <c r="BH811" s="111"/>
      <c r="BI811" s="111"/>
      <c r="BJ811" s="111"/>
      <c r="BK811" s="111"/>
      <c r="BL811" s="111"/>
      <c r="BM811" s="111"/>
      <c r="BN811" s="111"/>
      <c r="BO811" s="111"/>
      <c r="BP811" s="111"/>
      <c r="BQ811" s="111"/>
      <c r="BR811" s="111"/>
      <c r="BS811" s="111"/>
      <c r="BT811" s="111"/>
      <c r="BU811" s="111"/>
      <c r="BV811" s="111"/>
    </row>
    <row r="812" spans="1:74" s="50" customFormat="1" ht="30" hidden="1" customHeight="1">
      <c r="A812" s="142">
        <v>808</v>
      </c>
      <c r="B812" s="252" t="s">
        <v>1623</v>
      </c>
      <c r="C812" s="283" t="s">
        <v>1624</v>
      </c>
      <c r="D812" s="143" t="s">
        <v>21</v>
      </c>
      <c r="E812" s="109"/>
      <c r="F812" s="109"/>
      <c r="G812" s="110">
        <v>2</v>
      </c>
      <c r="H812" s="3">
        <f t="shared" si="36"/>
        <v>0</v>
      </c>
      <c r="I812" s="3">
        <f t="shared" si="37"/>
        <v>0</v>
      </c>
      <c r="J812" s="110">
        <f t="shared" si="38"/>
        <v>2</v>
      </c>
      <c r="K812" s="110"/>
      <c r="L812" s="110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  <c r="AI812" s="111"/>
      <c r="AJ812" s="111"/>
      <c r="AK812" s="111"/>
      <c r="AL812" s="111"/>
      <c r="AM812" s="111"/>
      <c r="AN812" s="111"/>
      <c r="AO812" s="111"/>
      <c r="AP812" s="111"/>
      <c r="AQ812" s="111"/>
      <c r="AR812" s="111"/>
      <c r="AS812" s="111"/>
      <c r="AT812" s="111"/>
      <c r="AU812" s="111"/>
      <c r="AV812" s="111"/>
      <c r="AW812" s="111"/>
      <c r="AX812" s="111"/>
      <c r="AY812" s="111"/>
      <c r="AZ812" s="111"/>
      <c r="BA812" s="111"/>
      <c r="BB812" s="111"/>
      <c r="BC812" s="111"/>
      <c r="BD812" s="111"/>
      <c r="BE812" s="111"/>
      <c r="BF812" s="111"/>
      <c r="BG812" s="111"/>
      <c r="BH812" s="111"/>
      <c r="BI812" s="111"/>
      <c r="BJ812" s="111"/>
      <c r="BK812" s="111"/>
      <c r="BL812" s="111"/>
      <c r="BM812" s="111"/>
      <c r="BN812" s="111"/>
      <c r="BO812" s="111"/>
      <c r="BP812" s="111"/>
      <c r="BQ812" s="111"/>
      <c r="BR812" s="111"/>
      <c r="BS812" s="111"/>
      <c r="BT812" s="111"/>
      <c r="BU812" s="111"/>
      <c r="BV812" s="111"/>
    </row>
    <row r="813" spans="1:74" s="50" customFormat="1" ht="15" hidden="1" customHeight="1">
      <c r="A813" s="142">
        <v>809</v>
      </c>
      <c r="B813" s="252" t="s">
        <v>1625</v>
      </c>
      <c r="C813" s="253" t="s">
        <v>1626</v>
      </c>
      <c r="D813" s="143" t="s">
        <v>21</v>
      </c>
      <c r="E813" s="109"/>
      <c r="F813" s="109"/>
      <c r="G813" s="110">
        <v>1</v>
      </c>
      <c r="H813" s="3">
        <f t="shared" si="36"/>
        <v>0</v>
      </c>
      <c r="I813" s="3">
        <f t="shared" si="37"/>
        <v>0</v>
      </c>
      <c r="J813" s="110">
        <f t="shared" si="38"/>
        <v>1</v>
      </c>
      <c r="K813" s="110"/>
      <c r="L813" s="110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  <c r="AI813" s="111"/>
      <c r="AJ813" s="111"/>
      <c r="AK813" s="111"/>
      <c r="AL813" s="111"/>
      <c r="AM813" s="111"/>
      <c r="AN813" s="111"/>
      <c r="AO813" s="111"/>
      <c r="AP813" s="111"/>
      <c r="AQ813" s="111"/>
      <c r="AR813" s="111"/>
      <c r="AS813" s="111"/>
      <c r="AT813" s="111"/>
      <c r="AU813" s="111"/>
      <c r="AV813" s="111"/>
      <c r="AW813" s="111"/>
      <c r="AX813" s="111"/>
      <c r="AY813" s="111"/>
      <c r="AZ813" s="111"/>
      <c r="BA813" s="111"/>
      <c r="BB813" s="111"/>
      <c r="BC813" s="111"/>
      <c r="BD813" s="111"/>
      <c r="BE813" s="111"/>
      <c r="BF813" s="111"/>
      <c r="BG813" s="111"/>
      <c r="BH813" s="111"/>
      <c r="BI813" s="111"/>
      <c r="BJ813" s="111"/>
      <c r="BK813" s="111"/>
      <c r="BL813" s="111"/>
      <c r="BM813" s="111"/>
      <c r="BN813" s="111"/>
      <c r="BO813" s="111"/>
      <c r="BP813" s="111"/>
      <c r="BQ813" s="111"/>
      <c r="BR813" s="111"/>
      <c r="BS813" s="111"/>
      <c r="BT813" s="111"/>
      <c r="BU813" s="111"/>
      <c r="BV813" s="111"/>
    </row>
    <row r="814" spans="1:74" s="50" customFormat="1" ht="15" hidden="1" customHeight="1">
      <c r="A814" s="111">
        <v>810</v>
      </c>
      <c r="B814" s="4" t="s">
        <v>1627</v>
      </c>
      <c r="C814" s="19" t="s">
        <v>1628</v>
      </c>
      <c r="D814" s="3" t="s">
        <v>21</v>
      </c>
      <c r="E814" s="109"/>
      <c r="F814" s="111"/>
      <c r="G814" s="110">
        <v>6</v>
      </c>
      <c r="H814" s="3">
        <f t="shared" si="36"/>
        <v>0</v>
      </c>
      <c r="I814" s="3">
        <f t="shared" si="37"/>
        <v>0</v>
      </c>
      <c r="J814" s="110">
        <f t="shared" si="38"/>
        <v>6</v>
      </c>
      <c r="K814" s="110"/>
      <c r="L814" s="110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  <c r="AI814" s="111"/>
      <c r="AJ814" s="111"/>
      <c r="AK814" s="111"/>
      <c r="AL814" s="111"/>
      <c r="AM814" s="111"/>
      <c r="AN814" s="111"/>
      <c r="AO814" s="111"/>
      <c r="AP814" s="111"/>
      <c r="AQ814" s="111"/>
      <c r="AR814" s="111"/>
      <c r="AS814" s="111"/>
      <c r="AT814" s="111"/>
      <c r="AU814" s="111"/>
      <c r="AV814" s="111"/>
      <c r="AW814" s="111"/>
      <c r="AX814" s="111"/>
      <c r="AY814" s="111"/>
      <c r="AZ814" s="111"/>
      <c r="BA814" s="111"/>
      <c r="BB814" s="111"/>
      <c r="BC814" s="111"/>
      <c r="BD814" s="111"/>
      <c r="BE814" s="111"/>
      <c r="BF814" s="111"/>
      <c r="BG814" s="111"/>
      <c r="BH814" s="111"/>
      <c r="BI814" s="111"/>
      <c r="BJ814" s="111"/>
      <c r="BK814" s="111"/>
      <c r="BL814" s="111"/>
      <c r="BM814" s="111"/>
      <c r="BN814" s="111"/>
      <c r="BO814" s="111"/>
      <c r="BP814" s="111"/>
      <c r="BQ814" s="111"/>
      <c r="BR814" s="111"/>
      <c r="BS814" s="111"/>
      <c r="BT814" s="111"/>
      <c r="BU814" s="111"/>
      <c r="BV814" s="111"/>
    </row>
    <row r="815" spans="1:74" s="50" customFormat="1" ht="15" hidden="1" customHeight="1">
      <c r="A815" s="111">
        <v>811</v>
      </c>
      <c r="B815" s="4" t="s">
        <v>1629</v>
      </c>
      <c r="C815" s="19" t="s">
        <v>1630</v>
      </c>
      <c r="D815" s="3" t="s">
        <v>21</v>
      </c>
      <c r="E815" s="109"/>
      <c r="F815" s="111"/>
      <c r="G815" s="110">
        <v>1</v>
      </c>
      <c r="H815" s="3">
        <f t="shared" si="36"/>
        <v>0</v>
      </c>
      <c r="I815" s="3">
        <f t="shared" si="37"/>
        <v>0</v>
      </c>
      <c r="J815" s="110">
        <f t="shared" si="38"/>
        <v>1</v>
      </c>
      <c r="K815" s="110"/>
      <c r="L815" s="110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  <c r="AI815" s="111"/>
      <c r="AJ815" s="111"/>
      <c r="AK815" s="111"/>
      <c r="AL815" s="111"/>
      <c r="AM815" s="111"/>
      <c r="AN815" s="111"/>
      <c r="AO815" s="111"/>
      <c r="AP815" s="111"/>
      <c r="AQ815" s="111"/>
      <c r="AR815" s="111"/>
      <c r="AS815" s="111"/>
      <c r="AT815" s="111"/>
      <c r="AU815" s="111"/>
      <c r="AV815" s="111"/>
      <c r="AW815" s="111"/>
      <c r="AX815" s="111"/>
      <c r="AY815" s="111"/>
      <c r="AZ815" s="111"/>
      <c r="BA815" s="111"/>
      <c r="BB815" s="111"/>
      <c r="BC815" s="111"/>
      <c r="BD815" s="111"/>
      <c r="BE815" s="111"/>
      <c r="BF815" s="111"/>
      <c r="BG815" s="111"/>
      <c r="BH815" s="111"/>
      <c r="BI815" s="111"/>
      <c r="BJ815" s="111"/>
      <c r="BK815" s="111"/>
      <c r="BL815" s="111"/>
      <c r="BM815" s="111"/>
      <c r="BN815" s="111"/>
      <c r="BO815" s="111"/>
      <c r="BP815" s="111"/>
      <c r="BQ815" s="111"/>
      <c r="BR815" s="111"/>
      <c r="BS815" s="111"/>
      <c r="BT815" s="111"/>
      <c r="BU815" s="111"/>
      <c r="BV815" s="111"/>
    </row>
    <row r="816" spans="1:74" s="50" customFormat="1" ht="15" hidden="1" customHeight="1">
      <c r="A816" s="111">
        <v>812</v>
      </c>
      <c r="B816" s="4" t="s">
        <v>1631</v>
      </c>
      <c r="C816" s="19" t="s">
        <v>1632</v>
      </c>
      <c r="D816" s="3" t="s">
        <v>21</v>
      </c>
      <c r="E816" s="109"/>
      <c r="F816" s="111"/>
      <c r="G816" s="110">
        <v>0</v>
      </c>
      <c r="H816" s="3">
        <f t="shared" si="36"/>
        <v>0</v>
      </c>
      <c r="I816" s="3">
        <f t="shared" si="37"/>
        <v>0</v>
      </c>
      <c r="J816" s="110">
        <f t="shared" si="38"/>
        <v>0</v>
      </c>
      <c r="K816" s="110"/>
      <c r="L816" s="110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  <c r="AI816" s="111"/>
      <c r="AJ816" s="111"/>
      <c r="AK816" s="111"/>
      <c r="AL816" s="111"/>
      <c r="AM816" s="111"/>
      <c r="AN816" s="111"/>
      <c r="AO816" s="111"/>
      <c r="AP816" s="111"/>
      <c r="AQ816" s="111"/>
      <c r="AR816" s="111"/>
      <c r="AS816" s="111"/>
      <c r="AT816" s="111"/>
      <c r="AU816" s="111"/>
      <c r="AV816" s="111"/>
      <c r="AW816" s="111"/>
      <c r="AX816" s="111"/>
      <c r="AY816" s="111"/>
      <c r="AZ816" s="111"/>
      <c r="BA816" s="111"/>
      <c r="BB816" s="111"/>
      <c r="BC816" s="111"/>
      <c r="BD816" s="111"/>
      <c r="BE816" s="111"/>
      <c r="BF816" s="111"/>
      <c r="BG816" s="111"/>
      <c r="BH816" s="111"/>
      <c r="BI816" s="111"/>
      <c r="BJ816" s="111"/>
      <c r="BK816" s="111"/>
      <c r="BL816" s="111"/>
      <c r="BM816" s="111"/>
      <c r="BN816" s="111"/>
      <c r="BO816" s="111"/>
      <c r="BP816" s="111"/>
      <c r="BQ816" s="111"/>
      <c r="BR816" s="111"/>
      <c r="BS816" s="111"/>
      <c r="BT816" s="111"/>
      <c r="BU816" s="111"/>
      <c r="BV816" s="111"/>
    </row>
    <row r="817" spans="1:74" s="50" customFormat="1" ht="15" hidden="1" customHeight="1">
      <c r="A817" s="111">
        <v>813</v>
      </c>
      <c r="B817" s="4" t="s">
        <v>1633</v>
      </c>
      <c r="C817" s="19" t="s">
        <v>1634</v>
      </c>
      <c r="D817" s="3" t="s">
        <v>21</v>
      </c>
      <c r="E817" s="109"/>
      <c r="F817" s="111"/>
      <c r="G817" s="110">
        <v>0</v>
      </c>
      <c r="H817" s="3">
        <f t="shared" si="36"/>
        <v>0</v>
      </c>
      <c r="I817" s="3">
        <f t="shared" si="37"/>
        <v>0</v>
      </c>
      <c r="J817" s="110">
        <f t="shared" si="38"/>
        <v>0</v>
      </c>
      <c r="K817" s="110"/>
      <c r="L817" s="110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  <c r="AI817" s="111"/>
      <c r="AJ817" s="111"/>
      <c r="AK817" s="111"/>
      <c r="AL817" s="111"/>
      <c r="AM817" s="111"/>
      <c r="AN817" s="111"/>
      <c r="AO817" s="111"/>
      <c r="AP817" s="111"/>
      <c r="AQ817" s="111"/>
      <c r="AR817" s="111"/>
      <c r="AS817" s="111"/>
      <c r="AT817" s="111"/>
      <c r="AU817" s="111"/>
      <c r="AV817" s="111"/>
      <c r="AW817" s="111"/>
      <c r="AX817" s="111"/>
      <c r="AY817" s="111"/>
      <c r="AZ817" s="111"/>
      <c r="BA817" s="111"/>
      <c r="BB817" s="111"/>
      <c r="BC817" s="111"/>
      <c r="BD817" s="111"/>
      <c r="BE817" s="111"/>
      <c r="BF817" s="111"/>
      <c r="BG817" s="111"/>
      <c r="BH817" s="111"/>
      <c r="BI817" s="111"/>
      <c r="BJ817" s="111"/>
      <c r="BK817" s="111"/>
      <c r="BL817" s="111"/>
      <c r="BM817" s="111"/>
      <c r="BN817" s="111"/>
      <c r="BO817" s="111"/>
      <c r="BP817" s="111"/>
      <c r="BQ817" s="111"/>
      <c r="BR817" s="111"/>
      <c r="BS817" s="111"/>
      <c r="BT817" s="111"/>
      <c r="BU817" s="111"/>
      <c r="BV817" s="111"/>
    </row>
    <row r="818" spans="1:74" s="50" customFormat="1" ht="15" hidden="1" customHeight="1">
      <c r="A818" s="111">
        <v>814</v>
      </c>
      <c r="B818" s="4" t="s">
        <v>1635</v>
      </c>
      <c r="C818" s="19" t="s">
        <v>1636</v>
      </c>
      <c r="D818" s="3" t="s">
        <v>21</v>
      </c>
      <c r="E818" s="109"/>
      <c r="F818" s="111"/>
      <c r="G818" s="110">
        <v>2</v>
      </c>
      <c r="H818" s="3">
        <f t="shared" si="36"/>
        <v>0</v>
      </c>
      <c r="I818" s="3">
        <f t="shared" si="37"/>
        <v>0</v>
      </c>
      <c r="J818" s="110">
        <f t="shared" si="38"/>
        <v>2</v>
      </c>
      <c r="K818" s="110"/>
      <c r="L818" s="110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  <c r="AI818" s="111"/>
      <c r="AJ818" s="111"/>
      <c r="AK818" s="111"/>
      <c r="AL818" s="111"/>
      <c r="AM818" s="111"/>
      <c r="AN818" s="111"/>
      <c r="AO818" s="111"/>
      <c r="AP818" s="111"/>
      <c r="AQ818" s="111"/>
      <c r="AR818" s="111"/>
      <c r="AS818" s="111"/>
      <c r="AT818" s="111"/>
      <c r="AU818" s="111"/>
      <c r="AV818" s="111"/>
      <c r="AW818" s="111"/>
      <c r="AX818" s="111"/>
      <c r="AY818" s="111"/>
      <c r="AZ818" s="111"/>
      <c r="BA818" s="111"/>
      <c r="BB818" s="111"/>
      <c r="BC818" s="111"/>
      <c r="BD818" s="111"/>
      <c r="BE818" s="111"/>
      <c r="BF818" s="111"/>
      <c r="BG818" s="111"/>
      <c r="BH818" s="111"/>
      <c r="BI818" s="111"/>
      <c r="BJ818" s="111"/>
      <c r="BK818" s="111"/>
      <c r="BL818" s="111"/>
      <c r="BM818" s="111"/>
      <c r="BN818" s="111"/>
      <c r="BO818" s="111"/>
      <c r="BP818" s="111"/>
      <c r="BQ818" s="111"/>
      <c r="BR818" s="111"/>
      <c r="BS818" s="111"/>
      <c r="BT818" s="111"/>
      <c r="BU818" s="111"/>
      <c r="BV818" s="111"/>
    </row>
    <row r="819" spans="1:74" s="50" customFormat="1" ht="15" hidden="1" customHeight="1">
      <c r="A819" s="111">
        <v>815</v>
      </c>
      <c r="B819" s="4" t="s">
        <v>1637</v>
      </c>
      <c r="C819" s="19" t="s">
        <v>1638</v>
      </c>
      <c r="D819" s="3" t="s">
        <v>21</v>
      </c>
      <c r="E819" s="109"/>
      <c r="F819" s="111"/>
      <c r="G819" s="110">
        <v>2</v>
      </c>
      <c r="H819" s="3">
        <f t="shared" si="36"/>
        <v>0</v>
      </c>
      <c r="I819" s="3">
        <f t="shared" si="37"/>
        <v>0</v>
      </c>
      <c r="J819" s="110">
        <f t="shared" si="38"/>
        <v>2</v>
      </c>
      <c r="K819" s="110"/>
      <c r="L819" s="110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  <c r="AI819" s="111"/>
      <c r="AJ819" s="111"/>
      <c r="AK819" s="111"/>
      <c r="AL819" s="111"/>
      <c r="AM819" s="111"/>
      <c r="AN819" s="111"/>
      <c r="AO819" s="111"/>
      <c r="AP819" s="111"/>
      <c r="AQ819" s="111"/>
      <c r="AR819" s="111"/>
      <c r="AS819" s="111"/>
      <c r="AT819" s="111"/>
      <c r="AU819" s="111"/>
      <c r="AV819" s="111"/>
      <c r="AW819" s="111"/>
      <c r="AX819" s="111"/>
      <c r="AY819" s="111"/>
      <c r="AZ819" s="111"/>
      <c r="BA819" s="111"/>
      <c r="BB819" s="111"/>
      <c r="BC819" s="111"/>
      <c r="BD819" s="111"/>
      <c r="BE819" s="111"/>
      <c r="BF819" s="111"/>
      <c r="BG819" s="111"/>
      <c r="BH819" s="111"/>
      <c r="BI819" s="111"/>
      <c r="BJ819" s="111"/>
      <c r="BK819" s="111"/>
      <c r="BL819" s="111"/>
      <c r="BM819" s="111"/>
      <c r="BN819" s="111"/>
      <c r="BO819" s="111"/>
      <c r="BP819" s="111"/>
      <c r="BQ819" s="111"/>
      <c r="BR819" s="111"/>
      <c r="BS819" s="111"/>
      <c r="BT819" s="111"/>
      <c r="BU819" s="111"/>
      <c r="BV819" s="111"/>
    </row>
    <row r="820" spans="1:74" s="50" customFormat="1" ht="15" hidden="1" customHeight="1">
      <c r="A820" s="142">
        <v>816</v>
      </c>
      <c r="B820" s="311" t="s">
        <v>1639</v>
      </c>
      <c r="C820" s="253" t="s">
        <v>1640</v>
      </c>
      <c r="D820" s="143" t="s">
        <v>21</v>
      </c>
      <c r="E820" s="109"/>
      <c r="F820" s="109"/>
      <c r="G820" s="110">
        <v>8</v>
      </c>
      <c r="H820" s="3">
        <f t="shared" si="36"/>
        <v>0</v>
      </c>
      <c r="I820" s="3">
        <f t="shared" si="37"/>
        <v>0</v>
      </c>
      <c r="J820" s="110">
        <f t="shared" si="38"/>
        <v>8</v>
      </c>
      <c r="K820" s="110"/>
      <c r="L820" s="110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  <c r="AI820" s="111"/>
      <c r="AJ820" s="111"/>
      <c r="AK820" s="111"/>
      <c r="AL820" s="111"/>
      <c r="AM820" s="111"/>
      <c r="AN820" s="111"/>
      <c r="AO820" s="111"/>
      <c r="AP820" s="111"/>
      <c r="AQ820" s="111"/>
      <c r="AR820" s="111"/>
      <c r="AS820" s="111"/>
      <c r="AT820" s="111"/>
      <c r="AU820" s="111"/>
      <c r="AV820" s="111"/>
      <c r="AW820" s="111"/>
      <c r="AX820" s="111"/>
      <c r="AY820" s="111"/>
      <c r="AZ820" s="111"/>
      <c r="BA820" s="111"/>
      <c r="BB820" s="111"/>
      <c r="BC820" s="111"/>
      <c r="BD820" s="111"/>
      <c r="BE820" s="111"/>
      <c r="BF820" s="111"/>
      <c r="BG820" s="111"/>
      <c r="BH820" s="111"/>
      <c r="BI820" s="111"/>
      <c r="BJ820" s="111"/>
      <c r="BK820" s="111"/>
      <c r="BL820" s="111"/>
      <c r="BM820" s="111"/>
      <c r="BN820" s="111"/>
      <c r="BO820" s="111"/>
      <c r="BP820" s="111"/>
      <c r="BQ820" s="111"/>
      <c r="BR820" s="111"/>
      <c r="BS820" s="111"/>
      <c r="BT820" s="111"/>
      <c r="BU820" s="111"/>
      <c r="BV820" s="111"/>
    </row>
    <row r="821" spans="1:74" s="50" customFormat="1" ht="15" hidden="1" customHeight="1">
      <c r="A821" s="142">
        <v>817</v>
      </c>
      <c r="B821" s="252" t="s">
        <v>1641</v>
      </c>
      <c r="C821" s="253" t="s">
        <v>1642</v>
      </c>
      <c r="D821" s="143" t="s">
        <v>21</v>
      </c>
      <c r="E821" s="109"/>
      <c r="F821" s="109"/>
      <c r="G821" s="110">
        <v>8</v>
      </c>
      <c r="H821" s="3">
        <f t="shared" si="36"/>
        <v>0</v>
      </c>
      <c r="I821" s="3">
        <f t="shared" si="37"/>
        <v>0</v>
      </c>
      <c r="J821" s="110">
        <f t="shared" si="38"/>
        <v>8</v>
      </c>
      <c r="K821" s="110"/>
      <c r="L821" s="110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  <c r="AI821" s="111"/>
      <c r="AJ821" s="111"/>
      <c r="AK821" s="111"/>
      <c r="AL821" s="111"/>
      <c r="AM821" s="111"/>
      <c r="AN821" s="111"/>
      <c r="AO821" s="111"/>
      <c r="AP821" s="111"/>
      <c r="AQ821" s="111"/>
      <c r="AR821" s="111"/>
      <c r="AS821" s="111"/>
      <c r="AT821" s="111"/>
      <c r="AU821" s="111"/>
      <c r="AV821" s="111"/>
      <c r="AW821" s="111"/>
      <c r="AX821" s="111"/>
      <c r="AY821" s="111"/>
      <c r="AZ821" s="111"/>
      <c r="BA821" s="111"/>
      <c r="BB821" s="111"/>
      <c r="BC821" s="111"/>
      <c r="BD821" s="111"/>
      <c r="BE821" s="111"/>
      <c r="BF821" s="111"/>
      <c r="BG821" s="111"/>
      <c r="BH821" s="111"/>
      <c r="BI821" s="111"/>
      <c r="BJ821" s="111"/>
      <c r="BK821" s="111"/>
      <c r="BL821" s="111"/>
      <c r="BM821" s="111"/>
      <c r="BN821" s="111"/>
      <c r="BO821" s="111"/>
      <c r="BP821" s="111"/>
      <c r="BQ821" s="111"/>
      <c r="BR821" s="111"/>
      <c r="BS821" s="111"/>
      <c r="BT821" s="111"/>
      <c r="BU821" s="111"/>
      <c r="BV821" s="111"/>
    </row>
    <row r="822" spans="1:74" s="50" customFormat="1" ht="15" hidden="1" customHeight="1">
      <c r="A822" s="109">
        <v>818</v>
      </c>
      <c r="B822" s="112" t="s">
        <v>1643</v>
      </c>
      <c r="C822" s="115" t="s">
        <v>1644</v>
      </c>
      <c r="D822" s="26" t="s">
        <v>21</v>
      </c>
      <c r="E822" s="109"/>
      <c r="F822" s="109"/>
      <c r="G822" s="110">
        <v>0</v>
      </c>
      <c r="H822" s="3">
        <f t="shared" si="36"/>
        <v>0</v>
      </c>
      <c r="I822" s="3">
        <f t="shared" si="37"/>
        <v>0</v>
      </c>
      <c r="J822" s="110">
        <f t="shared" si="38"/>
        <v>0</v>
      </c>
      <c r="K822" s="110"/>
      <c r="L822" s="110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/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/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/>
      <c r="BP822" s="111"/>
      <c r="BQ822" s="111"/>
      <c r="BR822" s="111"/>
      <c r="BS822" s="111"/>
      <c r="BT822" s="111"/>
      <c r="BU822" s="111"/>
      <c r="BV822" s="111"/>
    </row>
    <row r="823" spans="1:74" s="50" customFormat="1" ht="15" hidden="1" customHeight="1">
      <c r="A823" s="109">
        <v>819</v>
      </c>
      <c r="B823" s="112" t="s">
        <v>1645</v>
      </c>
      <c r="C823" s="113" t="s">
        <v>1646</v>
      </c>
      <c r="D823" s="26" t="s">
        <v>21</v>
      </c>
      <c r="E823" s="109"/>
      <c r="F823" s="109"/>
      <c r="G823" s="110">
        <v>0</v>
      </c>
      <c r="H823" s="3">
        <f t="shared" ref="H823:H886" si="39">SUM(M823+O823+Q823+S823+U823+W823+Y823+AA823+AC823+AE823+AG823+AI823+AK823+AM823+AO823+AQ823+AS823+AU823+AW823+AY823+BA823+BC823+BE823+BG823+BI823+BK823+BM823+BO823+BQ823+BS823+BU823)</f>
        <v>0</v>
      </c>
      <c r="I823" s="3">
        <f t="shared" ref="I823:I886" si="40">SUM(N823+P823+R823+T823+V823+X823+Z823+AB823+AD823+AF823+AH823+AJ823+AL823+AN823+AP823+AR823+AT823+AV823+AX823+AZ823+BB823+BD823+BF823+BH823+BJ823+BL823+BN823+BP823+BR823+BT823+BV823)</f>
        <v>0</v>
      </c>
      <c r="J823" s="110">
        <f t="shared" ref="J823:J886" si="41">G823+H823-I823</f>
        <v>0</v>
      </c>
      <c r="K823" s="110"/>
      <c r="L823" s="110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/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/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/>
      <c r="BP823" s="111"/>
      <c r="BQ823" s="111"/>
      <c r="BR823" s="111"/>
      <c r="BS823" s="111"/>
      <c r="BT823" s="111"/>
      <c r="BU823" s="111"/>
      <c r="BV823" s="111"/>
    </row>
    <row r="824" spans="1:74" s="50" customFormat="1" ht="15" hidden="1" customHeight="1">
      <c r="A824" s="109">
        <v>820</v>
      </c>
      <c r="B824" s="112" t="s">
        <v>1647</v>
      </c>
      <c r="C824" s="113" t="s">
        <v>1648</v>
      </c>
      <c r="D824" s="26" t="s">
        <v>14</v>
      </c>
      <c r="E824" s="109"/>
      <c r="F824" s="109"/>
      <c r="G824" s="110">
        <v>4</v>
      </c>
      <c r="H824" s="3">
        <f t="shared" si="39"/>
        <v>0</v>
      </c>
      <c r="I824" s="3">
        <f t="shared" si="40"/>
        <v>0</v>
      </c>
      <c r="J824" s="110">
        <f t="shared" si="41"/>
        <v>4</v>
      </c>
      <c r="K824" s="110"/>
      <c r="L824" s="110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  <c r="AJ824" s="111"/>
      <c r="AK824" s="111"/>
      <c r="AL824" s="111"/>
      <c r="AM824" s="111"/>
      <c r="AN824" s="111"/>
      <c r="AO824" s="111"/>
      <c r="AP824" s="111"/>
      <c r="AQ824" s="111"/>
      <c r="AR824" s="111"/>
      <c r="AS824" s="111"/>
      <c r="AT824" s="111"/>
      <c r="AU824" s="111"/>
      <c r="AV824" s="111"/>
      <c r="AW824" s="111"/>
      <c r="AX824" s="111"/>
      <c r="AY824" s="111"/>
      <c r="AZ824" s="111"/>
      <c r="BA824" s="111"/>
      <c r="BB824" s="111"/>
      <c r="BC824" s="111"/>
      <c r="BD824" s="111"/>
      <c r="BE824" s="111"/>
      <c r="BF824" s="111"/>
      <c r="BG824" s="111"/>
      <c r="BH824" s="111"/>
      <c r="BI824" s="111"/>
      <c r="BJ824" s="111"/>
      <c r="BK824" s="111"/>
      <c r="BL824" s="111"/>
      <c r="BM824" s="111"/>
      <c r="BN824" s="111"/>
      <c r="BO824" s="111"/>
      <c r="BP824" s="111"/>
      <c r="BQ824" s="111"/>
      <c r="BR824" s="111"/>
      <c r="BS824" s="111"/>
      <c r="BT824" s="111"/>
      <c r="BU824" s="111"/>
      <c r="BV824" s="111"/>
    </row>
    <row r="825" spans="1:74" s="50" customFormat="1" ht="15" hidden="1" customHeight="1">
      <c r="A825" s="109">
        <v>821</v>
      </c>
      <c r="B825" s="116" t="s">
        <v>1649</v>
      </c>
      <c r="C825" s="113" t="s">
        <v>1650</v>
      </c>
      <c r="D825" s="26" t="s">
        <v>14</v>
      </c>
      <c r="E825" s="109"/>
      <c r="F825" s="109"/>
      <c r="G825" s="110">
        <v>1</v>
      </c>
      <c r="H825" s="3">
        <f t="shared" si="39"/>
        <v>0</v>
      </c>
      <c r="I825" s="3">
        <f t="shared" si="40"/>
        <v>0</v>
      </c>
      <c r="J825" s="110">
        <f t="shared" si="41"/>
        <v>1</v>
      </c>
      <c r="K825" s="110"/>
      <c r="L825" s="110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/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/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/>
      <c r="BP825" s="111"/>
      <c r="BQ825" s="111"/>
      <c r="BR825" s="111"/>
      <c r="BS825" s="111"/>
      <c r="BT825" s="111"/>
      <c r="BU825" s="111"/>
      <c r="BV825" s="111"/>
    </row>
    <row r="826" spans="1:74" s="50" customFormat="1" ht="15" hidden="1" customHeight="1">
      <c r="A826" s="109">
        <v>822</v>
      </c>
      <c r="B826" s="112" t="s">
        <v>1651</v>
      </c>
      <c r="C826" s="115" t="s">
        <v>1652</v>
      </c>
      <c r="D826" s="26" t="s">
        <v>14</v>
      </c>
      <c r="E826" s="109"/>
      <c r="F826" s="109"/>
      <c r="G826" s="110">
        <v>1</v>
      </c>
      <c r="H826" s="3">
        <f t="shared" si="39"/>
        <v>0</v>
      </c>
      <c r="I826" s="3">
        <f t="shared" si="40"/>
        <v>0</v>
      </c>
      <c r="J826" s="110">
        <f t="shared" si="41"/>
        <v>1</v>
      </c>
      <c r="K826" s="110"/>
      <c r="L826" s="110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  <c r="AJ826" s="111"/>
      <c r="AK826" s="111"/>
      <c r="AL826" s="111"/>
      <c r="AM826" s="111"/>
      <c r="AN826" s="111"/>
      <c r="AO826" s="111"/>
      <c r="AP826" s="111"/>
      <c r="AQ826" s="111"/>
      <c r="AR826" s="111"/>
      <c r="AS826" s="111"/>
      <c r="AT826" s="111"/>
      <c r="AU826" s="111"/>
      <c r="AV826" s="111"/>
      <c r="AW826" s="111"/>
      <c r="AX826" s="111"/>
      <c r="AY826" s="111"/>
      <c r="AZ826" s="111"/>
      <c r="BA826" s="111"/>
      <c r="BB826" s="111"/>
      <c r="BC826" s="111"/>
      <c r="BD826" s="111"/>
      <c r="BE826" s="111"/>
      <c r="BF826" s="111"/>
      <c r="BG826" s="111"/>
      <c r="BH826" s="111"/>
      <c r="BI826" s="111"/>
      <c r="BJ826" s="111"/>
      <c r="BK826" s="111"/>
      <c r="BL826" s="111"/>
      <c r="BM826" s="111"/>
      <c r="BN826" s="111"/>
      <c r="BO826" s="111"/>
      <c r="BP826" s="111"/>
      <c r="BQ826" s="111"/>
      <c r="BR826" s="111"/>
      <c r="BS826" s="111"/>
      <c r="BT826" s="111"/>
      <c r="BU826" s="111"/>
      <c r="BV826" s="111"/>
    </row>
    <row r="827" spans="1:74" s="50" customFormat="1" ht="15" hidden="1" customHeight="1">
      <c r="A827" s="109">
        <v>823</v>
      </c>
      <c r="B827" s="112" t="s">
        <v>1653</v>
      </c>
      <c r="C827" s="115" t="s">
        <v>1654</v>
      </c>
      <c r="D827" s="26" t="s">
        <v>14</v>
      </c>
      <c r="E827" s="109"/>
      <c r="F827" s="109"/>
      <c r="G827" s="110">
        <v>1</v>
      </c>
      <c r="H827" s="3">
        <f t="shared" si="39"/>
        <v>0</v>
      </c>
      <c r="I827" s="3">
        <f t="shared" si="40"/>
        <v>0</v>
      </c>
      <c r="J827" s="110">
        <f t="shared" si="41"/>
        <v>1</v>
      </c>
      <c r="K827" s="110"/>
      <c r="L827" s="110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  <c r="AJ827" s="111"/>
      <c r="AK827" s="111"/>
      <c r="AL827" s="111"/>
      <c r="AM827" s="111"/>
      <c r="AN827" s="111"/>
      <c r="AO827" s="111"/>
      <c r="AP827" s="111"/>
      <c r="AQ827" s="111"/>
      <c r="AR827" s="111"/>
      <c r="AS827" s="111"/>
      <c r="AT827" s="111"/>
      <c r="AU827" s="111"/>
      <c r="AV827" s="111"/>
      <c r="AW827" s="111"/>
      <c r="AX827" s="111"/>
      <c r="AY827" s="111"/>
      <c r="AZ827" s="111"/>
      <c r="BA827" s="111"/>
      <c r="BB827" s="111"/>
      <c r="BC827" s="111"/>
      <c r="BD827" s="111"/>
      <c r="BE827" s="111"/>
      <c r="BF827" s="111"/>
      <c r="BG827" s="111"/>
      <c r="BH827" s="111"/>
      <c r="BI827" s="111"/>
      <c r="BJ827" s="111"/>
      <c r="BK827" s="111"/>
      <c r="BL827" s="111"/>
      <c r="BM827" s="111"/>
      <c r="BN827" s="111"/>
      <c r="BO827" s="111"/>
      <c r="BP827" s="111"/>
      <c r="BQ827" s="111"/>
      <c r="BR827" s="111"/>
      <c r="BS827" s="111"/>
      <c r="BT827" s="111"/>
      <c r="BU827" s="111"/>
      <c r="BV827" s="111"/>
    </row>
    <row r="828" spans="1:74" s="50" customFormat="1" ht="15" hidden="1" customHeight="1">
      <c r="A828" s="109">
        <v>824</v>
      </c>
      <c r="B828" s="112" t="s">
        <v>1655</v>
      </c>
      <c r="C828" s="115" t="s">
        <v>1656</v>
      </c>
      <c r="D828" s="26" t="s">
        <v>14</v>
      </c>
      <c r="E828" s="109"/>
      <c r="F828" s="109"/>
      <c r="G828" s="110">
        <v>0</v>
      </c>
      <c r="H828" s="3">
        <f t="shared" si="39"/>
        <v>0</v>
      </c>
      <c r="I828" s="3">
        <f t="shared" si="40"/>
        <v>0</v>
      </c>
      <c r="J828" s="110">
        <f t="shared" si="41"/>
        <v>0</v>
      </c>
      <c r="K828" s="110"/>
      <c r="L828" s="110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  <c r="AJ828" s="111"/>
      <c r="AK828" s="111"/>
      <c r="AL828" s="111"/>
      <c r="AM828" s="111"/>
      <c r="AN828" s="111"/>
      <c r="AO828" s="111"/>
      <c r="AP828" s="111"/>
      <c r="AQ828" s="111"/>
      <c r="AR828" s="111"/>
      <c r="AS828" s="111"/>
      <c r="AT828" s="111"/>
      <c r="AU828" s="111"/>
      <c r="AV828" s="111"/>
      <c r="AW828" s="111"/>
      <c r="AX828" s="111"/>
      <c r="AY828" s="111"/>
      <c r="AZ828" s="111"/>
      <c r="BA828" s="111"/>
      <c r="BB828" s="111"/>
      <c r="BC828" s="111"/>
      <c r="BD828" s="111"/>
      <c r="BE828" s="111"/>
      <c r="BF828" s="111"/>
      <c r="BG828" s="111"/>
      <c r="BH828" s="111"/>
      <c r="BI828" s="111"/>
      <c r="BJ828" s="111"/>
      <c r="BK828" s="111"/>
      <c r="BL828" s="111"/>
      <c r="BM828" s="111"/>
      <c r="BN828" s="111"/>
      <c r="BO828" s="111"/>
      <c r="BP828" s="111"/>
      <c r="BQ828" s="111"/>
      <c r="BR828" s="111"/>
      <c r="BS828" s="111"/>
      <c r="BT828" s="111"/>
      <c r="BU828" s="111"/>
      <c r="BV828" s="111"/>
    </row>
    <row r="829" spans="1:74" s="50" customFormat="1" ht="15" hidden="1" customHeight="1">
      <c r="A829" s="109">
        <v>825</v>
      </c>
      <c r="B829" s="112" t="s">
        <v>1657</v>
      </c>
      <c r="C829" s="115" t="s">
        <v>1658</v>
      </c>
      <c r="D829" s="26" t="s">
        <v>14</v>
      </c>
      <c r="E829" s="109"/>
      <c r="F829" s="109"/>
      <c r="G829" s="110">
        <v>3</v>
      </c>
      <c r="H829" s="3">
        <f t="shared" si="39"/>
        <v>0</v>
      </c>
      <c r="I829" s="3">
        <f t="shared" si="40"/>
        <v>0</v>
      </c>
      <c r="J829" s="110">
        <f t="shared" si="41"/>
        <v>3</v>
      </c>
      <c r="K829" s="110"/>
      <c r="L829" s="110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  <c r="AJ829" s="111"/>
      <c r="AK829" s="111"/>
      <c r="AL829" s="111"/>
      <c r="AM829" s="111"/>
      <c r="AN829" s="111"/>
      <c r="AO829" s="111"/>
      <c r="AP829" s="111"/>
      <c r="AQ829" s="111"/>
      <c r="AR829" s="111"/>
      <c r="AS829" s="111"/>
      <c r="AT829" s="111"/>
      <c r="AU829" s="111"/>
      <c r="AV829" s="111"/>
      <c r="AW829" s="111"/>
      <c r="AX829" s="111"/>
      <c r="AY829" s="111"/>
      <c r="AZ829" s="111"/>
      <c r="BA829" s="111"/>
      <c r="BB829" s="111"/>
      <c r="BC829" s="111"/>
      <c r="BD829" s="111"/>
      <c r="BE829" s="111"/>
      <c r="BF829" s="111"/>
      <c r="BG829" s="111"/>
      <c r="BH829" s="111"/>
      <c r="BI829" s="111"/>
      <c r="BJ829" s="111"/>
      <c r="BK829" s="111"/>
      <c r="BL829" s="111"/>
      <c r="BM829" s="111"/>
      <c r="BN829" s="111"/>
      <c r="BO829" s="111"/>
      <c r="BP829" s="111"/>
      <c r="BQ829" s="111"/>
      <c r="BR829" s="111"/>
      <c r="BS829" s="111"/>
      <c r="BT829" s="111"/>
      <c r="BU829" s="111"/>
      <c r="BV829" s="111"/>
    </row>
    <row r="830" spans="1:74" s="92" customFormat="1" ht="15" hidden="1" customHeight="1">
      <c r="A830" s="109">
        <v>826</v>
      </c>
      <c r="B830" s="116" t="s">
        <v>1659</v>
      </c>
      <c r="C830" s="115" t="s">
        <v>1660</v>
      </c>
      <c r="D830" s="26" t="s">
        <v>21</v>
      </c>
      <c r="E830" s="109"/>
      <c r="F830" s="109"/>
      <c r="G830" s="108">
        <v>306</v>
      </c>
      <c r="H830" s="26">
        <f t="shared" si="39"/>
        <v>0</v>
      </c>
      <c r="I830" s="26">
        <f t="shared" si="40"/>
        <v>0</v>
      </c>
      <c r="J830" s="108">
        <f t="shared" si="41"/>
        <v>306</v>
      </c>
      <c r="K830" s="108"/>
      <c r="L830" s="108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  <c r="AO830" s="109"/>
      <c r="AP830" s="109"/>
      <c r="AQ830" s="109"/>
      <c r="AR830" s="109"/>
      <c r="AS830" s="109"/>
      <c r="AT830" s="109"/>
      <c r="AU830" s="109"/>
      <c r="AV830" s="109"/>
      <c r="AW830" s="109"/>
      <c r="AX830" s="109"/>
      <c r="AY830" s="109"/>
      <c r="AZ830" s="109"/>
      <c r="BA830" s="109"/>
      <c r="BB830" s="109"/>
      <c r="BC830" s="109"/>
      <c r="BD830" s="109"/>
      <c r="BE830" s="109"/>
      <c r="BF830" s="109"/>
      <c r="BG830" s="109"/>
      <c r="BH830" s="109"/>
      <c r="BI830" s="109"/>
      <c r="BJ830" s="109"/>
      <c r="BK830" s="109"/>
      <c r="BL830" s="109"/>
      <c r="BM830" s="109"/>
      <c r="BN830" s="109"/>
      <c r="BO830" s="109"/>
      <c r="BP830" s="109"/>
      <c r="BQ830" s="109"/>
      <c r="BR830" s="109"/>
      <c r="BS830" s="109"/>
      <c r="BT830" s="109"/>
      <c r="BU830" s="109"/>
      <c r="BV830" s="109"/>
    </row>
    <row r="831" spans="1:74" s="50" customFormat="1" ht="15" hidden="1" customHeight="1">
      <c r="A831" s="109">
        <v>827</v>
      </c>
      <c r="B831" s="112" t="s">
        <v>1661</v>
      </c>
      <c r="C831" s="115" t="s">
        <v>1662</v>
      </c>
      <c r="D831" s="26" t="s">
        <v>21</v>
      </c>
      <c r="E831" s="109"/>
      <c r="F831" s="109"/>
      <c r="G831" s="110">
        <v>135</v>
      </c>
      <c r="H831" s="3">
        <f t="shared" si="39"/>
        <v>0</v>
      </c>
      <c r="I831" s="3">
        <f t="shared" si="40"/>
        <v>0</v>
      </c>
      <c r="J831" s="110">
        <f t="shared" si="41"/>
        <v>135</v>
      </c>
      <c r="K831" s="110"/>
      <c r="L831" s="110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  <c r="AJ831" s="111"/>
      <c r="AK831" s="111"/>
      <c r="AL831" s="111"/>
      <c r="AM831" s="111"/>
      <c r="AN831" s="111"/>
      <c r="AO831" s="111"/>
      <c r="AP831" s="111"/>
      <c r="AQ831" s="111"/>
      <c r="AR831" s="111"/>
      <c r="AS831" s="111"/>
      <c r="AT831" s="111"/>
      <c r="AU831" s="111"/>
      <c r="AV831" s="111"/>
      <c r="AW831" s="111"/>
      <c r="AX831" s="111"/>
      <c r="AY831" s="111"/>
      <c r="AZ831" s="111"/>
      <c r="BA831" s="111"/>
      <c r="BB831" s="111"/>
      <c r="BC831" s="111"/>
      <c r="BD831" s="111"/>
      <c r="BE831" s="111"/>
      <c r="BF831" s="111"/>
      <c r="BG831" s="111"/>
      <c r="BH831" s="111"/>
      <c r="BI831" s="111"/>
      <c r="BJ831" s="111"/>
      <c r="BK831" s="111"/>
      <c r="BL831" s="111"/>
      <c r="BM831" s="111"/>
      <c r="BN831" s="111"/>
      <c r="BO831" s="111"/>
      <c r="BP831" s="111"/>
      <c r="BQ831" s="111"/>
      <c r="BR831" s="111"/>
      <c r="BS831" s="111"/>
      <c r="BT831" s="111"/>
      <c r="BU831" s="111"/>
      <c r="BV831" s="111"/>
    </row>
    <row r="832" spans="1:74" s="50" customFormat="1" ht="15" hidden="1" customHeight="1">
      <c r="A832" s="142">
        <v>828</v>
      </c>
      <c r="B832" s="252" t="s">
        <v>1663</v>
      </c>
      <c r="C832" s="253" t="s">
        <v>1664</v>
      </c>
      <c r="D832" s="143" t="s">
        <v>21</v>
      </c>
      <c r="E832" s="109"/>
      <c r="F832" s="109"/>
      <c r="G832" s="110">
        <v>1</v>
      </c>
      <c r="H832" s="3">
        <f t="shared" si="39"/>
        <v>0</v>
      </c>
      <c r="I832" s="3">
        <f t="shared" si="40"/>
        <v>0</v>
      </c>
      <c r="J832" s="110">
        <f t="shared" si="41"/>
        <v>1</v>
      </c>
      <c r="K832" s="110"/>
      <c r="L832" s="110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  <c r="AJ832" s="111"/>
      <c r="AK832" s="111"/>
      <c r="AL832" s="111"/>
      <c r="AM832" s="111"/>
      <c r="AN832" s="111"/>
      <c r="AO832" s="111"/>
      <c r="AP832" s="111"/>
      <c r="AQ832" s="111"/>
      <c r="AR832" s="111"/>
      <c r="AS832" s="111"/>
      <c r="AT832" s="111"/>
      <c r="AU832" s="111"/>
      <c r="AV832" s="111"/>
      <c r="AW832" s="111"/>
      <c r="AX832" s="111"/>
      <c r="AY832" s="111"/>
      <c r="AZ832" s="111"/>
      <c r="BA832" s="111"/>
      <c r="BB832" s="111"/>
      <c r="BC832" s="111"/>
      <c r="BD832" s="111"/>
      <c r="BE832" s="111"/>
      <c r="BF832" s="111"/>
      <c r="BG832" s="111"/>
      <c r="BH832" s="111"/>
      <c r="BI832" s="111"/>
      <c r="BJ832" s="111"/>
      <c r="BK832" s="111"/>
      <c r="BL832" s="111"/>
      <c r="BM832" s="111"/>
      <c r="BN832" s="111"/>
      <c r="BO832" s="111"/>
      <c r="BP832" s="111"/>
      <c r="BQ832" s="111"/>
      <c r="BR832" s="111"/>
      <c r="BS832" s="111"/>
      <c r="BT832" s="111"/>
      <c r="BU832" s="111"/>
      <c r="BV832" s="111"/>
    </row>
    <row r="833" spans="1:74" s="50" customFormat="1" ht="15" hidden="1" customHeight="1">
      <c r="A833" s="142">
        <v>829</v>
      </c>
      <c r="B833" s="252" t="s">
        <v>1665</v>
      </c>
      <c r="C833" s="253" t="s">
        <v>1666</v>
      </c>
      <c r="D833" s="143" t="s">
        <v>21</v>
      </c>
      <c r="E833" s="109"/>
      <c r="F833" s="109"/>
      <c r="G833" s="110">
        <v>1</v>
      </c>
      <c r="H833" s="3">
        <f t="shared" si="39"/>
        <v>0</v>
      </c>
      <c r="I833" s="3">
        <f t="shared" si="40"/>
        <v>0</v>
      </c>
      <c r="J833" s="110">
        <f t="shared" si="41"/>
        <v>1</v>
      </c>
      <c r="K833" s="110"/>
      <c r="L833" s="110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  <c r="AJ833" s="111"/>
      <c r="AK833" s="111"/>
      <c r="AL833" s="111"/>
      <c r="AM833" s="111"/>
      <c r="AN833" s="111"/>
      <c r="AO833" s="111"/>
      <c r="AP833" s="111"/>
      <c r="AQ833" s="111"/>
      <c r="AR833" s="111"/>
      <c r="AS833" s="111"/>
      <c r="AT833" s="111"/>
      <c r="AU833" s="111"/>
      <c r="AV833" s="111"/>
      <c r="AW833" s="111"/>
      <c r="AX833" s="111"/>
      <c r="AY833" s="111"/>
      <c r="AZ833" s="111"/>
      <c r="BA833" s="111"/>
      <c r="BB833" s="111"/>
      <c r="BC833" s="111"/>
      <c r="BD833" s="111"/>
      <c r="BE833" s="111"/>
      <c r="BF833" s="111"/>
      <c r="BG833" s="111"/>
      <c r="BH833" s="111"/>
      <c r="BI833" s="111"/>
      <c r="BJ833" s="111"/>
      <c r="BK833" s="111"/>
      <c r="BL833" s="111"/>
      <c r="BM833" s="111"/>
      <c r="BN833" s="111"/>
      <c r="BO833" s="111"/>
      <c r="BP833" s="111"/>
      <c r="BQ833" s="111"/>
      <c r="BR833" s="111"/>
      <c r="BS833" s="111"/>
      <c r="BT833" s="111"/>
      <c r="BU833" s="111"/>
      <c r="BV833" s="111"/>
    </row>
    <row r="834" spans="1:74" s="50" customFormat="1" ht="15" hidden="1" customHeight="1">
      <c r="A834" s="142">
        <v>830</v>
      </c>
      <c r="B834" s="297" t="s">
        <v>1667</v>
      </c>
      <c r="C834" s="253" t="s">
        <v>1668</v>
      </c>
      <c r="D834" s="143" t="s">
        <v>21</v>
      </c>
      <c r="E834" s="109"/>
      <c r="F834" s="109"/>
      <c r="G834" s="110">
        <v>8</v>
      </c>
      <c r="H834" s="3">
        <f t="shared" si="39"/>
        <v>0</v>
      </c>
      <c r="I834" s="3">
        <f t="shared" si="40"/>
        <v>0</v>
      </c>
      <c r="J834" s="110">
        <f t="shared" si="41"/>
        <v>8</v>
      </c>
      <c r="K834" s="110"/>
      <c r="L834" s="110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  <c r="AJ834" s="111"/>
      <c r="AK834" s="111"/>
      <c r="AL834" s="111"/>
      <c r="AM834" s="111"/>
      <c r="AN834" s="111"/>
      <c r="AO834" s="111"/>
      <c r="AP834" s="111"/>
      <c r="AQ834" s="111"/>
      <c r="AR834" s="111"/>
      <c r="AS834" s="111"/>
      <c r="AT834" s="111"/>
      <c r="AU834" s="111"/>
      <c r="AV834" s="111"/>
      <c r="AW834" s="111"/>
      <c r="AX834" s="111"/>
      <c r="AY834" s="111"/>
      <c r="AZ834" s="111"/>
      <c r="BA834" s="111"/>
      <c r="BB834" s="111"/>
      <c r="BC834" s="111"/>
      <c r="BD834" s="111"/>
      <c r="BE834" s="111"/>
      <c r="BF834" s="111"/>
      <c r="BG834" s="111"/>
      <c r="BH834" s="111"/>
      <c r="BI834" s="111"/>
      <c r="BJ834" s="111"/>
      <c r="BK834" s="111"/>
      <c r="BL834" s="111"/>
      <c r="BM834" s="111"/>
      <c r="BN834" s="111"/>
      <c r="BO834" s="111"/>
      <c r="BP834" s="111"/>
      <c r="BQ834" s="111"/>
      <c r="BR834" s="111"/>
      <c r="BS834" s="111"/>
      <c r="BT834" s="111"/>
      <c r="BU834" s="111"/>
      <c r="BV834" s="111"/>
    </row>
    <row r="835" spans="1:74" s="50" customFormat="1" ht="15" hidden="1" customHeight="1">
      <c r="A835" s="142">
        <v>831</v>
      </c>
      <c r="B835" s="252" t="s">
        <v>1669</v>
      </c>
      <c r="C835" s="253" t="s">
        <v>1670</v>
      </c>
      <c r="D835" s="143" t="s">
        <v>21</v>
      </c>
      <c r="E835" s="109"/>
      <c r="F835" s="109"/>
      <c r="G835" s="110">
        <v>8</v>
      </c>
      <c r="H835" s="3">
        <f t="shared" si="39"/>
        <v>0</v>
      </c>
      <c r="I835" s="3">
        <f t="shared" si="40"/>
        <v>0</v>
      </c>
      <c r="J835" s="110">
        <f t="shared" si="41"/>
        <v>8</v>
      </c>
      <c r="K835" s="110"/>
      <c r="L835" s="110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  <c r="AJ835" s="111"/>
      <c r="AK835" s="111"/>
      <c r="AL835" s="111"/>
      <c r="AM835" s="111"/>
      <c r="AN835" s="111"/>
      <c r="AO835" s="111"/>
      <c r="AP835" s="111"/>
      <c r="AQ835" s="111"/>
      <c r="AR835" s="111"/>
      <c r="AS835" s="111"/>
      <c r="AT835" s="111"/>
      <c r="AU835" s="111"/>
      <c r="AV835" s="111"/>
      <c r="AW835" s="111"/>
      <c r="AX835" s="111"/>
      <c r="AY835" s="111"/>
      <c r="AZ835" s="111"/>
      <c r="BA835" s="111"/>
      <c r="BB835" s="111"/>
      <c r="BC835" s="111"/>
      <c r="BD835" s="111"/>
      <c r="BE835" s="111"/>
      <c r="BF835" s="111"/>
      <c r="BG835" s="111"/>
      <c r="BH835" s="111"/>
      <c r="BI835" s="111"/>
      <c r="BJ835" s="111"/>
      <c r="BK835" s="111"/>
      <c r="BL835" s="111"/>
      <c r="BM835" s="111"/>
      <c r="BN835" s="111"/>
      <c r="BO835" s="111"/>
      <c r="BP835" s="111"/>
      <c r="BQ835" s="111"/>
      <c r="BR835" s="111"/>
      <c r="BS835" s="111"/>
      <c r="BT835" s="111"/>
      <c r="BU835" s="111"/>
      <c r="BV835" s="111"/>
    </row>
    <row r="836" spans="1:74" s="50" customFormat="1" ht="15" hidden="1" customHeight="1">
      <c r="A836" s="142">
        <v>832</v>
      </c>
      <c r="B836" s="292" t="s">
        <v>1671</v>
      </c>
      <c r="C836" s="253" t="s">
        <v>1672</v>
      </c>
      <c r="D836" s="143" t="s">
        <v>21</v>
      </c>
      <c r="E836" s="109"/>
      <c r="F836" s="109"/>
      <c r="G836" s="110">
        <v>8</v>
      </c>
      <c r="H836" s="3">
        <f t="shared" si="39"/>
        <v>0</v>
      </c>
      <c r="I836" s="3">
        <f t="shared" si="40"/>
        <v>0</v>
      </c>
      <c r="J836" s="110">
        <f t="shared" si="41"/>
        <v>8</v>
      </c>
      <c r="K836" s="110"/>
      <c r="L836" s="110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  <c r="AJ836" s="111"/>
      <c r="AK836" s="111"/>
      <c r="AL836" s="111"/>
      <c r="AM836" s="111"/>
      <c r="AN836" s="111"/>
      <c r="AO836" s="111"/>
      <c r="AP836" s="111"/>
      <c r="AQ836" s="111"/>
      <c r="AR836" s="111"/>
      <c r="AS836" s="111"/>
      <c r="AT836" s="111"/>
      <c r="AU836" s="111"/>
      <c r="AV836" s="111"/>
      <c r="AW836" s="111"/>
      <c r="AX836" s="111"/>
      <c r="AY836" s="111"/>
      <c r="AZ836" s="111"/>
      <c r="BA836" s="111"/>
      <c r="BB836" s="111"/>
      <c r="BC836" s="111"/>
      <c r="BD836" s="111"/>
      <c r="BE836" s="111"/>
      <c r="BF836" s="111"/>
      <c r="BG836" s="111"/>
      <c r="BH836" s="111"/>
      <c r="BI836" s="111"/>
      <c r="BJ836" s="111"/>
      <c r="BK836" s="111"/>
      <c r="BL836" s="111"/>
      <c r="BM836" s="111"/>
      <c r="BN836" s="111"/>
      <c r="BO836" s="111"/>
      <c r="BP836" s="111"/>
      <c r="BQ836" s="111"/>
      <c r="BR836" s="111"/>
      <c r="BS836" s="111"/>
      <c r="BT836" s="111"/>
      <c r="BU836" s="111"/>
      <c r="BV836" s="111"/>
    </row>
    <row r="837" spans="1:74" s="50" customFormat="1" ht="15" hidden="1" customHeight="1">
      <c r="A837" s="109">
        <v>833</v>
      </c>
      <c r="B837" s="112" t="s">
        <v>1673</v>
      </c>
      <c r="C837" s="115" t="s">
        <v>1674</v>
      </c>
      <c r="D837" s="26" t="s">
        <v>21</v>
      </c>
      <c r="E837" s="109"/>
      <c r="F837" s="109"/>
      <c r="G837" s="110">
        <v>0</v>
      </c>
      <c r="H837" s="3">
        <f t="shared" si="39"/>
        <v>0</v>
      </c>
      <c r="I837" s="3">
        <f t="shared" si="40"/>
        <v>0</v>
      </c>
      <c r="J837" s="110">
        <f t="shared" si="41"/>
        <v>0</v>
      </c>
      <c r="K837" s="110"/>
      <c r="L837" s="110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  <c r="AJ837" s="111"/>
      <c r="AK837" s="111"/>
      <c r="AL837" s="111"/>
      <c r="AM837" s="111"/>
      <c r="AN837" s="111"/>
      <c r="AO837" s="111"/>
      <c r="AP837" s="111"/>
      <c r="AQ837" s="111"/>
      <c r="AR837" s="111"/>
      <c r="AS837" s="111"/>
      <c r="AT837" s="111"/>
      <c r="AU837" s="111"/>
      <c r="AV837" s="111"/>
      <c r="AW837" s="111"/>
      <c r="AX837" s="111"/>
      <c r="AY837" s="111"/>
      <c r="AZ837" s="111"/>
      <c r="BA837" s="111"/>
      <c r="BB837" s="111"/>
      <c r="BC837" s="111"/>
      <c r="BD837" s="111"/>
      <c r="BE837" s="111"/>
      <c r="BF837" s="111"/>
      <c r="BG837" s="111"/>
      <c r="BH837" s="111"/>
      <c r="BI837" s="111"/>
      <c r="BJ837" s="111"/>
      <c r="BK837" s="111"/>
      <c r="BL837" s="111"/>
      <c r="BM837" s="111"/>
      <c r="BN837" s="111"/>
      <c r="BO837" s="111"/>
      <c r="BP837" s="111"/>
      <c r="BQ837" s="111"/>
      <c r="BR837" s="111"/>
      <c r="BS837" s="111"/>
      <c r="BT837" s="111"/>
      <c r="BU837" s="111"/>
      <c r="BV837" s="111"/>
    </row>
    <row r="838" spans="1:74" s="50" customFormat="1" ht="15.75" hidden="1" customHeight="1">
      <c r="A838" s="109">
        <v>834</v>
      </c>
      <c r="B838" s="112" t="s">
        <v>1675</v>
      </c>
      <c r="C838" s="151" t="s">
        <v>1676</v>
      </c>
      <c r="D838" s="26" t="s">
        <v>21</v>
      </c>
      <c r="E838" s="109"/>
      <c r="F838" s="109"/>
      <c r="G838" s="110">
        <v>1</v>
      </c>
      <c r="H838" s="3">
        <f t="shared" si="39"/>
        <v>0</v>
      </c>
      <c r="I838" s="3">
        <f t="shared" si="40"/>
        <v>0</v>
      </c>
      <c r="J838" s="110">
        <f t="shared" si="41"/>
        <v>1</v>
      </c>
      <c r="K838" s="110"/>
      <c r="L838" s="110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  <c r="AJ838" s="111"/>
      <c r="AK838" s="111"/>
      <c r="AL838" s="111"/>
      <c r="AM838" s="111"/>
      <c r="AN838" s="111"/>
      <c r="AO838" s="111"/>
      <c r="AP838" s="111"/>
      <c r="AQ838" s="111"/>
      <c r="AR838" s="111"/>
      <c r="AS838" s="111"/>
      <c r="AT838" s="111"/>
      <c r="AU838" s="111"/>
      <c r="AV838" s="111"/>
      <c r="AW838" s="111"/>
      <c r="AX838" s="111"/>
      <c r="AY838" s="111"/>
      <c r="AZ838" s="111"/>
      <c r="BA838" s="111"/>
      <c r="BB838" s="111"/>
      <c r="BC838" s="111"/>
      <c r="BD838" s="111"/>
      <c r="BE838" s="111"/>
      <c r="BF838" s="111"/>
      <c r="BG838" s="111"/>
      <c r="BH838" s="111"/>
      <c r="BI838" s="111"/>
      <c r="BJ838" s="111"/>
      <c r="BK838" s="111"/>
      <c r="BL838" s="111"/>
      <c r="BM838" s="111"/>
      <c r="BN838" s="111"/>
      <c r="BO838" s="111"/>
      <c r="BP838" s="111"/>
      <c r="BQ838" s="111"/>
      <c r="BR838" s="111"/>
      <c r="BS838" s="111"/>
      <c r="BT838" s="111"/>
      <c r="BU838" s="111"/>
      <c r="BV838" s="111"/>
    </row>
    <row r="839" spans="1:74" s="50" customFormat="1" ht="15" hidden="1" customHeight="1">
      <c r="A839" s="109">
        <v>835</v>
      </c>
      <c r="B839" s="112" t="s">
        <v>1677</v>
      </c>
      <c r="C839" s="149" t="s">
        <v>1678</v>
      </c>
      <c r="D839" s="26" t="s">
        <v>21</v>
      </c>
      <c r="E839" s="109"/>
      <c r="F839" s="109"/>
      <c r="G839" s="110">
        <v>3</v>
      </c>
      <c r="H839" s="3">
        <f t="shared" si="39"/>
        <v>0</v>
      </c>
      <c r="I839" s="3">
        <f t="shared" si="40"/>
        <v>0</v>
      </c>
      <c r="J839" s="110">
        <f t="shared" si="41"/>
        <v>3</v>
      </c>
      <c r="K839" s="110"/>
      <c r="L839" s="110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  <c r="AJ839" s="111"/>
      <c r="AK839" s="111"/>
      <c r="AL839" s="111"/>
      <c r="AM839" s="111"/>
      <c r="AN839" s="111"/>
      <c r="AO839" s="111"/>
      <c r="AP839" s="111"/>
      <c r="AQ839" s="111"/>
      <c r="AR839" s="111"/>
      <c r="AS839" s="111"/>
      <c r="AT839" s="111"/>
      <c r="AU839" s="111"/>
      <c r="AV839" s="111"/>
      <c r="AW839" s="111"/>
      <c r="AX839" s="111"/>
      <c r="AY839" s="111"/>
      <c r="AZ839" s="111"/>
      <c r="BA839" s="111"/>
      <c r="BB839" s="111"/>
      <c r="BC839" s="111"/>
      <c r="BD839" s="111"/>
      <c r="BE839" s="111"/>
      <c r="BF839" s="111"/>
      <c r="BG839" s="111"/>
      <c r="BH839" s="111"/>
      <c r="BI839" s="111"/>
      <c r="BJ839" s="111"/>
      <c r="BK839" s="111"/>
      <c r="BL839" s="111"/>
      <c r="BM839" s="111"/>
      <c r="BN839" s="111"/>
      <c r="BO839" s="111"/>
      <c r="BP839" s="111"/>
      <c r="BQ839" s="111"/>
      <c r="BR839" s="111"/>
      <c r="BS839" s="111"/>
      <c r="BT839" s="111"/>
      <c r="BU839" s="111"/>
      <c r="BV839" s="111"/>
    </row>
    <row r="840" spans="1:74" s="50" customFormat="1" ht="15" hidden="1" customHeight="1">
      <c r="A840" s="109">
        <v>836</v>
      </c>
      <c r="B840" s="112" t="s">
        <v>1679</v>
      </c>
      <c r="C840" s="149" t="s">
        <v>1680</v>
      </c>
      <c r="D840" s="26" t="s">
        <v>21</v>
      </c>
      <c r="E840" s="109"/>
      <c r="F840" s="109"/>
      <c r="G840" s="110">
        <v>1</v>
      </c>
      <c r="H840" s="3">
        <f t="shared" si="39"/>
        <v>0</v>
      </c>
      <c r="I840" s="3">
        <f t="shared" si="40"/>
        <v>0</v>
      </c>
      <c r="J840" s="110">
        <f t="shared" si="41"/>
        <v>1</v>
      </c>
      <c r="K840" s="110"/>
      <c r="L840" s="110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  <c r="AJ840" s="111"/>
      <c r="AK840" s="111"/>
      <c r="AL840" s="111"/>
      <c r="AM840" s="111"/>
      <c r="AN840" s="111"/>
      <c r="AO840" s="111"/>
      <c r="AP840" s="111"/>
      <c r="AQ840" s="111"/>
      <c r="AR840" s="111"/>
      <c r="AS840" s="111"/>
      <c r="AT840" s="111"/>
      <c r="AU840" s="111"/>
      <c r="AV840" s="111"/>
      <c r="AW840" s="111"/>
      <c r="AX840" s="111"/>
      <c r="AY840" s="111"/>
      <c r="AZ840" s="111"/>
      <c r="BA840" s="111"/>
      <c r="BB840" s="111"/>
      <c r="BC840" s="111"/>
      <c r="BD840" s="111"/>
      <c r="BE840" s="111"/>
      <c r="BF840" s="111"/>
      <c r="BG840" s="111"/>
      <c r="BH840" s="111"/>
      <c r="BI840" s="111"/>
      <c r="BJ840" s="111"/>
      <c r="BK840" s="111"/>
      <c r="BL840" s="111"/>
      <c r="BM840" s="111"/>
      <c r="BN840" s="111"/>
      <c r="BO840" s="111"/>
      <c r="BP840" s="111"/>
      <c r="BQ840" s="111"/>
      <c r="BR840" s="111"/>
      <c r="BS840" s="111"/>
      <c r="BT840" s="111"/>
      <c r="BU840" s="111"/>
      <c r="BV840" s="111"/>
    </row>
    <row r="841" spans="1:74" s="50" customFormat="1" ht="15" hidden="1" customHeight="1">
      <c r="A841" s="109">
        <v>837</v>
      </c>
      <c r="B841" s="112" t="s">
        <v>1681</v>
      </c>
      <c r="C841" s="149" t="s">
        <v>1682</v>
      </c>
      <c r="D841" s="26" t="s">
        <v>21</v>
      </c>
      <c r="E841" s="109"/>
      <c r="F841" s="109"/>
      <c r="G841" s="110">
        <v>0</v>
      </c>
      <c r="H841" s="3">
        <f t="shared" si="39"/>
        <v>0</v>
      </c>
      <c r="I841" s="3">
        <f t="shared" si="40"/>
        <v>0</v>
      </c>
      <c r="J841" s="110">
        <f t="shared" si="41"/>
        <v>0</v>
      </c>
      <c r="K841" s="110"/>
      <c r="L841" s="110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  <c r="AJ841" s="111"/>
      <c r="AK841" s="111"/>
      <c r="AL841" s="111"/>
      <c r="AM841" s="111"/>
      <c r="AN841" s="111"/>
      <c r="AO841" s="111"/>
      <c r="AP841" s="111"/>
      <c r="AQ841" s="111"/>
      <c r="AR841" s="111"/>
      <c r="AS841" s="111"/>
      <c r="AT841" s="111"/>
      <c r="AU841" s="111"/>
      <c r="AV841" s="111"/>
      <c r="AW841" s="111"/>
      <c r="AX841" s="111"/>
      <c r="AY841" s="111"/>
      <c r="AZ841" s="111"/>
      <c r="BA841" s="111"/>
      <c r="BB841" s="111"/>
      <c r="BC841" s="111"/>
      <c r="BD841" s="111"/>
      <c r="BE841" s="111"/>
      <c r="BF841" s="111"/>
      <c r="BG841" s="111"/>
      <c r="BH841" s="111"/>
      <c r="BI841" s="111"/>
      <c r="BJ841" s="111"/>
      <c r="BK841" s="111"/>
      <c r="BL841" s="111"/>
      <c r="BM841" s="111"/>
      <c r="BN841" s="111"/>
      <c r="BO841" s="111"/>
      <c r="BP841" s="111"/>
      <c r="BQ841" s="111"/>
      <c r="BR841" s="111"/>
      <c r="BS841" s="111"/>
      <c r="BT841" s="111"/>
      <c r="BU841" s="111"/>
      <c r="BV841" s="111"/>
    </row>
    <row r="842" spans="1:74" s="50" customFormat="1" ht="15" hidden="1" customHeight="1">
      <c r="A842" s="109">
        <v>838</v>
      </c>
      <c r="B842" s="112" t="s">
        <v>1683</v>
      </c>
      <c r="C842" s="115" t="s">
        <v>1684</v>
      </c>
      <c r="D842" s="26" t="s">
        <v>21</v>
      </c>
      <c r="E842" s="109"/>
      <c r="F842" s="109"/>
      <c r="G842" s="110">
        <v>1</v>
      </c>
      <c r="H842" s="3">
        <f t="shared" si="39"/>
        <v>0</v>
      </c>
      <c r="I842" s="3">
        <f t="shared" si="40"/>
        <v>0</v>
      </c>
      <c r="J842" s="110">
        <f t="shared" si="41"/>
        <v>1</v>
      </c>
      <c r="K842" s="110"/>
      <c r="L842" s="110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  <c r="AJ842" s="111"/>
      <c r="AK842" s="111"/>
      <c r="AL842" s="111"/>
      <c r="AM842" s="111"/>
      <c r="AN842" s="111"/>
      <c r="AO842" s="111"/>
      <c r="AP842" s="111"/>
      <c r="AQ842" s="111"/>
      <c r="AR842" s="111"/>
      <c r="AS842" s="111"/>
      <c r="AT842" s="111"/>
      <c r="AU842" s="111"/>
      <c r="AV842" s="111"/>
      <c r="AW842" s="111"/>
      <c r="AX842" s="111"/>
      <c r="AY842" s="111"/>
      <c r="AZ842" s="111"/>
      <c r="BA842" s="111"/>
      <c r="BB842" s="111"/>
      <c r="BC842" s="111"/>
      <c r="BD842" s="111"/>
      <c r="BE842" s="111"/>
      <c r="BF842" s="111"/>
      <c r="BG842" s="111"/>
      <c r="BH842" s="111"/>
      <c r="BI842" s="111"/>
      <c r="BJ842" s="111"/>
      <c r="BK842" s="111"/>
      <c r="BL842" s="111"/>
      <c r="BM842" s="111"/>
      <c r="BN842" s="111"/>
      <c r="BO842" s="111"/>
      <c r="BP842" s="111"/>
      <c r="BQ842" s="111"/>
      <c r="BR842" s="111"/>
      <c r="BS842" s="111"/>
      <c r="BT842" s="111"/>
      <c r="BU842" s="111"/>
      <c r="BV842" s="111"/>
    </row>
    <row r="843" spans="1:74" s="50" customFormat="1" ht="15" hidden="1" customHeight="1">
      <c r="A843" s="109">
        <v>839</v>
      </c>
      <c r="B843" s="112" t="s">
        <v>1685</v>
      </c>
      <c r="C843" s="115" t="s">
        <v>1686</v>
      </c>
      <c r="D843" s="26" t="s">
        <v>21</v>
      </c>
      <c r="E843" s="109"/>
      <c r="F843" s="109"/>
      <c r="G843" s="110">
        <v>1</v>
      </c>
      <c r="H843" s="3">
        <f t="shared" si="39"/>
        <v>0</v>
      </c>
      <c r="I843" s="3">
        <f t="shared" si="40"/>
        <v>0</v>
      </c>
      <c r="J843" s="110">
        <f t="shared" si="41"/>
        <v>1</v>
      </c>
      <c r="K843" s="110"/>
      <c r="L843" s="110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  <c r="AJ843" s="111"/>
      <c r="AK843" s="111"/>
      <c r="AL843" s="111"/>
      <c r="AM843" s="111"/>
      <c r="AN843" s="111"/>
      <c r="AO843" s="111"/>
      <c r="AP843" s="111"/>
      <c r="AQ843" s="111"/>
      <c r="AR843" s="111"/>
      <c r="AS843" s="111"/>
      <c r="AT843" s="111"/>
      <c r="AU843" s="111"/>
      <c r="AV843" s="111"/>
      <c r="AW843" s="111"/>
      <c r="AX843" s="111"/>
      <c r="AY843" s="111"/>
      <c r="AZ843" s="111"/>
      <c r="BA843" s="111"/>
      <c r="BB843" s="111"/>
      <c r="BC843" s="111"/>
      <c r="BD843" s="111"/>
      <c r="BE843" s="111"/>
      <c r="BF843" s="111"/>
      <c r="BG843" s="111"/>
      <c r="BH843" s="111"/>
      <c r="BI843" s="111"/>
      <c r="BJ843" s="111"/>
      <c r="BK843" s="111"/>
      <c r="BL843" s="111"/>
      <c r="BM843" s="111"/>
      <c r="BN843" s="111"/>
      <c r="BO843" s="111"/>
      <c r="BP843" s="111"/>
      <c r="BQ843" s="111"/>
      <c r="BR843" s="111"/>
      <c r="BS843" s="111"/>
      <c r="BT843" s="111"/>
      <c r="BU843" s="111"/>
      <c r="BV843" s="111"/>
    </row>
    <row r="844" spans="1:74" s="50" customFormat="1" ht="15" hidden="1" customHeight="1">
      <c r="A844" s="109">
        <v>840</v>
      </c>
      <c r="B844" s="26" t="s">
        <v>1687</v>
      </c>
      <c r="C844" s="27" t="s">
        <v>1688</v>
      </c>
      <c r="D844" s="26" t="s">
        <v>21</v>
      </c>
      <c r="E844" s="109"/>
      <c r="F844" s="109"/>
      <c r="G844" s="110">
        <v>1</v>
      </c>
      <c r="H844" s="3">
        <f t="shared" si="39"/>
        <v>0</v>
      </c>
      <c r="I844" s="3">
        <f t="shared" si="40"/>
        <v>0</v>
      </c>
      <c r="J844" s="110">
        <f t="shared" si="41"/>
        <v>1</v>
      </c>
      <c r="K844" s="110"/>
      <c r="L844" s="110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  <c r="AJ844" s="111"/>
      <c r="AK844" s="111"/>
      <c r="AL844" s="111"/>
      <c r="AM844" s="111"/>
      <c r="AN844" s="111"/>
      <c r="AO844" s="111"/>
      <c r="AP844" s="111"/>
      <c r="AQ844" s="111"/>
      <c r="AR844" s="111"/>
      <c r="AS844" s="111"/>
      <c r="AT844" s="111"/>
      <c r="AU844" s="111"/>
      <c r="AV844" s="111"/>
      <c r="AW844" s="111"/>
      <c r="AX844" s="111"/>
      <c r="AY844" s="111"/>
      <c r="AZ844" s="111"/>
      <c r="BA844" s="111"/>
      <c r="BB844" s="111"/>
      <c r="BC844" s="111"/>
      <c r="BD844" s="111"/>
      <c r="BE844" s="111"/>
      <c r="BF844" s="111"/>
      <c r="BG844" s="111"/>
      <c r="BH844" s="111"/>
      <c r="BI844" s="111"/>
      <c r="BJ844" s="111"/>
      <c r="BK844" s="111"/>
      <c r="BL844" s="111"/>
      <c r="BM844" s="111"/>
      <c r="BN844" s="111"/>
      <c r="BO844" s="111"/>
      <c r="BP844" s="111"/>
      <c r="BQ844" s="111"/>
      <c r="BR844" s="111"/>
      <c r="BS844" s="111"/>
      <c r="BT844" s="111"/>
      <c r="BU844" s="111"/>
      <c r="BV844" s="111"/>
    </row>
    <row r="845" spans="1:74" s="50" customFormat="1" ht="15" hidden="1" customHeight="1">
      <c r="A845" s="142">
        <v>841</v>
      </c>
      <c r="B845" s="252" t="s">
        <v>1689</v>
      </c>
      <c r="C845" s="253" t="s">
        <v>1690</v>
      </c>
      <c r="D845" s="143" t="s">
        <v>21</v>
      </c>
      <c r="E845" s="109"/>
      <c r="F845" s="109"/>
      <c r="G845" s="110">
        <v>40</v>
      </c>
      <c r="H845" s="3">
        <f t="shared" si="39"/>
        <v>0</v>
      </c>
      <c r="I845" s="3">
        <f t="shared" si="40"/>
        <v>0</v>
      </c>
      <c r="J845" s="110">
        <f t="shared" si="41"/>
        <v>40</v>
      </c>
      <c r="K845" s="110"/>
      <c r="L845" s="110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  <c r="AJ845" s="111"/>
      <c r="AK845" s="111"/>
      <c r="AL845" s="111"/>
      <c r="AM845" s="111"/>
      <c r="AN845" s="111"/>
      <c r="AO845" s="111"/>
      <c r="AP845" s="111"/>
      <c r="AQ845" s="111"/>
      <c r="AR845" s="111"/>
      <c r="AS845" s="111"/>
      <c r="AT845" s="111"/>
      <c r="AU845" s="111"/>
      <c r="AV845" s="111"/>
      <c r="AW845" s="111"/>
      <c r="AX845" s="111"/>
      <c r="AY845" s="111"/>
      <c r="AZ845" s="111"/>
      <c r="BA845" s="111"/>
      <c r="BB845" s="111"/>
      <c r="BC845" s="111"/>
      <c r="BD845" s="111"/>
      <c r="BE845" s="111"/>
      <c r="BF845" s="111"/>
      <c r="BG845" s="111"/>
      <c r="BH845" s="111"/>
      <c r="BI845" s="111"/>
      <c r="BJ845" s="111"/>
      <c r="BK845" s="111"/>
      <c r="BL845" s="111"/>
      <c r="BM845" s="111"/>
      <c r="BN845" s="111"/>
      <c r="BO845" s="111"/>
      <c r="BP845" s="111"/>
      <c r="BQ845" s="111"/>
      <c r="BR845" s="111"/>
      <c r="BS845" s="111"/>
      <c r="BT845" s="111"/>
      <c r="BU845" s="111"/>
      <c r="BV845" s="111"/>
    </row>
    <row r="846" spans="1:74" s="50" customFormat="1" ht="15" hidden="1" customHeight="1">
      <c r="A846" s="142">
        <v>842</v>
      </c>
      <c r="B846" s="252" t="s">
        <v>1691</v>
      </c>
      <c r="C846" s="253" t="s">
        <v>1692</v>
      </c>
      <c r="D846" s="143" t="s">
        <v>21</v>
      </c>
      <c r="E846" s="109"/>
      <c r="F846" s="109"/>
      <c r="G846" s="110">
        <v>8</v>
      </c>
      <c r="H846" s="3">
        <f t="shared" si="39"/>
        <v>0</v>
      </c>
      <c r="I846" s="3">
        <f t="shared" si="40"/>
        <v>0</v>
      </c>
      <c r="J846" s="110">
        <f t="shared" si="41"/>
        <v>8</v>
      </c>
      <c r="K846" s="110"/>
      <c r="L846" s="110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  <c r="AJ846" s="111"/>
      <c r="AK846" s="111"/>
      <c r="AL846" s="111"/>
      <c r="AM846" s="111"/>
      <c r="AN846" s="111"/>
      <c r="AO846" s="111"/>
      <c r="AP846" s="111"/>
      <c r="AQ846" s="111"/>
      <c r="AR846" s="111"/>
      <c r="AS846" s="111"/>
      <c r="AT846" s="111"/>
      <c r="AU846" s="111"/>
      <c r="AV846" s="111"/>
      <c r="AW846" s="111"/>
      <c r="AX846" s="111"/>
      <c r="AY846" s="111"/>
      <c r="AZ846" s="111"/>
      <c r="BA846" s="111"/>
      <c r="BB846" s="111"/>
      <c r="BC846" s="111"/>
      <c r="BD846" s="111"/>
      <c r="BE846" s="111"/>
      <c r="BF846" s="111"/>
      <c r="BG846" s="111"/>
      <c r="BH846" s="111"/>
      <c r="BI846" s="111"/>
      <c r="BJ846" s="111"/>
      <c r="BK846" s="111"/>
      <c r="BL846" s="111"/>
      <c r="BM846" s="111"/>
      <c r="BN846" s="111"/>
      <c r="BO846" s="111"/>
      <c r="BP846" s="111"/>
      <c r="BQ846" s="111"/>
      <c r="BR846" s="111"/>
      <c r="BS846" s="111"/>
      <c r="BT846" s="111"/>
      <c r="BU846" s="111"/>
      <c r="BV846" s="111"/>
    </row>
    <row r="847" spans="1:74" s="50" customFormat="1" ht="15" hidden="1" customHeight="1">
      <c r="A847" s="142">
        <v>843</v>
      </c>
      <c r="B847" s="252" t="s">
        <v>1693</v>
      </c>
      <c r="C847" s="253" t="s">
        <v>1694</v>
      </c>
      <c r="D847" s="143" t="s">
        <v>21</v>
      </c>
      <c r="E847" s="109"/>
      <c r="F847" s="109"/>
      <c r="G847" s="110">
        <v>6</v>
      </c>
      <c r="H847" s="3">
        <f t="shared" si="39"/>
        <v>0</v>
      </c>
      <c r="I847" s="3">
        <f t="shared" si="40"/>
        <v>0</v>
      </c>
      <c r="J847" s="110">
        <f t="shared" si="41"/>
        <v>6</v>
      </c>
      <c r="K847" s="110"/>
      <c r="L847" s="110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  <c r="AJ847" s="111"/>
      <c r="AK847" s="111"/>
      <c r="AL847" s="111"/>
      <c r="AM847" s="111"/>
      <c r="AN847" s="111"/>
      <c r="AO847" s="111"/>
      <c r="AP847" s="111"/>
      <c r="AQ847" s="111"/>
      <c r="AR847" s="111"/>
      <c r="AS847" s="111"/>
      <c r="AT847" s="111"/>
      <c r="AU847" s="111"/>
      <c r="AV847" s="111"/>
      <c r="AW847" s="111"/>
      <c r="AX847" s="111"/>
      <c r="AY847" s="111"/>
      <c r="AZ847" s="111"/>
      <c r="BA847" s="111"/>
      <c r="BB847" s="111"/>
      <c r="BC847" s="111"/>
      <c r="BD847" s="111"/>
      <c r="BE847" s="111"/>
      <c r="BF847" s="111"/>
      <c r="BG847" s="111"/>
      <c r="BH847" s="111"/>
      <c r="BI847" s="111"/>
      <c r="BJ847" s="111"/>
      <c r="BK847" s="111"/>
      <c r="BL847" s="111"/>
      <c r="BM847" s="111"/>
      <c r="BN847" s="111"/>
      <c r="BO847" s="111"/>
      <c r="BP847" s="111"/>
      <c r="BQ847" s="111"/>
      <c r="BR847" s="111"/>
      <c r="BS847" s="111"/>
      <c r="BT847" s="111"/>
      <c r="BU847" s="111"/>
      <c r="BV847" s="111"/>
    </row>
    <row r="848" spans="1:74" s="50" customFormat="1" ht="15" hidden="1" customHeight="1">
      <c r="A848" s="142">
        <v>844</v>
      </c>
      <c r="B848" s="252" t="s">
        <v>1695</v>
      </c>
      <c r="C848" s="253" t="s">
        <v>1696</v>
      </c>
      <c r="D848" s="143" t="s">
        <v>21</v>
      </c>
      <c r="E848" s="109"/>
      <c r="F848" s="109"/>
      <c r="G848" s="110">
        <v>6</v>
      </c>
      <c r="H848" s="3">
        <f t="shared" si="39"/>
        <v>0</v>
      </c>
      <c r="I848" s="3">
        <f t="shared" si="40"/>
        <v>0</v>
      </c>
      <c r="J848" s="110">
        <f t="shared" si="41"/>
        <v>6</v>
      </c>
      <c r="K848" s="110"/>
      <c r="L848" s="110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  <c r="AJ848" s="111"/>
      <c r="AK848" s="111"/>
      <c r="AL848" s="111"/>
      <c r="AM848" s="111"/>
      <c r="AN848" s="111"/>
      <c r="AO848" s="111"/>
      <c r="AP848" s="111"/>
      <c r="AQ848" s="111"/>
      <c r="AR848" s="111"/>
      <c r="AS848" s="111"/>
      <c r="AT848" s="111"/>
      <c r="AU848" s="111"/>
      <c r="AV848" s="111"/>
      <c r="AW848" s="111"/>
      <c r="AX848" s="111"/>
      <c r="AY848" s="111"/>
      <c r="AZ848" s="111"/>
      <c r="BA848" s="111"/>
      <c r="BB848" s="111"/>
      <c r="BC848" s="111"/>
      <c r="BD848" s="111"/>
      <c r="BE848" s="111"/>
      <c r="BF848" s="111"/>
      <c r="BG848" s="111"/>
      <c r="BH848" s="111"/>
      <c r="BI848" s="111"/>
      <c r="BJ848" s="111"/>
      <c r="BK848" s="111"/>
      <c r="BL848" s="111"/>
      <c r="BM848" s="111"/>
      <c r="BN848" s="111"/>
      <c r="BO848" s="111"/>
      <c r="BP848" s="111"/>
      <c r="BQ848" s="111"/>
      <c r="BR848" s="111"/>
      <c r="BS848" s="111"/>
      <c r="BT848" s="111"/>
      <c r="BU848" s="111"/>
      <c r="BV848" s="111"/>
    </row>
    <row r="849" spans="1:74" s="50" customFormat="1" ht="15" customHeight="1">
      <c r="A849" s="142">
        <v>845</v>
      </c>
      <c r="B849" s="297" t="s">
        <v>1697</v>
      </c>
      <c r="C849" s="253" t="s">
        <v>1698</v>
      </c>
      <c r="D849" s="143" t="s">
        <v>21</v>
      </c>
      <c r="E849" s="109"/>
      <c r="F849" s="109"/>
      <c r="G849" s="110">
        <v>2</v>
      </c>
      <c r="H849" s="3">
        <f t="shared" si="39"/>
        <v>0</v>
      </c>
      <c r="I849" s="3">
        <f t="shared" si="40"/>
        <v>0</v>
      </c>
      <c r="J849" s="110">
        <f t="shared" si="41"/>
        <v>2</v>
      </c>
      <c r="K849" s="110"/>
      <c r="L849" s="110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  <c r="AJ849" s="111"/>
      <c r="AK849" s="111"/>
      <c r="AL849" s="111"/>
      <c r="AM849" s="111"/>
      <c r="AN849" s="111"/>
      <c r="AO849" s="111"/>
      <c r="AP849" s="111"/>
      <c r="AQ849" s="111"/>
      <c r="AR849" s="111"/>
      <c r="AS849" s="111"/>
      <c r="AT849" s="111"/>
      <c r="AU849" s="111"/>
      <c r="AV849" s="111"/>
      <c r="AW849" s="111"/>
      <c r="AX849" s="111"/>
      <c r="AY849" s="111"/>
      <c r="AZ849" s="111"/>
      <c r="BA849" s="111"/>
      <c r="BB849" s="111"/>
      <c r="BC849" s="111"/>
      <c r="BD849" s="111"/>
      <c r="BE849" s="111"/>
      <c r="BF849" s="111"/>
      <c r="BG849" s="111"/>
      <c r="BH849" s="111"/>
      <c r="BI849" s="111"/>
      <c r="BJ849" s="111"/>
      <c r="BK849" s="111"/>
      <c r="BL849" s="111"/>
      <c r="BM849" s="111"/>
      <c r="BN849" s="111"/>
      <c r="BO849" s="111"/>
      <c r="BP849" s="111"/>
      <c r="BQ849" s="111"/>
      <c r="BR849" s="111"/>
      <c r="BS849" s="111"/>
      <c r="BT849" s="111"/>
      <c r="BU849" s="111"/>
      <c r="BV849" s="111"/>
    </row>
    <row r="850" spans="1:74" s="50" customFormat="1" ht="15" hidden="1" customHeight="1">
      <c r="A850" s="109">
        <v>846</v>
      </c>
      <c r="B850" s="112" t="s">
        <v>1699</v>
      </c>
      <c r="C850" s="115" t="s">
        <v>1700</v>
      </c>
      <c r="D850" s="26" t="s">
        <v>21</v>
      </c>
      <c r="E850" s="109"/>
      <c r="F850" s="109"/>
      <c r="G850" s="110">
        <v>2</v>
      </c>
      <c r="H850" s="3">
        <f t="shared" si="39"/>
        <v>0</v>
      </c>
      <c r="I850" s="3">
        <f t="shared" si="40"/>
        <v>0</v>
      </c>
      <c r="J850" s="110">
        <f t="shared" si="41"/>
        <v>2</v>
      </c>
      <c r="K850" s="110"/>
      <c r="L850" s="110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  <c r="AJ850" s="111"/>
      <c r="AK850" s="111"/>
      <c r="AL850" s="111"/>
      <c r="AM850" s="111"/>
      <c r="AN850" s="111"/>
      <c r="AO850" s="111"/>
      <c r="AP850" s="111"/>
      <c r="AQ850" s="111"/>
      <c r="AR850" s="111"/>
      <c r="AS850" s="111"/>
      <c r="AT850" s="111"/>
      <c r="AU850" s="111"/>
      <c r="AV850" s="111"/>
      <c r="AW850" s="111"/>
      <c r="AX850" s="111"/>
      <c r="AY850" s="111"/>
      <c r="AZ850" s="111"/>
      <c r="BA850" s="111"/>
      <c r="BB850" s="111"/>
      <c r="BC850" s="111"/>
      <c r="BD850" s="111"/>
      <c r="BE850" s="111"/>
      <c r="BF850" s="111"/>
      <c r="BG850" s="111"/>
      <c r="BH850" s="111"/>
      <c r="BI850" s="111"/>
      <c r="BJ850" s="111"/>
      <c r="BK850" s="111"/>
      <c r="BL850" s="111"/>
      <c r="BM850" s="111"/>
      <c r="BN850" s="111"/>
      <c r="BO850" s="111"/>
      <c r="BP850" s="111"/>
      <c r="BQ850" s="111"/>
      <c r="BR850" s="111"/>
      <c r="BS850" s="111"/>
      <c r="BT850" s="111"/>
      <c r="BU850" s="111"/>
      <c r="BV850" s="111"/>
    </row>
    <row r="851" spans="1:74" s="50" customFormat="1" ht="15" hidden="1" customHeight="1">
      <c r="A851" s="109">
        <v>847</v>
      </c>
      <c r="B851" s="112" t="s">
        <v>1701</v>
      </c>
      <c r="C851" s="115" t="s">
        <v>1702</v>
      </c>
      <c r="D851" s="26" t="s">
        <v>21</v>
      </c>
      <c r="E851" s="109"/>
      <c r="F851" s="109"/>
      <c r="G851" s="110">
        <v>1</v>
      </c>
      <c r="H851" s="3">
        <f t="shared" si="39"/>
        <v>0</v>
      </c>
      <c r="I851" s="3">
        <f t="shared" si="40"/>
        <v>0</v>
      </c>
      <c r="J851" s="110">
        <f t="shared" si="41"/>
        <v>1</v>
      </c>
      <c r="K851" s="110"/>
      <c r="L851" s="110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  <c r="AJ851" s="111"/>
      <c r="AK851" s="111"/>
      <c r="AL851" s="111"/>
      <c r="AM851" s="111"/>
      <c r="AN851" s="111"/>
      <c r="AO851" s="111"/>
      <c r="AP851" s="111"/>
      <c r="AQ851" s="111"/>
      <c r="AR851" s="111"/>
      <c r="AS851" s="111"/>
      <c r="AT851" s="111"/>
      <c r="AU851" s="111"/>
      <c r="AV851" s="111"/>
      <c r="AW851" s="111"/>
      <c r="AX851" s="111"/>
      <c r="AY851" s="111"/>
      <c r="AZ851" s="111"/>
      <c r="BA851" s="111"/>
      <c r="BB851" s="111"/>
      <c r="BC851" s="111"/>
      <c r="BD851" s="111"/>
      <c r="BE851" s="111"/>
      <c r="BF851" s="111"/>
      <c r="BG851" s="111"/>
      <c r="BH851" s="111"/>
      <c r="BI851" s="111"/>
      <c r="BJ851" s="111"/>
      <c r="BK851" s="111"/>
      <c r="BL851" s="111"/>
      <c r="BM851" s="111"/>
      <c r="BN851" s="111"/>
      <c r="BO851" s="111"/>
      <c r="BP851" s="111"/>
      <c r="BQ851" s="111"/>
      <c r="BR851" s="111"/>
      <c r="BS851" s="111"/>
      <c r="BT851" s="111"/>
      <c r="BU851" s="111"/>
      <c r="BV851" s="111"/>
    </row>
    <row r="852" spans="1:74" s="50" customFormat="1" ht="15" hidden="1" customHeight="1">
      <c r="A852" s="109">
        <v>848</v>
      </c>
      <c r="B852" s="112" t="s">
        <v>1703</v>
      </c>
      <c r="C852" s="115" t="s">
        <v>1704</v>
      </c>
      <c r="D852" s="26" t="s">
        <v>21</v>
      </c>
      <c r="E852" s="109"/>
      <c r="F852" s="109"/>
      <c r="G852" s="110">
        <v>2</v>
      </c>
      <c r="H852" s="3">
        <f t="shared" si="39"/>
        <v>0</v>
      </c>
      <c r="I852" s="3">
        <f t="shared" si="40"/>
        <v>0</v>
      </c>
      <c r="J852" s="110">
        <f t="shared" si="41"/>
        <v>2</v>
      </c>
      <c r="K852" s="110"/>
      <c r="L852" s="110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  <c r="AJ852" s="111"/>
      <c r="AK852" s="111"/>
      <c r="AL852" s="111"/>
      <c r="AM852" s="111"/>
      <c r="AN852" s="111"/>
      <c r="AO852" s="111"/>
      <c r="AP852" s="111"/>
      <c r="AQ852" s="111"/>
      <c r="AR852" s="111"/>
      <c r="AS852" s="111"/>
      <c r="AT852" s="111"/>
      <c r="AU852" s="111"/>
      <c r="AV852" s="111"/>
      <c r="AW852" s="111"/>
      <c r="AX852" s="111"/>
      <c r="AY852" s="111"/>
      <c r="AZ852" s="111"/>
      <c r="BA852" s="111"/>
      <c r="BB852" s="111"/>
      <c r="BC852" s="111"/>
      <c r="BD852" s="111"/>
      <c r="BE852" s="111"/>
      <c r="BF852" s="111"/>
      <c r="BG852" s="111"/>
      <c r="BH852" s="111"/>
      <c r="BI852" s="111"/>
      <c r="BJ852" s="111"/>
      <c r="BK852" s="111"/>
      <c r="BL852" s="111"/>
      <c r="BM852" s="111"/>
      <c r="BN852" s="111"/>
      <c r="BO852" s="111"/>
      <c r="BP852" s="111"/>
      <c r="BQ852" s="111"/>
      <c r="BR852" s="111"/>
      <c r="BS852" s="111"/>
      <c r="BT852" s="111"/>
      <c r="BU852" s="111"/>
      <c r="BV852" s="111"/>
    </row>
    <row r="853" spans="1:74" s="50" customFormat="1" ht="15" hidden="1" customHeight="1">
      <c r="A853" s="109">
        <v>849</v>
      </c>
      <c r="B853" s="112" t="s">
        <v>1705</v>
      </c>
      <c r="C853" s="115" t="s">
        <v>1706</v>
      </c>
      <c r="D853" s="26" t="s">
        <v>21</v>
      </c>
      <c r="E853" s="109"/>
      <c r="F853" s="109"/>
      <c r="G853" s="110">
        <v>0</v>
      </c>
      <c r="H853" s="3">
        <f t="shared" si="39"/>
        <v>0</v>
      </c>
      <c r="I853" s="3">
        <f t="shared" si="40"/>
        <v>0</v>
      </c>
      <c r="J853" s="110">
        <f t="shared" si="41"/>
        <v>0</v>
      </c>
      <c r="K853" s="110"/>
      <c r="L853" s="110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  <c r="AJ853" s="111"/>
      <c r="AK853" s="111"/>
      <c r="AL853" s="111"/>
      <c r="AM853" s="111"/>
      <c r="AN853" s="111"/>
      <c r="AO853" s="111"/>
      <c r="AP853" s="111"/>
      <c r="AQ853" s="111"/>
      <c r="AR853" s="111"/>
      <c r="AS853" s="111"/>
      <c r="AT853" s="111"/>
      <c r="AU853" s="111"/>
      <c r="AV853" s="111"/>
      <c r="AW853" s="111"/>
      <c r="AX853" s="111"/>
      <c r="AY853" s="111"/>
      <c r="AZ853" s="111"/>
      <c r="BA853" s="111"/>
      <c r="BB853" s="111"/>
      <c r="BC853" s="111"/>
      <c r="BD853" s="111"/>
      <c r="BE853" s="111"/>
      <c r="BF853" s="111"/>
      <c r="BG853" s="111"/>
      <c r="BH853" s="111"/>
      <c r="BI853" s="111"/>
      <c r="BJ853" s="111"/>
      <c r="BK853" s="111"/>
      <c r="BL853" s="111"/>
      <c r="BM853" s="111"/>
      <c r="BN853" s="111"/>
      <c r="BO853" s="111"/>
      <c r="BP853" s="111"/>
      <c r="BQ853" s="111"/>
      <c r="BR853" s="111"/>
      <c r="BS853" s="111"/>
      <c r="BT853" s="111"/>
      <c r="BU853" s="111"/>
      <c r="BV853" s="111"/>
    </row>
    <row r="854" spans="1:74" s="50" customFormat="1" ht="15" hidden="1" customHeight="1">
      <c r="A854" s="109">
        <v>850</v>
      </c>
      <c r="B854" s="112" t="s">
        <v>1707</v>
      </c>
      <c r="C854" s="115" t="s">
        <v>1708</v>
      </c>
      <c r="D854" s="26" t="s">
        <v>21</v>
      </c>
      <c r="E854" s="109"/>
      <c r="F854" s="109"/>
      <c r="G854" s="110">
        <v>2</v>
      </c>
      <c r="H854" s="3">
        <f t="shared" si="39"/>
        <v>0</v>
      </c>
      <c r="I854" s="3">
        <f t="shared" si="40"/>
        <v>0</v>
      </c>
      <c r="J854" s="110">
        <f t="shared" si="41"/>
        <v>2</v>
      </c>
      <c r="K854" s="110"/>
      <c r="L854" s="110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  <c r="AJ854" s="111"/>
      <c r="AK854" s="111"/>
      <c r="AL854" s="111"/>
      <c r="AM854" s="111"/>
      <c r="AN854" s="111"/>
      <c r="AO854" s="111"/>
      <c r="AP854" s="111"/>
      <c r="AQ854" s="111"/>
      <c r="AR854" s="111"/>
      <c r="AS854" s="111"/>
      <c r="AT854" s="111"/>
      <c r="AU854" s="111"/>
      <c r="AV854" s="111"/>
      <c r="AW854" s="111"/>
      <c r="AX854" s="111"/>
      <c r="AY854" s="111"/>
      <c r="AZ854" s="111"/>
      <c r="BA854" s="111"/>
      <c r="BB854" s="111"/>
      <c r="BC854" s="111"/>
      <c r="BD854" s="111"/>
      <c r="BE854" s="111"/>
      <c r="BF854" s="111"/>
      <c r="BG854" s="111"/>
      <c r="BH854" s="111"/>
      <c r="BI854" s="111"/>
      <c r="BJ854" s="111"/>
      <c r="BK854" s="111"/>
      <c r="BL854" s="111"/>
      <c r="BM854" s="111"/>
      <c r="BN854" s="111"/>
      <c r="BO854" s="111"/>
      <c r="BP854" s="111"/>
      <c r="BQ854" s="111"/>
      <c r="BR854" s="111"/>
      <c r="BS854" s="111"/>
      <c r="BT854" s="111"/>
      <c r="BU854" s="111"/>
      <c r="BV854" s="111"/>
    </row>
    <row r="855" spans="1:74" s="50" customFormat="1" ht="15" hidden="1" customHeight="1">
      <c r="A855" s="111">
        <v>851</v>
      </c>
      <c r="B855" s="4" t="s">
        <v>1709</v>
      </c>
      <c r="C855" s="19" t="s">
        <v>1710</v>
      </c>
      <c r="D855" s="3" t="s">
        <v>21</v>
      </c>
      <c r="E855" s="109"/>
      <c r="F855" s="111"/>
      <c r="G855" s="110">
        <v>2</v>
      </c>
      <c r="H855" s="3">
        <f t="shared" si="39"/>
        <v>0</v>
      </c>
      <c r="I855" s="3">
        <f t="shared" si="40"/>
        <v>0</v>
      </c>
      <c r="J855" s="110">
        <f t="shared" si="41"/>
        <v>2</v>
      </c>
      <c r="K855" s="110"/>
      <c r="L855" s="110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  <c r="AJ855" s="111"/>
      <c r="AK855" s="111"/>
      <c r="AL855" s="111"/>
      <c r="AM855" s="111"/>
      <c r="AN855" s="111"/>
      <c r="AO855" s="111"/>
      <c r="AP855" s="111"/>
      <c r="AQ855" s="111"/>
      <c r="AR855" s="111"/>
      <c r="AS855" s="111"/>
      <c r="AT855" s="111"/>
      <c r="AU855" s="111"/>
      <c r="AV855" s="111"/>
      <c r="AW855" s="111"/>
      <c r="AX855" s="111"/>
      <c r="AY855" s="111"/>
      <c r="AZ855" s="111"/>
      <c r="BA855" s="111"/>
      <c r="BB855" s="111"/>
      <c r="BC855" s="111"/>
      <c r="BD855" s="111"/>
      <c r="BE855" s="111"/>
      <c r="BF855" s="111"/>
      <c r="BG855" s="111"/>
      <c r="BH855" s="111"/>
      <c r="BI855" s="111"/>
      <c r="BJ855" s="111"/>
      <c r="BK855" s="111"/>
      <c r="BL855" s="111"/>
      <c r="BM855" s="111"/>
      <c r="BN855" s="111"/>
      <c r="BO855" s="111"/>
      <c r="BP855" s="111"/>
      <c r="BQ855" s="111"/>
      <c r="BR855" s="111"/>
      <c r="BS855" s="111"/>
      <c r="BT855" s="111"/>
      <c r="BU855" s="111"/>
      <c r="BV855" s="111"/>
    </row>
    <row r="856" spans="1:74" s="50" customFormat="1" ht="15" hidden="1" customHeight="1">
      <c r="A856" s="111">
        <v>852</v>
      </c>
      <c r="B856" s="4" t="s">
        <v>1711</v>
      </c>
      <c r="C856" s="19" t="s">
        <v>1712</v>
      </c>
      <c r="D856" s="3" t="s">
        <v>21</v>
      </c>
      <c r="E856" s="109"/>
      <c r="F856" s="111"/>
      <c r="G856" s="110">
        <v>2</v>
      </c>
      <c r="H856" s="3">
        <f t="shared" si="39"/>
        <v>0</v>
      </c>
      <c r="I856" s="3">
        <f t="shared" si="40"/>
        <v>0</v>
      </c>
      <c r="J856" s="110">
        <f t="shared" si="41"/>
        <v>2</v>
      </c>
      <c r="K856" s="110"/>
      <c r="L856" s="110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  <c r="AJ856" s="111"/>
      <c r="AK856" s="111"/>
      <c r="AL856" s="111"/>
      <c r="AM856" s="111"/>
      <c r="AN856" s="111"/>
      <c r="AO856" s="111"/>
      <c r="AP856" s="111"/>
      <c r="AQ856" s="111"/>
      <c r="AR856" s="111"/>
      <c r="AS856" s="111"/>
      <c r="AT856" s="111"/>
      <c r="AU856" s="111"/>
      <c r="AV856" s="111"/>
      <c r="AW856" s="111"/>
      <c r="AX856" s="111"/>
      <c r="AY856" s="111"/>
      <c r="AZ856" s="111"/>
      <c r="BA856" s="111"/>
      <c r="BB856" s="111"/>
      <c r="BC856" s="111"/>
      <c r="BD856" s="111"/>
      <c r="BE856" s="111"/>
      <c r="BF856" s="111"/>
      <c r="BG856" s="111"/>
      <c r="BH856" s="111"/>
      <c r="BI856" s="111"/>
      <c r="BJ856" s="111"/>
      <c r="BK856" s="111"/>
      <c r="BL856" s="111"/>
      <c r="BM856" s="111"/>
      <c r="BN856" s="111"/>
      <c r="BO856" s="111"/>
      <c r="BP856" s="111"/>
      <c r="BQ856" s="111"/>
      <c r="BR856" s="111"/>
      <c r="BS856" s="111"/>
      <c r="BT856" s="111"/>
      <c r="BU856" s="111"/>
      <c r="BV856" s="111"/>
    </row>
    <row r="857" spans="1:74" s="50" customFormat="1" ht="15" hidden="1" customHeight="1">
      <c r="A857" s="111">
        <v>853</v>
      </c>
      <c r="B857" s="4" t="s">
        <v>1713</v>
      </c>
      <c r="C857" s="19" t="s">
        <v>1714</v>
      </c>
      <c r="D857" s="3" t="s">
        <v>21</v>
      </c>
      <c r="E857" s="109"/>
      <c r="F857" s="111"/>
      <c r="G857" s="110">
        <v>5</v>
      </c>
      <c r="H857" s="3">
        <f t="shared" si="39"/>
        <v>0</v>
      </c>
      <c r="I857" s="3">
        <f t="shared" si="40"/>
        <v>0</v>
      </c>
      <c r="J857" s="110">
        <f t="shared" si="41"/>
        <v>5</v>
      </c>
      <c r="K857" s="110"/>
      <c r="L857" s="110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  <c r="AJ857" s="111"/>
      <c r="AK857" s="111"/>
      <c r="AL857" s="111"/>
      <c r="AM857" s="111"/>
      <c r="AN857" s="111"/>
      <c r="AO857" s="111"/>
      <c r="AP857" s="111"/>
      <c r="AQ857" s="111"/>
      <c r="AR857" s="111"/>
      <c r="AS857" s="111"/>
      <c r="AT857" s="111"/>
      <c r="AU857" s="111"/>
      <c r="AV857" s="111"/>
      <c r="AW857" s="111"/>
      <c r="AX857" s="111"/>
      <c r="AY857" s="111"/>
      <c r="AZ857" s="111"/>
      <c r="BA857" s="111"/>
      <c r="BB857" s="111"/>
      <c r="BC857" s="111"/>
      <c r="BD857" s="111"/>
      <c r="BE857" s="111"/>
      <c r="BF857" s="111"/>
      <c r="BG857" s="111"/>
      <c r="BH857" s="111"/>
      <c r="BI857" s="111"/>
      <c r="BJ857" s="111"/>
      <c r="BK857" s="111"/>
      <c r="BL857" s="111"/>
      <c r="BM857" s="111"/>
      <c r="BN857" s="111"/>
      <c r="BO857" s="111"/>
      <c r="BP857" s="111"/>
      <c r="BQ857" s="111"/>
      <c r="BR857" s="111"/>
      <c r="BS857" s="111"/>
      <c r="BT857" s="111"/>
      <c r="BU857" s="111"/>
      <c r="BV857" s="111"/>
    </row>
    <row r="858" spans="1:74" s="50" customFormat="1" ht="30" hidden="1" customHeight="1">
      <c r="A858" s="111">
        <v>854</v>
      </c>
      <c r="B858" s="9" t="s">
        <v>1715</v>
      </c>
      <c r="C858" s="271" t="s">
        <v>1716</v>
      </c>
      <c r="D858" s="3" t="s">
        <v>21</v>
      </c>
      <c r="E858" s="109"/>
      <c r="F858" s="111"/>
      <c r="G858" s="110">
        <v>2</v>
      </c>
      <c r="H858" s="3">
        <f t="shared" si="39"/>
        <v>0</v>
      </c>
      <c r="I858" s="3">
        <f t="shared" si="40"/>
        <v>0</v>
      </c>
      <c r="J858" s="110">
        <f t="shared" si="41"/>
        <v>2</v>
      </c>
      <c r="K858" s="110"/>
      <c r="L858" s="110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  <c r="AJ858" s="111"/>
      <c r="AK858" s="111"/>
      <c r="AL858" s="111"/>
      <c r="AM858" s="111"/>
      <c r="AN858" s="111"/>
      <c r="AO858" s="111"/>
      <c r="AP858" s="111"/>
      <c r="AQ858" s="111"/>
      <c r="AR858" s="111"/>
      <c r="AS858" s="111"/>
      <c r="AT858" s="111"/>
      <c r="AU858" s="111"/>
      <c r="AV858" s="111"/>
      <c r="AW858" s="111"/>
      <c r="AX858" s="111"/>
      <c r="AY858" s="111"/>
      <c r="AZ858" s="111"/>
      <c r="BA858" s="111"/>
      <c r="BB858" s="111"/>
      <c r="BC858" s="111"/>
      <c r="BD858" s="111"/>
      <c r="BE858" s="111"/>
      <c r="BF858" s="111"/>
      <c r="BG858" s="111"/>
      <c r="BH858" s="111"/>
      <c r="BI858" s="111"/>
      <c r="BJ858" s="111"/>
      <c r="BK858" s="111"/>
      <c r="BL858" s="111"/>
      <c r="BM858" s="111"/>
      <c r="BN858" s="111"/>
      <c r="BO858" s="111"/>
      <c r="BP858" s="111"/>
      <c r="BQ858" s="111"/>
      <c r="BR858" s="111"/>
      <c r="BS858" s="111"/>
      <c r="BT858" s="111"/>
      <c r="BU858" s="111"/>
      <c r="BV858" s="111"/>
    </row>
    <row r="859" spans="1:74" s="50" customFormat="1" ht="15.75" hidden="1" customHeight="1">
      <c r="A859" s="111">
        <v>855</v>
      </c>
      <c r="B859" s="4" t="s">
        <v>1717</v>
      </c>
      <c r="C859" s="19" t="s">
        <v>1718</v>
      </c>
      <c r="D859" s="3" t="s">
        <v>21</v>
      </c>
      <c r="E859" s="109"/>
      <c r="F859" s="111"/>
      <c r="G859" s="110">
        <v>0</v>
      </c>
      <c r="H859" s="3">
        <f t="shared" si="39"/>
        <v>0</v>
      </c>
      <c r="I859" s="3">
        <f t="shared" si="40"/>
        <v>0</v>
      </c>
      <c r="J859" s="110">
        <f t="shared" si="41"/>
        <v>0</v>
      </c>
      <c r="K859" s="110"/>
      <c r="L859" s="110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  <c r="AJ859" s="111"/>
      <c r="AK859" s="111"/>
      <c r="AL859" s="111"/>
      <c r="AM859" s="111"/>
      <c r="AN859" s="111"/>
      <c r="AO859" s="111"/>
      <c r="AP859" s="111"/>
      <c r="AQ859" s="111"/>
      <c r="AR859" s="111"/>
      <c r="AS859" s="111"/>
      <c r="AT859" s="111"/>
      <c r="AU859" s="111"/>
      <c r="AV859" s="111"/>
      <c r="AW859" s="111"/>
      <c r="AX859" s="111"/>
      <c r="AY859" s="111"/>
      <c r="AZ859" s="111"/>
      <c r="BA859" s="111"/>
      <c r="BB859" s="111"/>
      <c r="BC859" s="111"/>
      <c r="BD859" s="111"/>
      <c r="BE859" s="111"/>
      <c r="BF859" s="111"/>
      <c r="BG859" s="111"/>
      <c r="BH859" s="111"/>
      <c r="BI859" s="111"/>
      <c r="BJ859" s="111"/>
      <c r="BK859" s="111"/>
      <c r="BL859" s="111"/>
      <c r="BM859" s="111"/>
      <c r="BN859" s="111"/>
      <c r="BO859" s="111"/>
      <c r="BP859" s="111"/>
      <c r="BQ859" s="111"/>
      <c r="BR859" s="111"/>
      <c r="BS859" s="111"/>
      <c r="BT859" s="111"/>
      <c r="BU859" s="111"/>
      <c r="BV859" s="111"/>
    </row>
    <row r="860" spans="1:74" s="50" customFormat="1" ht="15.75" hidden="1" customHeight="1">
      <c r="A860" s="111">
        <v>856</v>
      </c>
      <c r="B860" s="4" t="s">
        <v>1719</v>
      </c>
      <c r="C860" s="19" t="s">
        <v>1720</v>
      </c>
      <c r="D860" s="3" t="s">
        <v>21</v>
      </c>
      <c r="E860" s="109"/>
      <c r="F860" s="111"/>
      <c r="G860" s="110">
        <v>0</v>
      </c>
      <c r="H860" s="3">
        <f t="shared" si="39"/>
        <v>0</v>
      </c>
      <c r="I860" s="3">
        <f t="shared" si="40"/>
        <v>0</v>
      </c>
      <c r="J860" s="110">
        <f t="shared" si="41"/>
        <v>0</v>
      </c>
      <c r="K860" s="110"/>
      <c r="L860" s="110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/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/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/>
      <c r="BP860" s="111"/>
      <c r="BQ860" s="111"/>
      <c r="BR860" s="111"/>
      <c r="BS860" s="111"/>
      <c r="BT860" s="111"/>
      <c r="BU860" s="111"/>
      <c r="BV860" s="111"/>
    </row>
    <row r="861" spans="1:74" s="50" customFormat="1" ht="15.75" hidden="1" customHeight="1">
      <c r="A861" s="111">
        <v>857</v>
      </c>
      <c r="B861" s="4" t="s">
        <v>1721</v>
      </c>
      <c r="C861" s="19" t="s">
        <v>1722</v>
      </c>
      <c r="D861" s="3" t="s">
        <v>21</v>
      </c>
      <c r="E861" s="109"/>
      <c r="F861" s="111"/>
      <c r="G861" s="110">
        <v>0</v>
      </c>
      <c r="H861" s="3">
        <f t="shared" si="39"/>
        <v>0</v>
      </c>
      <c r="I861" s="3">
        <f t="shared" si="40"/>
        <v>0</v>
      </c>
      <c r="J861" s="110">
        <f t="shared" si="41"/>
        <v>0</v>
      </c>
      <c r="K861" s="110"/>
      <c r="L861" s="110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/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/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/>
      <c r="BP861" s="111"/>
      <c r="BQ861" s="111"/>
      <c r="BR861" s="111"/>
      <c r="BS861" s="111"/>
      <c r="BT861" s="111"/>
      <c r="BU861" s="111"/>
      <c r="BV861" s="111"/>
    </row>
    <row r="862" spans="1:74" s="50" customFormat="1" ht="30" hidden="1" customHeight="1">
      <c r="A862" s="111">
        <v>858</v>
      </c>
      <c r="B862" s="4" t="s">
        <v>1723</v>
      </c>
      <c r="C862" s="343" t="s">
        <v>1724</v>
      </c>
      <c r="D862" s="3" t="s">
        <v>21</v>
      </c>
      <c r="E862" s="109"/>
      <c r="F862" s="111"/>
      <c r="G862" s="110">
        <v>5</v>
      </c>
      <c r="H862" s="3">
        <f t="shared" si="39"/>
        <v>0</v>
      </c>
      <c r="I862" s="3">
        <f t="shared" si="40"/>
        <v>0</v>
      </c>
      <c r="J862" s="110">
        <f t="shared" si="41"/>
        <v>5</v>
      </c>
      <c r="K862" s="110"/>
      <c r="L862" s="110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  <c r="AJ862" s="111"/>
      <c r="AK862" s="111"/>
      <c r="AL862" s="111"/>
      <c r="AM862" s="111"/>
      <c r="AN862" s="111"/>
      <c r="AO862" s="111"/>
      <c r="AP862" s="111"/>
      <c r="AQ862" s="111"/>
      <c r="AR862" s="111"/>
      <c r="AS862" s="111"/>
      <c r="AT862" s="111"/>
      <c r="AU862" s="111"/>
      <c r="AV862" s="111"/>
      <c r="AW862" s="111"/>
      <c r="AX862" s="111"/>
      <c r="AY862" s="111"/>
      <c r="AZ862" s="111"/>
      <c r="BA862" s="111"/>
      <c r="BB862" s="111"/>
      <c r="BC862" s="111"/>
      <c r="BD862" s="111"/>
      <c r="BE862" s="111"/>
      <c r="BF862" s="111"/>
      <c r="BG862" s="111"/>
      <c r="BH862" s="111"/>
      <c r="BI862" s="111"/>
      <c r="BJ862" s="111"/>
      <c r="BK862" s="111"/>
      <c r="BL862" s="111"/>
      <c r="BM862" s="111"/>
      <c r="BN862" s="111"/>
      <c r="BO862" s="111"/>
      <c r="BP862" s="111"/>
      <c r="BQ862" s="111"/>
      <c r="BR862" s="111"/>
      <c r="BS862" s="111"/>
      <c r="BT862" s="111"/>
      <c r="BU862" s="111"/>
      <c r="BV862" s="111"/>
    </row>
    <row r="863" spans="1:74" s="50" customFormat="1" ht="15" hidden="1" customHeight="1">
      <c r="A863" s="111">
        <v>859</v>
      </c>
      <c r="B863" s="4" t="s">
        <v>1725</v>
      </c>
      <c r="C863" s="344" t="s">
        <v>1726</v>
      </c>
      <c r="D863" s="3" t="s">
        <v>21</v>
      </c>
      <c r="E863" s="109"/>
      <c r="F863" s="111"/>
      <c r="G863" s="110">
        <v>2</v>
      </c>
      <c r="H863" s="3">
        <f t="shared" si="39"/>
        <v>0</v>
      </c>
      <c r="I863" s="3">
        <f t="shared" si="40"/>
        <v>0</v>
      </c>
      <c r="J863" s="110">
        <f t="shared" si="41"/>
        <v>2</v>
      </c>
      <c r="K863" s="110"/>
      <c r="L863" s="110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/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/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/>
      <c r="BP863" s="111"/>
      <c r="BQ863" s="111"/>
      <c r="BR863" s="111"/>
      <c r="BS863" s="111"/>
      <c r="BT863" s="111"/>
      <c r="BU863" s="111"/>
      <c r="BV863" s="111"/>
    </row>
    <row r="864" spans="1:74" s="50" customFormat="1" ht="15" hidden="1" customHeight="1">
      <c r="A864" s="111">
        <v>860</v>
      </c>
      <c r="B864" s="9" t="s">
        <v>1727</v>
      </c>
      <c r="C864" s="344" t="s">
        <v>1728</v>
      </c>
      <c r="D864" s="3" t="s">
        <v>21</v>
      </c>
      <c r="E864" s="109"/>
      <c r="F864" s="111"/>
      <c r="G864" s="110">
        <v>6</v>
      </c>
      <c r="H864" s="3">
        <f t="shared" si="39"/>
        <v>0</v>
      </c>
      <c r="I864" s="3">
        <f t="shared" si="40"/>
        <v>0</v>
      </c>
      <c r="J864" s="110">
        <f t="shared" si="41"/>
        <v>6</v>
      </c>
      <c r="K864" s="110"/>
      <c r="L864" s="110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  <c r="AJ864" s="111"/>
      <c r="AK864" s="111"/>
      <c r="AL864" s="111"/>
      <c r="AM864" s="111"/>
      <c r="AN864" s="111"/>
      <c r="AO864" s="111"/>
      <c r="AP864" s="111"/>
      <c r="AQ864" s="111"/>
      <c r="AR864" s="111"/>
      <c r="AS864" s="111"/>
      <c r="AT864" s="111"/>
      <c r="AU864" s="111"/>
      <c r="AV864" s="111"/>
      <c r="AW864" s="111"/>
      <c r="AX864" s="111"/>
      <c r="AY864" s="111"/>
      <c r="AZ864" s="111"/>
      <c r="BA864" s="111"/>
      <c r="BB864" s="111"/>
      <c r="BC864" s="111"/>
      <c r="BD864" s="111"/>
      <c r="BE864" s="111"/>
      <c r="BF864" s="111"/>
      <c r="BG864" s="111"/>
      <c r="BH864" s="111"/>
      <c r="BI864" s="111"/>
      <c r="BJ864" s="111"/>
      <c r="BK864" s="111"/>
      <c r="BL864" s="111"/>
      <c r="BM864" s="111"/>
      <c r="BN864" s="111"/>
      <c r="BO864" s="111"/>
      <c r="BP864" s="111"/>
      <c r="BQ864" s="111"/>
      <c r="BR864" s="111"/>
      <c r="BS864" s="111"/>
      <c r="BT864" s="111"/>
      <c r="BU864" s="111"/>
      <c r="BV864" s="111"/>
    </row>
    <row r="865" spans="1:74" s="50" customFormat="1" ht="15" hidden="1" customHeight="1">
      <c r="A865" s="111">
        <v>861</v>
      </c>
      <c r="B865" s="4" t="s">
        <v>1729</v>
      </c>
      <c r="C865" s="19" t="s">
        <v>1730</v>
      </c>
      <c r="D865" s="3" t="s">
        <v>21</v>
      </c>
      <c r="E865" s="109"/>
      <c r="F865" s="111"/>
      <c r="G865" s="110">
        <v>4</v>
      </c>
      <c r="H865" s="3">
        <f t="shared" si="39"/>
        <v>0</v>
      </c>
      <c r="I865" s="3">
        <f t="shared" si="40"/>
        <v>0</v>
      </c>
      <c r="J865" s="110">
        <f t="shared" si="41"/>
        <v>4</v>
      </c>
      <c r="K865" s="110"/>
      <c r="L865" s="110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  <c r="AJ865" s="111"/>
      <c r="AK865" s="111"/>
      <c r="AL865" s="111"/>
      <c r="AM865" s="111"/>
      <c r="AN865" s="111"/>
      <c r="AO865" s="111"/>
      <c r="AP865" s="111"/>
      <c r="AQ865" s="111"/>
      <c r="AR865" s="111"/>
      <c r="AS865" s="111"/>
      <c r="AT865" s="111"/>
      <c r="AU865" s="111"/>
      <c r="AV865" s="111"/>
      <c r="AW865" s="111"/>
      <c r="AX865" s="111"/>
      <c r="AY865" s="111"/>
      <c r="AZ865" s="111"/>
      <c r="BA865" s="111"/>
      <c r="BB865" s="111"/>
      <c r="BC865" s="111"/>
      <c r="BD865" s="111"/>
      <c r="BE865" s="111"/>
      <c r="BF865" s="111"/>
      <c r="BG865" s="111"/>
      <c r="BH865" s="111"/>
      <c r="BI865" s="111"/>
      <c r="BJ865" s="111"/>
      <c r="BK865" s="111"/>
      <c r="BL865" s="111"/>
      <c r="BM865" s="111"/>
      <c r="BN865" s="111"/>
      <c r="BO865" s="111"/>
      <c r="BP865" s="111"/>
      <c r="BQ865" s="111"/>
      <c r="BR865" s="111"/>
      <c r="BS865" s="111"/>
      <c r="BT865" s="111"/>
      <c r="BU865" s="111"/>
      <c r="BV865" s="111"/>
    </row>
    <row r="866" spans="1:74" s="50" customFormat="1" ht="30" hidden="1" customHeight="1">
      <c r="A866" s="109">
        <v>862</v>
      </c>
      <c r="B866" s="150" t="s">
        <v>1731</v>
      </c>
      <c r="C866" s="138" t="s">
        <v>1732</v>
      </c>
      <c r="D866" s="26" t="s">
        <v>21</v>
      </c>
      <c r="E866" s="109"/>
      <c r="F866" s="109"/>
      <c r="G866" s="110">
        <v>25</v>
      </c>
      <c r="H866" s="3">
        <f t="shared" si="39"/>
        <v>0</v>
      </c>
      <c r="I866" s="3">
        <f t="shared" si="40"/>
        <v>0</v>
      </c>
      <c r="J866" s="110">
        <f t="shared" si="41"/>
        <v>25</v>
      </c>
      <c r="K866" s="110"/>
      <c r="L866" s="110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  <c r="AJ866" s="111"/>
      <c r="AK866" s="111"/>
      <c r="AL866" s="111"/>
      <c r="AM866" s="111"/>
      <c r="AN866" s="111"/>
      <c r="AO866" s="111"/>
      <c r="AP866" s="111"/>
      <c r="AQ866" s="111"/>
      <c r="AR866" s="111"/>
      <c r="AS866" s="111"/>
      <c r="AT866" s="111"/>
      <c r="AU866" s="111"/>
      <c r="AV866" s="111"/>
      <c r="AW866" s="111"/>
      <c r="AX866" s="111"/>
      <c r="AY866" s="111"/>
      <c r="AZ866" s="111"/>
      <c r="BA866" s="111"/>
      <c r="BB866" s="111"/>
      <c r="BC866" s="111"/>
      <c r="BD866" s="111"/>
      <c r="BE866" s="111"/>
      <c r="BF866" s="111"/>
      <c r="BG866" s="111"/>
      <c r="BH866" s="111"/>
      <c r="BI866" s="111"/>
      <c r="BJ866" s="111"/>
      <c r="BK866" s="111"/>
      <c r="BL866" s="111"/>
      <c r="BM866" s="111"/>
      <c r="BN866" s="111"/>
      <c r="BO866" s="111"/>
      <c r="BP866" s="111"/>
      <c r="BQ866" s="111"/>
      <c r="BR866" s="111"/>
      <c r="BS866" s="111"/>
      <c r="BT866" s="111"/>
      <c r="BU866" s="111"/>
      <c r="BV866" s="111"/>
    </row>
    <row r="867" spans="1:74" s="50" customFormat="1" ht="30" hidden="1" customHeight="1">
      <c r="A867" s="109">
        <v>863</v>
      </c>
      <c r="B867" s="150" t="s">
        <v>1733</v>
      </c>
      <c r="C867" s="138" t="s">
        <v>1734</v>
      </c>
      <c r="D867" s="26" t="s">
        <v>21</v>
      </c>
      <c r="E867" s="109"/>
      <c r="F867" s="109"/>
      <c r="G867" s="110">
        <v>300</v>
      </c>
      <c r="H867" s="3">
        <f t="shared" si="39"/>
        <v>0</v>
      </c>
      <c r="I867" s="3">
        <f t="shared" si="40"/>
        <v>0</v>
      </c>
      <c r="J867" s="110">
        <f t="shared" si="41"/>
        <v>300</v>
      </c>
      <c r="K867" s="110"/>
      <c r="L867" s="110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  <c r="AJ867" s="111"/>
      <c r="AK867" s="111"/>
      <c r="AL867" s="111"/>
      <c r="AM867" s="111"/>
      <c r="AN867" s="111"/>
      <c r="AO867" s="111"/>
      <c r="AP867" s="111"/>
      <c r="AQ867" s="111"/>
      <c r="AR867" s="111"/>
      <c r="AS867" s="111"/>
      <c r="AT867" s="111"/>
      <c r="AU867" s="111"/>
      <c r="AV867" s="111"/>
      <c r="AW867" s="111"/>
      <c r="AX867" s="111"/>
      <c r="AY867" s="111"/>
      <c r="AZ867" s="111"/>
      <c r="BA867" s="111"/>
      <c r="BB867" s="111"/>
      <c r="BC867" s="111"/>
      <c r="BD867" s="111"/>
      <c r="BE867" s="111"/>
      <c r="BF867" s="111"/>
      <c r="BG867" s="111"/>
      <c r="BH867" s="111"/>
      <c r="BI867" s="111"/>
      <c r="BJ867" s="111"/>
      <c r="BK867" s="111"/>
      <c r="BL867" s="111"/>
      <c r="BM867" s="111"/>
      <c r="BN867" s="111"/>
      <c r="BO867" s="111"/>
      <c r="BP867" s="111"/>
      <c r="BQ867" s="111"/>
      <c r="BR867" s="111"/>
      <c r="BS867" s="111"/>
      <c r="BT867" s="111"/>
      <c r="BU867" s="111"/>
      <c r="BV867" s="111"/>
    </row>
    <row r="868" spans="1:74" s="50" customFormat="1" ht="30" hidden="1" customHeight="1">
      <c r="A868" s="109">
        <v>864</v>
      </c>
      <c r="B868" s="112" t="s">
        <v>1735</v>
      </c>
      <c r="C868" s="138" t="s">
        <v>1736</v>
      </c>
      <c r="D868" s="26" t="s">
        <v>21</v>
      </c>
      <c r="E868" s="109"/>
      <c r="F868" s="109"/>
      <c r="G868" s="110">
        <v>0</v>
      </c>
      <c r="H868" s="3">
        <f t="shared" si="39"/>
        <v>0</v>
      </c>
      <c r="I868" s="3">
        <f t="shared" si="40"/>
        <v>0</v>
      </c>
      <c r="J868" s="110">
        <f t="shared" si="41"/>
        <v>0</v>
      </c>
      <c r="K868" s="110"/>
      <c r="L868" s="110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  <c r="AJ868" s="111"/>
      <c r="AK868" s="111"/>
      <c r="AL868" s="111"/>
      <c r="AM868" s="111"/>
      <c r="AN868" s="111"/>
      <c r="AO868" s="111"/>
      <c r="AP868" s="111"/>
      <c r="AQ868" s="111"/>
      <c r="AR868" s="111"/>
      <c r="AS868" s="111"/>
      <c r="AT868" s="111"/>
      <c r="AU868" s="111"/>
      <c r="AV868" s="111"/>
      <c r="AW868" s="111"/>
      <c r="AX868" s="111"/>
      <c r="AY868" s="111"/>
      <c r="AZ868" s="111"/>
      <c r="BA868" s="111"/>
      <c r="BB868" s="111"/>
      <c r="BC868" s="111"/>
      <c r="BD868" s="111"/>
      <c r="BE868" s="111"/>
      <c r="BF868" s="111"/>
      <c r="BG868" s="111"/>
      <c r="BH868" s="111"/>
      <c r="BI868" s="111"/>
      <c r="BJ868" s="111"/>
      <c r="BK868" s="111"/>
      <c r="BL868" s="111"/>
      <c r="BM868" s="111"/>
      <c r="BN868" s="111"/>
      <c r="BO868" s="111"/>
      <c r="BP868" s="111"/>
      <c r="BQ868" s="111"/>
      <c r="BR868" s="111"/>
      <c r="BS868" s="111"/>
      <c r="BT868" s="111"/>
      <c r="BU868" s="111"/>
      <c r="BV868" s="111"/>
    </row>
    <row r="869" spans="1:74" s="50" customFormat="1" ht="30" hidden="1" customHeight="1">
      <c r="A869" s="109">
        <v>865</v>
      </c>
      <c r="B869" s="112" t="s">
        <v>1737</v>
      </c>
      <c r="C869" s="149" t="s">
        <v>1738</v>
      </c>
      <c r="D869" s="26" t="s">
        <v>21</v>
      </c>
      <c r="E869" s="109"/>
      <c r="F869" s="109"/>
      <c r="G869" s="110">
        <v>64</v>
      </c>
      <c r="H869" s="3">
        <f t="shared" si="39"/>
        <v>0</v>
      </c>
      <c r="I869" s="3">
        <f t="shared" si="40"/>
        <v>0</v>
      </c>
      <c r="J869" s="110">
        <f t="shared" si="41"/>
        <v>64</v>
      </c>
      <c r="K869" s="110"/>
      <c r="L869" s="110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  <c r="AJ869" s="111"/>
      <c r="AK869" s="111"/>
      <c r="AL869" s="111"/>
      <c r="AM869" s="111"/>
      <c r="AN869" s="111"/>
      <c r="AO869" s="111"/>
      <c r="AP869" s="111"/>
      <c r="AQ869" s="111"/>
      <c r="AR869" s="111"/>
      <c r="AS869" s="111"/>
      <c r="AT869" s="111"/>
      <c r="AU869" s="111"/>
      <c r="AV869" s="111"/>
      <c r="AW869" s="111"/>
      <c r="AX869" s="111"/>
      <c r="AY869" s="111"/>
      <c r="AZ869" s="111"/>
      <c r="BA869" s="111"/>
      <c r="BB869" s="111"/>
      <c r="BC869" s="111"/>
      <c r="BD869" s="111"/>
      <c r="BE869" s="111"/>
      <c r="BF869" s="111"/>
      <c r="BG869" s="111"/>
      <c r="BH869" s="111"/>
      <c r="BI869" s="111"/>
      <c r="BJ869" s="111"/>
      <c r="BK869" s="111"/>
      <c r="BL869" s="111"/>
      <c r="BM869" s="111"/>
      <c r="BN869" s="111"/>
      <c r="BO869" s="111"/>
      <c r="BP869" s="111"/>
      <c r="BQ869" s="111"/>
      <c r="BR869" s="111"/>
      <c r="BS869" s="111"/>
      <c r="BT869" s="111"/>
      <c r="BU869" s="111"/>
      <c r="BV869" s="111"/>
    </row>
    <row r="870" spans="1:74" s="50" customFormat="1" ht="30" hidden="1" customHeight="1">
      <c r="A870" s="109">
        <v>866</v>
      </c>
      <c r="B870" s="112" t="s">
        <v>1739</v>
      </c>
      <c r="C870" s="138" t="s">
        <v>1740</v>
      </c>
      <c r="D870" s="26" t="s">
        <v>21</v>
      </c>
      <c r="E870" s="109"/>
      <c r="F870" s="109"/>
      <c r="G870" s="110">
        <v>95</v>
      </c>
      <c r="H870" s="3">
        <f t="shared" si="39"/>
        <v>0</v>
      </c>
      <c r="I870" s="3">
        <f t="shared" si="40"/>
        <v>0</v>
      </c>
      <c r="J870" s="110">
        <f t="shared" si="41"/>
        <v>95</v>
      </c>
      <c r="K870" s="110"/>
      <c r="L870" s="110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  <c r="AJ870" s="111"/>
      <c r="AK870" s="111"/>
      <c r="AL870" s="111"/>
      <c r="AM870" s="111"/>
      <c r="AN870" s="111"/>
      <c r="AO870" s="111"/>
      <c r="AP870" s="111"/>
      <c r="AQ870" s="111"/>
      <c r="AR870" s="111"/>
      <c r="AS870" s="111"/>
      <c r="AT870" s="111"/>
      <c r="AU870" s="111"/>
      <c r="AV870" s="111"/>
      <c r="AW870" s="111"/>
      <c r="AX870" s="111"/>
      <c r="AY870" s="111"/>
      <c r="AZ870" s="111"/>
      <c r="BA870" s="111"/>
      <c r="BB870" s="111"/>
      <c r="BC870" s="111"/>
      <c r="BD870" s="111"/>
      <c r="BE870" s="111"/>
      <c r="BF870" s="111"/>
      <c r="BG870" s="111"/>
      <c r="BH870" s="111"/>
      <c r="BI870" s="111"/>
      <c r="BJ870" s="111"/>
      <c r="BK870" s="111"/>
      <c r="BL870" s="111"/>
      <c r="BM870" s="111"/>
      <c r="BN870" s="111"/>
      <c r="BO870" s="111"/>
      <c r="BP870" s="111"/>
      <c r="BQ870" s="111"/>
      <c r="BR870" s="111"/>
      <c r="BS870" s="111"/>
      <c r="BT870" s="111"/>
      <c r="BU870" s="111"/>
      <c r="BV870" s="111"/>
    </row>
    <row r="871" spans="1:74" s="50" customFormat="1" ht="15.75" hidden="1" customHeight="1">
      <c r="A871" s="109">
        <v>867</v>
      </c>
      <c r="B871" s="152" t="s">
        <v>1741</v>
      </c>
      <c r="C871" s="153" t="s">
        <v>1742</v>
      </c>
      <c r="D871" s="26" t="s">
        <v>21</v>
      </c>
      <c r="E871" s="109"/>
      <c r="F871" s="109"/>
      <c r="G871" s="110">
        <v>182</v>
      </c>
      <c r="H871" s="3">
        <f t="shared" si="39"/>
        <v>0</v>
      </c>
      <c r="I871" s="3">
        <f t="shared" si="40"/>
        <v>0</v>
      </c>
      <c r="J871" s="110">
        <f t="shared" si="41"/>
        <v>182</v>
      </c>
      <c r="K871" s="110"/>
      <c r="L871" s="110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  <c r="AJ871" s="111"/>
      <c r="AK871" s="111"/>
      <c r="AL871" s="111"/>
      <c r="AM871" s="111"/>
      <c r="AN871" s="111"/>
      <c r="AO871" s="111"/>
      <c r="AP871" s="111"/>
      <c r="AQ871" s="111"/>
      <c r="AR871" s="111"/>
      <c r="AS871" s="111"/>
      <c r="AT871" s="111"/>
      <c r="AU871" s="111"/>
      <c r="AV871" s="111"/>
      <c r="AW871" s="111"/>
      <c r="AX871" s="111"/>
      <c r="AY871" s="111"/>
      <c r="AZ871" s="111"/>
      <c r="BA871" s="111"/>
      <c r="BB871" s="111"/>
      <c r="BC871" s="111"/>
      <c r="BD871" s="111"/>
      <c r="BE871" s="111"/>
      <c r="BF871" s="111"/>
      <c r="BG871" s="111"/>
      <c r="BH871" s="111"/>
      <c r="BI871" s="111"/>
      <c r="BJ871" s="111"/>
      <c r="BK871" s="111"/>
      <c r="BL871" s="111"/>
      <c r="BM871" s="111"/>
      <c r="BN871" s="111"/>
      <c r="BO871" s="111"/>
      <c r="BP871" s="111"/>
      <c r="BQ871" s="111"/>
      <c r="BR871" s="111"/>
      <c r="BS871" s="111"/>
      <c r="BT871" s="111"/>
      <c r="BU871" s="111"/>
      <c r="BV871" s="111"/>
    </row>
    <row r="872" spans="1:74" s="50" customFormat="1" ht="15" hidden="1" customHeight="1">
      <c r="A872" s="109">
        <v>868</v>
      </c>
      <c r="B872" s="112" t="s">
        <v>1743</v>
      </c>
      <c r="C872" s="141" t="s">
        <v>1744</v>
      </c>
      <c r="D872" s="26" t="s">
        <v>21</v>
      </c>
      <c r="E872" s="109"/>
      <c r="F872" s="109"/>
      <c r="G872" s="110">
        <v>0</v>
      </c>
      <c r="H872" s="3">
        <f t="shared" si="39"/>
        <v>0</v>
      </c>
      <c r="I872" s="3">
        <f t="shared" si="40"/>
        <v>0</v>
      </c>
      <c r="J872" s="110">
        <f t="shared" si="41"/>
        <v>0</v>
      </c>
      <c r="K872" s="110"/>
      <c r="L872" s="110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  <c r="AJ872" s="111"/>
      <c r="AK872" s="111"/>
      <c r="AL872" s="111"/>
      <c r="AM872" s="111"/>
      <c r="AN872" s="111"/>
      <c r="AO872" s="111"/>
      <c r="AP872" s="111"/>
      <c r="AQ872" s="111"/>
      <c r="AR872" s="111"/>
      <c r="AS872" s="111"/>
      <c r="AT872" s="111"/>
      <c r="AU872" s="111"/>
      <c r="AV872" s="111"/>
      <c r="AW872" s="111"/>
      <c r="AX872" s="111"/>
      <c r="AY872" s="111"/>
      <c r="AZ872" s="111"/>
      <c r="BA872" s="111"/>
      <c r="BB872" s="111"/>
      <c r="BC872" s="111"/>
      <c r="BD872" s="111"/>
      <c r="BE872" s="111"/>
      <c r="BF872" s="111"/>
      <c r="BG872" s="111"/>
      <c r="BH872" s="111"/>
      <c r="BI872" s="111"/>
      <c r="BJ872" s="111"/>
      <c r="BK872" s="111"/>
      <c r="BL872" s="111"/>
      <c r="BM872" s="111"/>
      <c r="BN872" s="111"/>
      <c r="BO872" s="111"/>
      <c r="BP872" s="111"/>
      <c r="BQ872" s="111"/>
      <c r="BR872" s="111"/>
      <c r="BS872" s="111"/>
      <c r="BT872" s="111"/>
      <c r="BU872" s="111"/>
      <c r="BV872" s="111"/>
    </row>
    <row r="873" spans="1:74" s="50" customFormat="1" ht="15" hidden="1" customHeight="1">
      <c r="A873" s="109">
        <v>869</v>
      </c>
      <c r="B873" s="112" t="s">
        <v>1745</v>
      </c>
      <c r="C873" s="141" t="s">
        <v>1746</v>
      </c>
      <c r="D873" s="26" t="s">
        <v>21</v>
      </c>
      <c r="E873" s="109"/>
      <c r="F873" s="109"/>
      <c r="G873" s="110">
        <v>0</v>
      </c>
      <c r="H873" s="3">
        <f t="shared" si="39"/>
        <v>0</v>
      </c>
      <c r="I873" s="3">
        <f t="shared" si="40"/>
        <v>0</v>
      </c>
      <c r="J873" s="110">
        <f t="shared" si="41"/>
        <v>0</v>
      </c>
      <c r="K873" s="110"/>
      <c r="L873" s="110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  <c r="AJ873" s="111"/>
      <c r="AK873" s="111"/>
      <c r="AL873" s="111"/>
      <c r="AM873" s="111"/>
      <c r="AN873" s="111"/>
      <c r="AO873" s="111"/>
      <c r="AP873" s="111"/>
      <c r="AQ873" s="111"/>
      <c r="AR873" s="111"/>
      <c r="AS873" s="111"/>
      <c r="AT873" s="111"/>
      <c r="AU873" s="111"/>
      <c r="AV873" s="111"/>
      <c r="AW873" s="111"/>
      <c r="AX873" s="111"/>
      <c r="AY873" s="111"/>
      <c r="AZ873" s="111"/>
      <c r="BA873" s="111"/>
      <c r="BB873" s="111"/>
      <c r="BC873" s="111"/>
      <c r="BD873" s="111"/>
      <c r="BE873" s="111"/>
      <c r="BF873" s="111"/>
      <c r="BG873" s="111"/>
      <c r="BH873" s="111"/>
      <c r="BI873" s="111"/>
      <c r="BJ873" s="111"/>
      <c r="BK873" s="111"/>
      <c r="BL873" s="111"/>
      <c r="BM873" s="111"/>
      <c r="BN873" s="111"/>
      <c r="BO873" s="111"/>
      <c r="BP873" s="111"/>
      <c r="BQ873" s="111"/>
      <c r="BR873" s="111"/>
      <c r="BS873" s="111"/>
      <c r="BT873" s="111"/>
      <c r="BU873" s="111"/>
      <c r="BV873" s="111"/>
    </row>
    <row r="874" spans="1:74" s="50" customFormat="1" ht="15" hidden="1" customHeight="1">
      <c r="A874" s="109">
        <v>870</v>
      </c>
      <c r="B874" s="26" t="s">
        <v>1747</v>
      </c>
      <c r="C874" s="141" t="s">
        <v>1748</v>
      </c>
      <c r="D874" s="26" t="s">
        <v>21</v>
      </c>
      <c r="E874" s="109"/>
      <c r="F874" s="109"/>
      <c r="G874" s="110">
        <v>3</v>
      </c>
      <c r="H874" s="3">
        <f t="shared" si="39"/>
        <v>0</v>
      </c>
      <c r="I874" s="3">
        <f t="shared" si="40"/>
        <v>0</v>
      </c>
      <c r="J874" s="110">
        <f t="shared" si="41"/>
        <v>3</v>
      </c>
      <c r="K874" s="110"/>
      <c r="L874" s="110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  <c r="AJ874" s="111"/>
      <c r="AK874" s="111"/>
      <c r="AL874" s="111"/>
      <c r="AM874" s="111"/>
      <c r="AN874" s="111"/>
      <c r="AO874" s="111"/>
      <c r="AP874" s="111"/>
      <c r="AQ874" s="111"/>
      <c r="AR874" s="111"/>
      <c r="AS874" s="111"/>
      <c r="AT874" s="111"/>
      <c r="AU874" s="111"/>
      <c r="AV874" s="111"/>
      <c r="AW874" s="111"/>
      <c r="AX874" s="111"/>
      <c r="AY874" s="111"/>
      <c r="AZ874" s="111"/>
      <c r="BA874" s="111"/>
      <c r="BB874" s="111"/>
      <c r="BC874" s="111"/>
      <c r="BD874" s="111"/>
      <c r="BE874" s="111"/>
      <c r="BF874" s="111"/>
      <c r="BG874" s="111"/>
      <c r="BH874" s="111"/>
      <c r="BI874" s="111"/>
      <c r="BJ874" s="111"/>
      <c r="BK874" s="111"/>
      <c r="BL874" s="111"/>
      <c r="BM874" s="111"/>
      <c r="BN874" s="111"/>
      <c r="BO874" s="111"/>
      <c r="BP874" s="111"/>
      <c r="BQ874" s="111"/>
      <c r="BR874" s="111"/>
      <c r="BS874" s="111"/>
      <c r="BT874" s="111"/>
      <c r="BU874" s="111"/>
      <c r="BV874" s="111"/>
    </row>
    <row r="875" spans="1:74" s="50" customFormat="1" ht="15" hidden="1" customHeight="1">
      <c r="A875" s="142">
        <v>871</v>
      </c>
      <c r="B875" s="143" t="s">
        <v>1749</v>
      </c>
      <c r="C875" s="301" t="s">
        <v>1750</v>
      </c>
      <c r="D875" s="143" t="s">
        <v>21</v>
      </c>
      <c r="E875" s="109"/>
      <c r="F875" s="109"/>
      <c r="G875" s="110">
        <v>6</v>
      </c>
      <c r="H875" s="3">
        <f t="shared" si="39"/>
        <v>0</v>
      </c>
      <c r="I875" s="3">
        <f t="shared" si="40"/>
        <v>0</v>
      </c>
      <c r="J875" s="110">
        <f t="shared" si="41"/>
        <v>6</v>
      </c>
      <c r="K875" s="110"/>
      <c r="L875" s="110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  <c r="AJ875" s="111"/>
      <c r="AK875" s="111"/>
      <c r="AL875" s="111"/>
      <c r="AM875" s="111"/>
      <c r="AN875" s="111"/>
      <c r="AO875" s="111"/>
      <c r="AP875" s="111"/>
      <c r="AQ875" s="111"/>
      <c r="AR875" s="111"/>
      <c r="AS875" s="111"/>
      <c r="AT875" s="111"/>
      <c r="AU875" s="111"/>
      <c r="AV875" s="111"/>
      <c r="AW875" s="111"/>
      <c r="AX875" s="111"/>
      <c r="AY875" s="111"/>
      <c r="AZ875" s="111"/>
      <c r="BA875" s="111"/>
      <c r="BB875" s="111"/>
      <c r="BC875" s="111"/>
      <c r="BD875" s="111"/>
      <c r="BE875" s="111"/>
      <c r="BF875" s="111"/>
      <c r="BG875" s="111"/>
      <c r="BH875" s="111"/>
      <c r="BI875" s="111"/>
      <c r="BJ875" s="111"/>
      <c r="BK875" s="111"/>
      <c r="BL875" s="111"/>
      <c r="BM875" s="111"/>
      <c r="BN875" s="111"/>
      <c r="BO875" s="111"/>
      <c r="BP875" s="111"/>
      <c r="BQ875" s="111"/>
      <c r="BR875" s="111"/>
      <c r="BS875" s="111"/>
      <c r="BT875" s="111"/>
      <c r="BU875" s="111"/>
      <c r="BV875" s="111"/>
    </row>
    <row r="876" spans="1:74" s="50" customFormat="1" ht="15" hidden="1" customHeight="1">
      <c r="A876" s="142">
        <v>872</v>
      </c>
      <c r="B876" s="143" t="s">
        <v>1751</v>
      </c>
      <c r="C876" s="334" t="s">
        <v>1752</v>
      </c>
      <c r="D876" s="143" t="s">
        <v>21</v>
      </c>
      <c r="E876" s="109"/>
      <c r="F876" s="109"/>
      <c r="G876" s="110">
        <v>7</v>
      </c>
      <c r="H876" s="3">
        <f t="shared" si="39"/>
        <v>0</v>
      </c>
      <c r="I876" s="3">
        <f t="shared" si="40"/>
        <v>0</v>
      </c>
      <c r="J876" s="110">
        <f t="shared" si="41"/>
        <v>7</v>
      </c>
      <c r="K876" s="110"/>
      <c r="L876" s="110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  <c r="AJ876" s="111"/>
      <c r="AK876" s="111"/>
      <c r="AL876" s="111"/>
      <c r="AM876" s="111"/>
      <c r="AN876" s="111"/>
      <c r="AO876" s="111"/>
      <c r="AP876" s="111"/>
      <c r="AQ876" s="111"/>
      <c r="AR876" s="111"/>
      <c r="AS876" s="111"/>
      <c r="AT876" s="111"/>
      <c r="AU876" s="111"/>
      <c r="AV876" s="111"/>
      <c r="AW876" s="111"/>
      <c r="AX876" s="111"/>
      <c r="AY876" s="111"/>
      <c r="AZ876" s="111"/>
      <c r="BA876" s="111"/>
      <c r="BB876" s="111"/>
      <c r="BC876" s="111"/>
      <c r="BD876" s="111"/>
      <c r="BE876" s="111"/>
      <c r="BF876" s="111"/>
      <c r="BG876" s="111"/>
      <c r="BH876" s="111"/>
      <c r="BI876" s="111"/>
      <c r="BJ876" s="111"/>
      <c r="BK876" s="111"/>
      <c r="BL876" s="111"/>
      <c r="BM876" s="111"/>
      <c r="BN876" s="111"/>
      <c r="BO876" s="111"/>
      <c r="BP876" s="111"/>
      <c r="BQ876" s="111"/>
      <c r="BR876" s="111"/>
      <c r="BS876" s="111"/>
      <c r="BT876" s="111"/>
      <c r="BU876" s="111"/>
      <c r="BV876" s="111"/>
    </row>
    <row r="877" spans="1:74" s="50" customFormat="1" ht="15" hidden="1" customHeight="1">
      <c r="A877" s="142">
        <v>873</v>
      </c>
      <c r="B877" s="143" t="s">
        <v>1753</v>
      </c>
      <c r="C877" s="301" t="s">
        <v>1754</v>
      </c>
      <c r="D877" s="143" t="s">
        <v>21</v>
      </c>
      <c r="E877" s="109"/>
      <c r="F877" s="109"/>
      <c r="G877" s="110">
        <v>7</v>
      </c>
      <c r="H877" s="3">
        <f t="shared" si="39"/>
        <v>0</v>
      </c>
      <c r="I877" s="3">
        <f t="shared" si="40"/>
        <v>0</v>
      </c>
      <c r="J877" s="110">
        <f t="shared" si="41"/>
        <v>7</v>
      </c>
      <c r="K877" s="110"/>
      <c r="L877" s="110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  <c r="AJ877" s="111"/>
      <c r="AK877" s="111"/>
      <c r="AL877" s="111"/>
      <c r="AM877" s="111"/>
      <c r="AN877" s="111"/>
      <c r="AO877" s="111"/>
      <c r="AP877" s="111"/>
      <c r="AQ877" s="111"/>
      <c r="AR877" s="111"/>
      <c r="AS877" s="111"/>
      <c r="AT877" s="111"/>
      <c r="AU877" s="111"/>
      <c r="AV877" s="111"/>
      <c r="AW877" s="111"/>
      <c r="AX877" s="111"/>
      <c r="AY877" s="111"/>
      <c r="AZ877" s="111"/>
      <c r="BA877" s="111"/>
      <c r="BB877" s="111"/>
      <c r="BC877" s="111"/>
      <c r="BD877" s="111"/>
      <c r="BE877" s="111"/>
      <c r="BF877" s="111"/>
      <c r="BG877" s="111"/>
      <c r="BH877" s="111"/>
      <c r="BI877" s="111"/>
      <c r="BJ877" s="111"/>
      <c r="BK877" s="111"/>
      <c r="BL877" s="111"/>
      <c r="BM877" s="111"/>
      <c r="BN877" s="111"/>
      <c r="BO877" s="111"/>
      <c r="BP877" s="111"/>
      <c r="BQ877" s="111"/>
      <c r="BR877" s="111"/>
      <c r="BS877" s="111"/>
      <c r="BT877" s="111"/>
      <c r="BU877" s="111"/>
      <c r="BV877" s="111"/>
    </row>
    <row r="878" spans="1:74" s="50" customFormat="1" ht="15" hidden="1" customHeight="1">
      <c r="A878" s="142">
        <v>874</v>
      </c>
      <c r="B878" s="143" t="s">
        <v>1755</v>
      </c>
      <c r="C878" s="301" t="s">
        <v>1756</v>
      </c>
      <c r="D878" s="143" t="s">
        <v>21</v>
      </c>
      <c r="E878" s="109"/>
      <c r="F878" s="109"/>
      <c r="G878" s="110">
        <v>4</v>
      </c>
      <c r="H878" s="3">
        <f t="shared" si="39"/>
        <v>0</v>
      </c>
      <c r="I878" s="3">
        <f t="shared" si="40"/>
        <v>0</v>
      </c>
      <c r="J878" s="110">
        <f t="shared" si="41"/>
        <v>4</v>
      </c>
      <c r="K878" s="110"/>
      <c r="L878" s="110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  <c r="AJ878" s="111"/>
      <c r="AK878" s="111"/>
      <c r="AL878" s="111"/>
      <c r="AM878" s="111"/>
      <c r="AN878" s="111"/>
      <c r="AO878" s="111"/>
      <c r="AP878" s="111"/>
      <c r="AQ878" s="111"/>
      <c r="AR878" s="111"/>
      <c r="AS878" s="111"/>
      <c r="AT878" s="111"/>
      <c r="AU878" s="111"/>
      <c r="AV878" s="111"/>
      <c r="AW878" s="111"/>
      <c r="AX878" s="111"/>
      <c r="AY878" s="111"/>
      <c r="AZ878" s="111"/>
      <c r="BA878" s="111"/>
      <c r="BB878" s="111"/>
      <c r="BC878" s="111"/>
      <c r="BD878" s="111"/>
      <c r="BE878" s="111"/>
      <c r="BF878" s="111"/>
      <c r="BG878" s="111"/>
      <c r="BH878" s="111"/>
      <c r="BI878" s="111"/>
      <c r="BJ878" s="111"/>
      <c r="BK878" s="111"/>
      <c r="BL878" s="111"/>
      <c r="BM878" s="111"/>
      <c r="BN878" s="111"/>
      <c r="BO878" s="111"/>
      <c r="BP878" s="111"/>
      <c r="BQ878" s="111"/>
      <c r="BR878" s="111"/>
      <c r="BS878" s="111"/>
      <c r="BT878" s="111"/>
      <c r="BU878" s="111"/>
      <c r="BV878" s="111"/>
    </row>
    <row r="879" spans="1:74" s="50" customFormat="1" ht="15" customHeight="1">
      <c r="A879" s="142">
        <v>875</v>
      </c>
      <c r="B879" s="252" t="s">
        <v>1757</v>
      </c>
      <c r="C879" s="283" t="s">
        <v>1758</v>
      </c>
      <c r="D879" s="143" t="s">
        <v>21</v>
      </c>
      <c r="E879" s="109"/>
      <c r="F879" s="109"/>
      <c r="G879" s="110">
        <v>3</v>
      </c>
      <c r="H879" s="3">
        <f t="shared" si="39"/>
        <v>0</v>
      </c>
      <c r="I879" s="3">
        <f t="shared" si="40"/>
        <v>0</v>
      </c>
      <c r="J879" s="110">
        <f t="shared" si="41"/>
        <v>3</v>
      </c>
      <c r="K879" s="110"/>
      <c r="L879" s="110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  <c r="AJ879" s="111"/>
      <c r="AK879" s="111"/>
      <c r="AL879" s="111"/>
      <c r="AM879" s="111"/>
      <c r="AN879" s="111"/>
      <c r="AO879" s="111"/>
      <c r="AP879" s="111"/>
      <c r="AQ879" s="111"/>
      <c r="AR879" s="111"/>
      <c r="AS879" s="111"/>
      <c r="AT879" s="111"/>
      <c r="AU879" s="111"/>
      <c r="AV879" s="111"/>
      <c r="AW879" s="111"/>
      <c r="AX879" s="111"/>
      <c r="AY879" s="111"/>
      <c r="AZ879" s="111"/>
      <c r="BA879" s="111"/>
      <c r="BB879" s="111"/>
      <c r="BC879" s="111"/>
      <c r="BD879" s="111"/>
      <c r="BE879" s="111"/>
      <c r="BF879" s="111"/>
      <c r="BG879" s="111"/>
      <c r="BH879" s="111"/>
      <c r="BI879" s="111"/>
      <c r="BJ879" s="111"/>
      <c r="BK879" s="111"/>
      <c r="BL879" s="111"/>
      <c r="BM879" s="111"/>
      <c r="BN879" s="111"/>
      <c r="BO879" s="111"/>
      <c r="BP879" s="111"/>
      <c r="BQ879" s="111"/>
      <c r="BR879" s="111"/>
      <c r="BS879" s="111"/>
      <c r="BT879" s="111"/>
      <c r="BU879" s="111"/>
      <c r="BV879" s="111"/>
    </row>
    <row r="880" spans="1:74" s="50" customFormat="1" ht="15" hidden="1" customHeight="1">
      <c r="A880" s="109">
        <v>876</v>
      </c>
      <c r="B880" s="112" t="s">
        <v>1759</v>
      </c>
      <c r="C880" s="115" t="s">
        <v>1760</v>
      </c>
      <c r="D880" s="26" t="s">
        <v>21</v>
      </c>
      <c r="E880" s="109"/>
      <c r="F880" s="109"/>
      <c r="G880" s="110">
        <v>9</v>
      </c>
      <c r="H880" s="3">
        <f t="shared" si="39"/>
        <v>0</v>
      </c>
      <c r="I880" s="3">
        <f t="shared" si="40"/>
        <v>0</v>
      </c>
      <c r="J880" s="110">
        <f t="shared" si="41"/>
        <v>9</v>
      </c>
      <c r="K880" s="110"/>
      <c r="L880" s="110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  <c r="AJ880" s="111"/>
      <c r="AK880" s="111"/>
      <c r="AL880" s="111"/>
      <c r="AM880" s="111"/>
      <c r="AN880" s="111"/>
      <c r="AO880" s="111"/>
      <c r="AP880" s="111"/>
      <c r="AQ880" s="111"/>
      <c r="AR880" s="111"/>
      <c r="AS880" s="111"/>
      <c r="AT880" s="111"/>
      <c r="AU880" s="111"/>
      <c r="AV880" s="111"/>
      <c r="AW880" s="111"/>
      <c r="AX880" s="111"/>
      <c r="AY880" s="111"/>
      <c r="AZ880" s="111"/>
      <c r="BA880" s="111"/>
      <c r="BB880" s="111"/>
      <c r="BC880" s="111"/>
      <c r="BD880" s="111"/>
      <c r="BE880" s="111"/>
      <c r="BF880" s="111"/>
      <c r="BG880" s="111"/>
      <c r="BH880" s="111"/>
      <c r="BI880" s="111"/>
      <c r="BJ880" s="111"/>
      <c r="BK880" s="111"/>
      <c r="BL880" s="111"/>
      <c r="BM880" s="111"/>
      <c r="BN880" s="111"/>
      <c r="BO880" s="111"/>
      <c r="BP880" s="111"/>
      <c r="BQ880" s="111"/>
      <c r="BR880" s="111"/>
      <c r="BS880" s="111"/>
      <c r="BT880" s="111"/>
      <c r="BU880" s="111"/>
      <c r="BV880" s="111"/>
    </row>
    <row r="881" spans="1:74" s="50" customFormat="1" ht="15" hidden="1" customHeight="1">
      <c r="A881" s="109">
        <v>877</v>
      </c>
      <c r="B881" s="112" t="s">
        <v>1761</v>
      </c>
      <c r="C881" s="115" t="s">
        <v>1762</v>
      </c>
      <c r="D881" s="26" t="s">
        <v>14</v>
      </c>
      <c r="E881" s="109"/>
      <c r="F881" s="109"/>
      <c r="G881" s="110">
        <v>0</v>
      </c>
      <c r="H881" s="3">
        <f t="shared" si="39"/>
        <v>0</v>
      </c>
      <c r="I881" s="3">
        <f t="shared" si="40"/>
        <v>0</v>
      </c>
      <c r="J881" s="110">
        <f t="shared" si="41"/>
        <v>0</v>
      </c>
      <c r="K881" s="110"/>
      <c r="L881" s="110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  <c r="AJ881" s="111"/>
      <c r="AK881" s="111"/>
      <c r="AL881" s="111"/>
      <c r="AM881" s="111"/>
      <c r="AN881" s="111"/>
      <c r="AO881" s="111"/>
      <c r="AP881" s="111"/>
      <c r="AQ881" s="111"/>
      <c r="AR881" s="111"/>
      <c r="AS881" s="111"/>
      <c r="AT881" s="111"/>
      <c r="AU881" s="111"/>
      <c r="AV881" s="111"/>
      <c r="AW881" s="111"/>
      <c r="AX881" s="111"/>
      <c r="AY881" s="111"/>
      <c r="AZ881" s="111"/>
      <c r="BA881" s="111"/>
      <c r="BB881" s="111"/>
      <c r="BC881" s="111"/>
      <c r="BD881" s="111"/>
      <c r="BE881" s="111"/>
      <c r="BF881" s="111"/>
      <c r="BG881" s="111"/>
      <c r="BH881" s="111"/>
      <c r="BI881" s="111"/>
      <c r="BJ881" s="111"/>
      <c r="BK881" s="111"/>
      <c r="BL881" s="111"/>
      <c r="BM881" s="111"/>
      <c r="BN881" s="111"/>
      <c r="BO881" s="111"/>
      <c r="BP881" s="111"/>
      <c r="BQ881" s="111"/>
      <c r="BR881" s="111"/>
      <c r="BS881" s="111"/>
      <c r="BT881" s="111"/>
      <c r="BU881" s="111"/>
      <c r="BV881" s="111"/>
    </row>
    <row r="882" spans="1:74" s="50" customFormat="1" ht="15" hidden="1" customHeight="1">
      <c r="A882" s="109">
        <v>878</v>
      </c>
      <c r="B882" s="112" t="s">
        <v>1763</v>
      </c>
      <c r="C882" s="115" t="s">
        <v>1764</v>
      </c>
      <c r="D882" s="26" t="s">
        <v>21</v>
      </c>
      <c r="E882" s="109"/>
      <c r="F882" s="109"/>
      <c r="G882" s="110">
        <v>0</v>
      </c>
      <c r="H882" s="3">
        <f t="shared" si="39"/>
        <v>0</v>
      </c>
      <c r="I882" s="3">
        <f t="shared" si="40"/>
        <v>0</v>
      </c>
      <c r="J882" s="110">
        <f t="shared" si="41"/>
        <v>0</v>
      </c>
      <c r="K882" s="110"/>
      <c r="L882" s="110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  <c r="AJ882" s="111"/>
      <c r="AK882" s="111"/>
      <c r="AL882" s="111"/>
      <c r="AM882" s="111"/>
      <c r="AN882" s="111"/>
      <c r="AO882" s="111"/>
      <c r="AP882" s="111"/>
      <c r="AQ882" s="111"/>
      <c r="AR882" s="111"/>
      <c r="AS882" s="111"/>
      <c r="AT882" s="111"/>
      <c r="AU882" s="111"/>
      <c r="AV882" s="111"/>
      <c r="AW882" s="111"/>
      <c r="AX882" s="111"/>
      <c r="AY882" s="111"/>
      <c r="AZ882" s="111"/>
      <c r="BA882" s="111"/>
      <c r="BB882" s="111"/>
      <c r="BC882" s="111"/>
      <c r="BD882" s="111"/>
      <c r="BE882" s="111"/>
      <c r="BF882" s="111"/>
      <c r="BG882" s="111"/>
      <c r="BH882" s="111"/>
      <c r="BI882" s="111"/>
      <c r="BJ882" s="111"/>
      <c r="BK882" s="111"/>
      <c r="BL882" s="111"/>
      <c r="BM882" s="111"/>
      <c r="BN882" s="111"/>
      <c r="BO882" s="111"/>
      <c r="BP882" s="111"/>
      <c r="BQ882" s="111"/>
      <c r="BR882" s="111"/>
      <c r="BS882" s="111"/>
      <c r="BT882" s="111"/>
      <c r="BU882" s="111"/>
      <c r="BV882" s="111"/>
    </row>
    <row r="883" spans="1:74" s="50" customFormat="1" ht="15" hidden="1" customHeight="1">
      <c r="A883" s="111">
        <v>879</v>
      </c>
      <c r="B883" s="4" t="s">
        <v>1765</v>
      </c>
      <c r="C883" s="19" t="s">
        <v>1766</v>
      </c>
      <c r="D883" s="3" t="s">
        <v>21</v>
      </c>
      <c r="E883" s="109"/>
      <c r="F883" s="111"/>
      <c r="G883" s="110">
        <v>0</v>
      </c>
      <c r="H883" s="3">
        <f t="shared" si="39"/>
        <v>0</v>
      </c>
      <c r="I883" s="3">
        <f t="shared" si="40"/>
        <v>0</v>
      </c>
      <c r="J883" s="110">
        <f t="shared" si="41"/>
        <v>0</v>
      </c>
      <c r="K883" s="110"/>
      <c r="L883" s="110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  <c r="AJ883" s="111"/>
      <c r="AK883" s="111"/>
      <c r="AL883" s="111"/>
      <c r="AM883" s="111"/>
      <c r="AN883" s="111"/>
      <c r="AO883" s="111"/>
      <c r="AP883" s="111"/>
      <c r="AQ883" s="111"/>
      <c r="AR883" s="111"/>
      <c r="AS883" s="111"/>
      <c r="AT883" s="111"/>
      <c r="AU883" s="111"/>
      <c r="AV883" s="111"/>
      <c r="AW883" s="111"/>
      <c r="AX883" s="111"/>
      <c r="AY883" s="111"/>
      <c r="AZ883" s="111"/>
      <c r="BA883" s="111"/>
      <c r="BB883" s="111"/>
      <c r="BC883" s="111"/>
      <c r="BD883" s="111"/>
      <c r="BE883" s="111"/>
      <c r="BF883" s="111"/>
      <c r="BG883" s="111"/>
      <c r="BH883" s="111"/>
      <c r="BI883" s="111"/>
      <c r="BJ883" s="111"/>
      <c r="BK883" s="111"/>
      <c r="BL883" s="111"/>
      <c r="BM883" s="111"/>
      <c r="BN883" s="111"/>
      <c r="BO883" s="111"/>
      <c r="BP883" s="111"/>
      <c r="BQ883" s="111"/>
      <c r="BR883" s="111"/>
      <c r="BS883" s="111"/>
      <c r="BT883" s="111"/>
      <c r="BU883" s="111"/>
      <c r="BV883" s="111"/>
    </row>
    <row r="884" spans="1:74" s="50" customFormat="1" ht="15" hidden="1" customHeight="1">
      <c r="A884" s="109">
        <v>880</v>
      </c>
      <c r="B884" s="116" t="s">
        <v>1767</v>
      </c>
      <c r="C884" s="115" t="s">
        <v>1768</v>
      </c>
      <c r="D884" s="26" t="s">
        <v>21</v>
      </c>
      <c r="E884" s="109"/>
      <c r="F884" s="109"/>
      <c r="G884" s="110">
        <v>0</v>
      </c>
      <c r="H884" s="3">
        <f t="shared" si="39"/>
        <v>0</v>
      </c>
      <c r="I884" s="3">
        <f t="shared" si="40"/>
        <v>0</v>
      </c>
      <c r="J884" s="110">
        <f t="shared" si="41"/>
        <v>0</v>
      </c>
      <c r="K884" s="110"/>
      <c r="L884" s="110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  <c r="AJ884" s="111"/>
      <c r="AK884" s="111"/>
      <c r="AL884" s="111"/>
      <c r="AM884" s="111"/>
      <c r="AN884" s="111"/>
      <c r="AO884" s="111"/>
      <c r="AP884" s="111"/>
      <c r="AQ884" s="111"/>
      <c r="AR884" s="111"/>
      <c r="AS884" s="111"/>
      <c r="AT884" s="111"/>
      <c r="AU884" s="111"/>
      <c r="AV884" s="111"/>
      <c r="AW884" s="111"/>
      <c r="AX884" s="111"/>
      <c r="AY884" s="111"/>
      <c r="AZ884" s="111"/>
      <c r="BA884" s="111"/>
      <c r="BB884" s="111"/>
      <c r="BC884" s="111"/>
      <c r="BD884" s="111"/>
      <c r="BE884" s="111"/>
      <c r="BF884" s="111"/>
      <c r="BG884" s="111"/>
      <c r="BH884" s="111"/>
      <c r="BI884" s="111"/>
      <c r="BJ884" s="111"/>
      <c r="BK884" s="111"/>
      <c r="BL884" s="111"/>
      <c r="BM884" s="111"/>
      <c r="BN884" s="111"/>
      <c r="BO884" s="111"/>
      <c r="BP884" s="111"/>
      <c r="BQ884" s="111"/>
      <c r="BR884" s="111"/>
      <c r="BS884" s="111"/>
      <c r="BT884" s="111"/>
      <c r="BU884" s="111"/>
      <c r="BV884" s="111"/>
    </row>
    <row r="885" spans="1:74" s="50" customFormat="1" ht="15" hidden="1" customHeight="1">
      <c r="A885" s="109">
        <v>881</v>
      </c>
      <c r="B885" s="112" t="s">
        <v>1769</v>
      </c>
      <c r="C885" s="115" t="s">
        <v>1770</v>
      </c>
      <c r="D885" s="26" t="s">
        <v>21</v>
      </c>
      <c r="E885" s="109"/>
      <c r="F885" s="109"/>
      <c r="G885" s="110">
        <v>0</v>
      </c>
      <c r="H885" s="3">
        <f t="shared" si="39"/>
        <v>0</v>
      </c>
      <c r="I885" s="3">
        <f t="shared" si="40"/>
        <v>0</v>
      </c>
      <c r="J885" s="110">
        <f t="shared" si="41"/>
        <v>0</v>
      </c>
      <c r="K885" s="110"/>
      <c r="L885" s="110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  <c r="AJ885" s="111"/>
      <c r="AK885" s="111"/>
      <c r="AL885" s="111"/>
      <c r="AM885" s="111"/>
      <c r="AN885" s="111"/>
      <c r="AO885" s="111"/>
      <c r="AP885" s="111"/>
      <c r="AQ885" s="111"/>
      <c r="AR885" s="111"/>
      <c r="AS885" s="111"/>
      <c r="AT885" s="111"/>
      <c r="AU885" s="111"/>
      <c r="AV885" s="111"/>
      <c r="AW885" s="111"/>
      <c r="AX885" s="111"/>
      <c r="AY885" s="111"/>
      <c r="AZ885" s="111"/>
      <c r="BA885" s="111"/>
      <c r="BB885" s="111"/>
      <c r="BC885" s="111"/>
      <c r="BD885" s="111"/>
      <c r="BE885" s="111"/>
      <c r="BF885" s="111"/>
      <c r="BG885" s="111"/>
      <c r="BH885" s="111"/>
      <c r="BI885" s="111"/>
      <c r="BJ885" s="111"/>
      <c r="BK885" s="111"/>
      <c r="BL885" s="111"/>
      <c r="BM885" s="111"/>
      <c r="BN885" s="111"/>
      <c r="BO885" s="111"/>
      <c r="BP885" s="111"/>
      <c r="BQ885" s="111"/>
      <c r="BR885" s="111"/>
      <c r="BS885" s="111"/>
      <c r="BT885" s="111"/>
      <c r="BU885" s="111"/>
      <c r="BV885" s="111"/>
    </row>
    <row r="886" spans="1:74" s="50" customFormat="1" ht="15" hidden="1" customHeight="1">
      <c r="A886" s="109">
        <v>882</v>
      </c>
      <c r="B886" s="112" t="s">
        <v>1771</v>
      </c>
      <c r="C886" s="115" t="s">
        <v>1772</v>
      </c>
      <c r="D886" s="26" t="s">
        <v>21</v>
      </c>
      <c r="E886" s="109"/>
      <c r="F886" s="109"/>
      <c r="G886" s="110">
        <v>0</v>
      </c>
      <c r="H886" s="3">
        <f t="shared" si="39"/>
        <v>0</v>
      </c>
      <c r="I886" s="3">
        <f t="shared" si="40"/>
        <v>0</v>
      </c>
      <c r="J886" s="110">
        <f t="shared" si="41"/>
        <v>0</v>
      </c>
      <c r="K886" s="110"/>
      <c r="L886" s="110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  <c r="AJ886" s="111"/>
      <c r="AK886" s="111"/>
      <c r="AL886" s="111"/>
      <c r="AM886" s="111"/>
      <c r="AN886" s="111"/>
      <c r="AO886" s="111"/>
      <c r="AP886" s="111"/>
      <c r="AQ886" s="111"/>
      <c r="AR886" s="111"/>
      <c r="AS886" s="111"/>
      <c r="AT886" s="111"/>
      <c r="AU886" s="111"/>
      <c r="AV886" s="111"/>
      <c r="AW886" s="111"/>
      <c r="AX886" s="111"/>
      <c r="AY886" s="111"/>
      <c r="AZ886" s="111"/>
      <c r="BA886" s="111"/>
      <c r="BB886" s="111"/>
      <c r="BC886" s="111"/>
      <c r="BD886" s="111"/>
      <c r="BE886" s="111"/>
      <c r="BF886" s="111"/>
      <c r="BG886" s="111"/>
      <c r="BH886" s="111"/>
      <c r="BI886" s="111"/>
      <c r="BJ886" s="111"/>
      <c r="BK886" s="111"/>
      <c r="BL886" s="111"/>
      <c r="BM886" s="111"/>
      <c r="BN886" s="111"/>
      <c r="BO886" s="111"/>
      <c r="BP886" s="111"/>
      <c r="BQ886" s="111"/>
      <c r="BR886" s="111"/>
      <c r="BS886" s="111"/>
      <c r="BT886" s="111"/>
      <c r="BU886" s="111"/>
      <c r="BV886" s="111"/>
    </row>
    <row r="887" spans="1:74" s="50" customFormat="1" ht="15" hidden="1" customHeight="1">
      <c r="A887" s="109">
        <v>883</v>
      </c>
      <c r="B887" s="112" t="s">
        <v>1773</v>
      </c>
      <c r="C887" s="115" t="s">
        <v>1774</v>
      </c>
      <c r="D887" s="26" t="s">
        <v>21</v>
      </c>
      <c r="E887" s="109"/>
      <c r="F887" s="109"/>
      <c r="G887" s="110">
        <v>0</v>
      </c>
      <c r="H887" s="3">
        <f t="shared" ref="H887:H950" si="42">SUM(M887+O887+Q887+S887+U887+W887+Y887+AA887+AC887+AE887+AG887+AI887+AK887+AM887+AO887+AQ887+AS887+AU887+AW887+AY887+BA887+BC887+BE887+BG887+BI887+BK887+BM887+BO887+BQ887+BS887+BU887)</f>
        <v>0</v>
      </c>
      <c r="I887" s="3">
        <f t="shared" ref="I887:I950" si="43">SUM(N887+P887+R887+T887+V887+X887+Z887+AB887+AD887+AF887+AH887+AJ887+AL887+AN887+AP887+AR887+AT887+AV887+AX887+AZ887+BB887+BD887+BF887+BH887+BJ887+BL887+BN887+BP887+BR887+BT887+BV887)</f>
        <v>0</v>
      </c>
      <c r="J887" s="110">
        <f t="shared" ref="J887:J950" si="44">G887+H887-I887</f>
        <v>0</v>
      </c>
      <c r="K887" s="110"/>
      <c r="L887" s="110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  <c r="AJ887" s="111"/>
      <c r="AK887" s="111"/>
      <c r="AL887" s="111"/>
      <c r="AM887" s="111"/>
      <c r="AN887" s="111"/>
      <c r="AO887" s="111"/>
      <c r="AP887" s="111"/>
      <c r="AQ887" s="111"/>
      <c r="AR887" s="111"/>
      <c r="AS887" s="111"/>
      <c r="AT887" s="111"/>
      <c r="AU887" s="111"/>
      <c r="AV887" s="111"/>
      <c r="AW887" s="111"/>
      <c r="AX887" s="111"/>
      <c r="AY887" s="111"/>
      <c r="AZ887" s="111"/>
      <c r="BA887" s="111"/>
      <c r="BB887" s="111"/>
      <c r="BC887" s="111"/>
      <c r="BD887" s="111"/>
      <c r="BE887" s="111"/>
      <c r="BF887" s="111"/>
      <c r="BG887" s="111"/>
      <c r="BH887" s="111"/>
      <c r="BI887" s="111"/>
      <c r="BJ887" s="111"/>
      <c r="BK887" s="111"/>
      <c r="BL887" s="111"/>
      <c r="BM887" s="111"/>
      <c r="BN887" s="111"/>
      <c r="BO887" s="111"/>
      <c r="BP887" s="111"/>
      <c r="BQ887" s="111"/>
      <c r="BR887" s="111"/>
      <c r="BS887" s="111"/>
      <c r="BT887" s="111"/>
      <c r="BU887" s="111"/>
      <c r="BV887" s="111"/>
    </row>
    <row r="888" spans="1:74" s="50" customFormat="1" ht="15" hidden="1" customHeight="1">
      <c r="A888" s="142">
        <v>884</v>
      </c>
      <c r="B888" s="252" t="s">
        <v>1775</v>
      </c>
      <c r="C888" s="253" t="s">
        <v>1776</v>
      </c>
      <c r="D888" s="143" t="s">
        <v>21</v>
      </c>
      <c r="E888" s="109"/>
      <c r="F888" s="109"/>
      <c r="G888" s="110">
        <v>60</v>
      </c>
      <c r="H888" s="3">
        <f t="shared" si="42"/>
        <v>0</v>
      </c>
      <c r="I888" s="3">
        <f t="shared" si="43"/>
        <v>0</v>
      </c>
      <c r="J888" s="110">
        <f t="shared" si="44"/>
        <v>60</v>
      </c>
      <c r="K888" s="110"/>
      <c r="L888" s="110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  <c r="AJ888" s="111"/>
      <c r="AK888" s="111"/>
      <c r="AL888" s="111"/>
      <c r="AM888" s="111"/>
      <c r="AN888" s="111"/>
      <c r="AO888" s="111"/>
      <c r="AP888" s="111"/>
      <c r="AQ888" s="111"/>
      <c r="AR888" s="111"/>
      <c r="AS888" s="111"/>
      <c r="AT888" s="111"/>
      <c r="AU888" s="111"/>
      <c r="AV888" s="111"/>
      <c r="AW888" s="111"/>
      <c r="AX888" s="111"/>
      <c r="AY888" s="111"/>
      <c r="AZ888" s="111"/>
      <c r="BA888" s="111"/>
      <c r="BB888" s="111"/>
      <c r="BC888" s="111"/>
      <c r="BD888" s="111"/>
      <c r="BE888" s="111"/>
      <c r="BF888" s="111"/>
      <c r="BG888" s="111"/>
      <c r="BH888" s="111"/>
      <c r="BI888" s="111"/>
      <c r="BJ888" s="111"/>
      <c r="BK888" s="111"/>
      <c r="BL888" s="111"/>
      <c r="BM888" s="111"/>
      <c r="BN888" s="111"/>
      <c r="BO888" s="111"/>
      <c r="BP888" s="111"/>
      <c r="BQ888" s="111"/>
      <c r="BR888" s="111"/>
      <c r="BS888" s="111"/>
      <c r="BT888" s="111"/>
      <c r="BU888" s="111"/>
      <c r="BV888" s="111"/>
    </row>
    <row r="889" spans="1:74" s="50" customFormat="1" ht="15.75" hidden="1" customHeight="1">
      <c r="A889" s="142">
        <v>885</v>
      </c>
      <c r="B889" s="252" t="s">
        <v>1777</v>
      </c>
      <c r="C889" s="283" t="s">
        <v>1778</v>
      </c>
      <c r="D889" s="143" t="s">
        <v>21</v>
      </c>
      <c r="E889" s="109"/>
      <c r="F889" s="109"/>
      <c r="G889" s="110">
        <v>1</v>
      </c>
      <c r="H889" s="3">
        <f t="shared" si="42"/>
        <v>0</v>
      </c>
      <c r="I889" s="3">
        <f t="shared" si="43"/>
        <v>0</v>
      </c>
      <c r="J889" s="110">
        <f t="shared" si="44"/>
        <v>1</v>
      </c>
      <c r="K889" s="110"/>
      <c r="L889" s="110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  <c r="AJ889" s="111"/>
      <c r="AK889" s="111"/>
      <c r="AL889" s="111"/>
      <c r="AM889" s="111"/>
      <c r="AN889" s="111"/>
      <c r="AO889" s="111"/>
      <c r="AP889" s="111"/>
      <c r="AQ889" s="111"/>
      <c r="AR889" s="111"/>
      <c r="AS889" s="111"/>
      <c r="AT889" s="111"/>
      <c r="AU889" s="111"/>
      <c r="AV889" s="111"/>
      <c r="AW889" s="111"/>
      <c r="AX889" s="111"/>
      <c r="AY889" s="111"/>
      <c r="AZ889" s="111"/>
      <c r="BA889" s="111"/>
      <c r="BB889" s="111"/>
      <c r="BC889" s="111"/>
      <c r="BD889" s="111"/>
      <c r="BE889" s="111"/>
      <c r="BF889" s="111"/>
      <c r="BG889" s="111"/>
      <c r="BH889" s="111"/>
      <c r="BI889" s="111"/>
      <c r="BJ889" s="111"/>
      <c r="BK889" s="111"/>
      <c r="BL889" s="111"/>
      <c r="BM889" s="111"/>
      <c r="BN889" s="111"/>
      <c r="BO889" s="111"/>
      <c r="BP889" s="111"/>
      <c r="BQ889" s="111"/>
      <c r="BR889" s="111"/>
      <c r="BS889" s="111"/>
      <c r="BT889" s="111"/>
      <c r="BU889" s="111"/>
      <c r="BV889" s="111"/>
    </row>
    <row r="890" spans="1:74" s="50" customFormat="1" ht="15" hidden="1" customHeight="1">
      <c r="A890" s="142">
        <v>886</v>
      </c>
      <c r="B890" s="252" t="s">
        <v>1779</v>
      </c>
      <c r="C890" s="253" t="s">
        <v>1780</v>
      </c>
      <c r="D890" s="143" t="s">
        <v>21</v>
      </c>
      <c r="E890" s="109"/>
      <c r="F890" s="109"/>
      <c r="G890" s="110">
        <v>3</v>
      </c>
      <c r="H890" s="3">
        <f t="shared" si="42"/>
        <v>0</v>
      </c>
      <c r="I890" s="3">
        <f t="shared" si="43"/>
        <v>0</v>
      </c>
      <c r="J890" s="110">
        <f t="shared" si="44"/>
        <v>3</v>
      </c>
      <c r="K890" s="110"/>
      <c r="L890" s="110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  <c r="AJ890" s="111"/>
      <c r="AK890" s="111"/>
      <c r="AL890" s="111"/>
      <c r="AM890" s="111"/>
      <c r="AN890" s="111"/>
      <c r="AO890" s="111"/>
      <c r="AP890" s="111"/>
      <c r="AQ890" s="111"/>
      <c r="AR890" s="111"/>
      <c r="AS890" s="111"/>
      <c r="AT890" s="111"/>
      <c r="AU890" s="111"/>
      <c r="AV890" s="111"/>
      <c r="AW890" s="111"/>
      <c r="AX890" s="111"/>
      <c r="AY890" s="111"/>
      <c r="AZ890" s="111"/>
      <c r="BA890" s="111"/>
      <c r="BB890" s="111"/>
      <c r="BC890" s="111"/>
      <c r="BD890" s="111"/>
      <c r="BE890" s="111"/>
      <c r="BF890" s="111"/>
      <c r="BG890" s="111"/>
      <c r="BH890" s="111"/>
      <c r="BI890" s="111"/>
      <c r="BJ890" s="111"/>
      <c r="BK890" s="111"/>
      <c r="BL890" s="111"/>
      <c r="BM890" s="111"/>
      <c r="BN890" s="111"/>
      <c r="BO890" s="111"/>
      <c r="BP890" s="111"/>
      <c r="BQ890" s="111"/>
      <c r="BR890" s="111"/>
      <c r="BS890" s="111"/>
      <c r="BT890" s="111"/>
      <c r="BU890" s="111"/>
      <c r="BV890" s="111"/>
    </row>
    <row r="891" spans="1:74" s="50" customFormat="1" ht="15" hidden="1" customHeight="1">
      <c r="A891" s="109">
        <v>887</v>
      </c>
      <c r="B891" s="112" t="s">
        <v>1781</v>
      </c>
      <c r="C891" s="115" t="s">
        <v>1782</v>
      </c>
      <c r="D891" s="26" t="s">
        <v>21</v>
      </c>
      <c r="E891" s="109"/>
      <c r="F891" s="109"/>
      <c r="G891" s="110">
        <v>1</v>
      </c>
      <c r="H891" s="3">
        <f t="shared" si="42"/>
        <v>0</v>
      </c>
      <c r="I891" s="3">
        <f t="shared" si="43"/>
        <v>0</v>
      </c>
      <c r="J891" s="110">
        <f t="shared" si="44"/>
        <v>1</v>
      </c>
      <c r="K891" s="110"/>
      <c r="L891" s="110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  <c r="AJ891" s="111"/>
      <c r="AK891" s="111"/>
      <c r="AL891" s="111"/>
      <c r="AM891" s="111"/>
      <c r="AN891" s="111"/>
      <c r="AO891" s="111"/>
      <c r="AP891" s="111"/>
      <c r="AQ891" s="111"/>
      <c r="AR891" s="111"/>
      <c r="AS891" s="111"/>
      <c r="AT891" s="111"/>
      <c r="AU891" s="111"/>
      <c r="AV891" s="111"/>
      <c r="AW891" s="111"/>
      <c r="AX891" s="111"/>
      <c r="AY891" s="111"/>
      <c r="AZ891" s="111"/>
      <c r="BA891" s="111"/>
      <c r="BB891" s="111"/>
      <c r="BC891" s="111"/>
      <c r="BD891" s="111"/>
      <c r="BE891" s="111"/>
      <c r="BF891" s="111"/>
      <c r="BG891" s="111"/>
      <c r="BH891" s="111"/>
      <c r="BI891" s="111"/>
      <c r="BJ891" s="111"/>
      <c r="BK891" s="111"/>
      <c r="BL891" s="111"/>
      <c r="BM891" s="111"/>
      <c r="BN891" s="111"/>
      <c r="BO891" s="111"/>
      <c r="BP891" s="111"/>
      <c r="BQ891" s="111"/>
      <c r="BR891" s="111"/>
      <c r="BS891" s="111"/>
      <c r="BT891" s="111"/>
      <c r="BU891" s="111"/>
      <c r="BV891" s="111"/>
    </row>
    <row r="892" spans="1:74" s="50" customFormat="1" ht="15" hidden="1" customHeight="1">
      <c r="A892" s="142">
        <v>888</v>
      </c>
      <c r="B892" s="252" t="s">
        <v>1783</v>
      </c>
      <c r="C892" s="253" t="s">
        <v>1784</v>
      </c>
      <c r="D892" s="143" t="s">
        <v>21</v>
      </c>
      <c r="E892" s="109"/>
      <c r="F892" s="109"/>
      <c r="G892" s="110">
        <v>1</v>
      </c>
      <c r="H892" s="3">
        <f t="shared" si="42"/>
        <v>0</v>
      </c>
      <c r="I892" s="3">
        <f t="shared" si="43"/>
        <v>0</v>
      </c>
      <c r="J892" s="110">
        <f t="shared" si="44"/>
        <v>1</v>
      </c>
      <c r="K892" s="110"/>
      <c r="L892" s="110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  <c r="AJ892" s="111"/>
      <c r="AK892" s="111"/>
      <c r="AL892" s="111"/>
      <c r="AM892" s="111"/>
      <c r="AN892" s="111"/>
      <c r="AO892" s="111"/>
      <c r="AP892" s="111"/>
      <c r="AQ892" s="111"/>
      <c r="AR892" s="111"/>
      <c r="AS892" s="111"/>
      <c r="AT892" s="111"/>
      <c r="AU892" s="111"/>
      <c r="AV892" s="111"/>
      <c r="AW892" s="111"/>
      <c r="AX892" s="111"/>
      <c r="AY892" s="111"/>
      <c r="AZ892" s="111"/>
      <c r="BA892" s="111"/>
      <c r="BB892" s="111"/>
      <c r="BC892" s="111"/>
      <c r="BD892" s="111"/>
      <c r="BE892" s="111"/>
      <c r="BF892" s="111"/>
      <c r="BG892" s="111"/>
      <c r="BH892" s="111"/>
      <c r="BI892" s="111"/>
      <c r="BJ892" s="111"/>
      <c r="BK892" s="111"/>
      <c r="BL892" s="111"/>
      <c r="BM892" s="111"/>
      <c r="BN892" s="111"/>
      <c r="BO892" s="111"/>
      <c r="BP892" s="111"/>
      <c r="BQ892" s="111"/>
      <c r="BR892" s="111"/>
      <c r="BS892" s="111"/>
      <c r="BT892" s="111"/>
      <c r="BU892" s="111"/>
      <c r="BV892" s="111"/>
    </row>
    <row r="893" spans="1:74" s="50" customFormat="1" ht="15" hidden="1" customHeight="1">
      <c r="A893" s="142">
        <v>889</v>
      </c>
      <c r="B893" s="252" t="s">
        <v>1785</v>
      </c>
      <c r="C893" s="253" t="s">
        <v>1786</v>
      </c>
      <c r="D893" s="143" t="s">
        <v>21</v>
      </c>
      <c r="E893" s="109"/>
      <c r="F893" s="109"/>
      <c r="G893" s="110">
        <v>1</v>
      </c>
      <c r="H893" s="3">
        <f t="shared" si="42"/>
        <v>0</v>
      </c>
      <c r="I893" s="3">
        <f t="shared" si="43"/>
        <v>0</v>
      </c>
      <c r="J893" s="110">
        <f t="shared" si="44"/>
        <v>1</v>
      </c>
      <c r="K893" s="110"/>
      <c r="L893" s="110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  <c r="AJ893" s="111"/>
      <c r="AK893" s="111"/>
      <c r="AL893" s="111"/>
      <c r="AM893" s="111"/>
      <c r="AN893" s="111"/>
      <c r="AO893" s="111"/>
      <c r="AP893" s="111"/>
      <c r="AQ893" s="111"/>
      <c r="AR893" s="111"/>
      <c r="AS893" s="111"/>
      <c r="AT893" s="111"/>
      <c r="AU893" s="111"/>
      <c r="AV893" s="111"/>
      <c r="AW893" s="111"/>
      <c r="AX893" s="111"/>
      <c r="AY893" s="111"/>
      <c r="AZ893" s="111"/>
      <c r="BA893" s="111"/>
      <c r="BB893" s="111"/>
      <c r="BC893" s="111"/>
      <c r="BD893" s="111"/>
      <c r="BE893" s="111"/>
      <c r="BF893" s="111"/>
      <c r="BG893" s="111"/>
      <c r="BH893" s="111"/>
      <c r="BI893" s="111"/>
      <c r="BJ893" s="111"/>
      <c r="BK893" s="111"/>
      <c r="BL893" s="111"/>
      <c r="BM893" s="111"/>
      <c r="BN893" s="111"/>
      <c r="BO893" s="111"/>
      <c r="BP893" s="111"/>
      <c r="BQ893" s="111"/>
      <c r="BR893" s="111"/>
      <c r="BS893" s="111"/>
      <c r="BT893" s="111"/>
      <c r="BU893" s="111"/>
      <c r="BV893" s="111"/>
    </row>
    <row r="894" spans="1:74" s="50" customFormat="1" ht="15" hidden="1" customHeight="1">
      <c r="A894" s="109">
        <v>890</v>
      </c>
      <c r="B894" s="112" t="s">
        <v>1787</v>
      </c>
      <c r="C894" s="115" t="s">
        <v>1788</v>
      </c>
      <c r="D894" s="26" t="s">
        <v>21</v>
      </c>
      <c r="E894" s="109"/>
      <c r="F894" s="109"/>
      <c r="G894" s="110">
        <v>0</v>
      </c>
      <c r="H894" s="3">
        <f t="shared" si="42"/>
        <v>0</v>
      </c>
      <c r="I894" s="3">
        <f t="shared" si="43"/>
        <v>0</v>
      </c>
      <c r="J894" s="110">
        <f t="shared" si="44"/>
        <v>0</v>
      </c>
      <c r="K894" s="110"/>
      <c r="L894" s="110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  <c r="AJ894" s="111"/>
      <c r="AK894" s="111"/>
      <c r="AL894" s="111"/>
      <c r="AM894" s="111"/>
      <c r="AN894" s="111"/>
      <c r="AO894" s="111"/>
      <c r="AP894" s="111"/>
      <c r="AQ894" s="111"/>
      <c r="AR894" s="111"/>
      <c r="AS894" s="111"/>
      <c r="AT894" s="111"/>
      <c r="AU894" s="111"/>
      <c r="AV894" s="111"/>
      <c r="AW894" s="111"/>
      <c r="AX894" s="111"/>
      <c r="AY894" s="111"/>
      <c r="AZ894" s="111"/>
      <c r="BA894" s="111"/>
      <c r="BB894" s="111"/>
      <c r="BC894" s="111"/>
      <c r="BD894" s="111"/>
      <c r="BE894" s="111"/>
      <c r="BF894" s="111"/>
      <c r="BG894" s="111"/>
      <c r="BH894" s="111"/>
      <c r="BI894" s="111"/>
      <c r="BJ894" s="111"/>
      <c r="BK894" s="111"/>
      <c r="BL894" s="111"/>
      <c r="BM894" s="111"/>
      <c r="BN894" s="111"/>
      <c r="BO894" s="111"/>
      <c r="BP894" s="111"/>
      <c r="BQ894" s="111"/>
      <c r="BR894" s="111"/>
      <c r="BS894" s="111"/>
      <c r="BT894" s="111"/>
      <c r="BU894" s="111"/>
      <c r="BV894" s="111"/>
    </row>
    <row r="895" spans="1:74" s="50" customFormat="1" ht="15" hidden="1" customHeight="1">
      <c r="A895" s="109">
        <v>891</v>
      </c>
      <c r="B895" s="112" t="s">
        <v>1789</v>
      </c>
      <c r="C895" s="115" t="s">
        <v>1790</v>
      </c>
      <c r="D895" s="26" t="s">
        <v>21</v>
      </c>
      <c r="E895" s="109"/>
      <c r="F895" s="109"/>
      <c r="G895" s="110">
        <v>10</v>
      </c>
      <c r="H895" s="3">
        <f t="shared" si="42"/>
        <v>0</v>
      </c>
      <c r="I895" s="3">
        <f t="shared" si="43"/>
        <v>0</v>
      </c>
      <c r="J895" s="110">
        <f t="shared" si="44"/>
        <v>10</v>
      </c>
      <c r="K895" s="110"/>
      <c r="L895" s="110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  <c r="AJ895" s="111"/>
      <c r="AK895" s="111"/>
      <c r="AL895" s="111"/>
      <c r="AM895" s="111"/>
      <c r="AN895" s="111"/>
      <c r="AO895" s="111"/>
      <c r="AP895" s="111"/>
      <c r="AQ895" s="111"/>
      <c r="AR895" s="111"/>
      <c r="AS895" s="111"/>
      <c r="AT895" s="111"/>
      <c r="AU895" s="111"/>
      <c r="AV895" s="111"/>
      <c r="AW895" s="111"/>
      <c r="AX895" s="111"/>
      <c r="AY895" s="111"/>
      <c r="AZ895" s="111"/>
      <c r="BA895" s="111"/>
      <c r="BB895" s="111"/>
      <c r="BC895" s="111"/>
      <c r="BD895" s="111"/>
      <c r="BE895" s="111"/>
      <c r="BF895" s="111"/>
      <c r="BG895" s="111"/>
      <c r="BH895" s="111"/>
      <c r="BI895" s="111"/>
      <c r="BJ895" s="111"/>
      <c r="BK895" s="111"/>
      <c r="BL895" s="111"/>
      <c r="BM895" s="111"/>
      <c r="BN895" s="111"/>
      <c r="BO895" s="111"/>
      <c r="BP895" s="111"/>
      <c r="BQ895" s="111"/>
      <c r="BR895" s="111"/>
      <c r="BS895" s="111"/>
      <c r="BT895" s="111"/>
      <c r="BU895" s="111"/>
      <c r="BV895" s="111"/>
    </row>
    <row r="896" spans="1:74" s="50" customFormat="1" ht="15" hidden="1" customHeight="1">
      <c r="A896" s="109">
        <v>892</v>
      </c>
      <c r="B896" s="112" t="s">
        <v>1791</v>
      </c>
      <c r="C896" s="115" t="s">
        <v>1792</v>
      </c>
      <c r="D896" s="26" t="s">
        <v>21</v>
      </c>
      <c r="E896" s="109"/>
      <c r="F896" s="109"/>
      <c r="G896" s="110">
        <v>12</v>
      </c>
      <c r="H896" s="3">
        <f t="shared" si="42"/>
        <v>0</v>
      </c>
      <c r="I896" s="3">
        <f t="shared" si="43"/>
        <v>0</v>
      </c>
      <c r="J896" s="110">
        <f t="shared" si="44"/>
        <v>12</v>
      </c>
      <c r="K896" s="110"/>
      <c r="L896" s="110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  <c r="AJ896" s="111"/>
      <c r="AK896" s="111"/>
      <c r="AL896" s="111"/>
      <c r="AM896" s="111"/>
      <c r="AN896" s="111"/>
      <c r="AO896" s="111"/>
      <c r="AP896" s="111"/>
      <c r="AQ896" s="111"/>
      <c r="AR896" s="111"/>
      <c r="AS896" s="111"/>
      <c r="AT896" s="111"/>
      <c r="AU896" s="111"/>
      <c r="AV896" s="111"/>
      <c r="AW896" s="111"/>
      <c r="AX896" s="111"/>
      <c r="AY896" s="111"/>
      <c r="AZ896" s="111"/>
      <c r="BA896" s="111"/>
      <c r="BB896" s="111"/>
      <c r="BC896" s="111"/>
      <c r="BD896" s="111"/>
      <c r="BE896" s="111"/>
      <c r="BF896" s="111"/>
      <c r="BG896" s="111"/>
      <c r="BH896" s="111"/>
      <c r="BI896" s="111"/>
      <c r="BJ896" s="111"/>
      <c r="BK896" s="111"/>
      <c r="BL896" s="111"/>
      <c r="BM896" s="111"/>
      <c r="BN896" s="111"/>
      <c r="BO896" s="111"/>
      <c r="BP896" s="111"/>
      <c r="BQ896" s="111"/>
      <c r="BR896" s="111"/>
      <c r="BS896" s="111"/>
      <c r="BT896" s="111"/>
      <c r="BU896" s="111"/>
      <c r="BV896" s="111"/>
    </row>
    <row r="897" spans="1:74" s="50" customFormat="1" ht="14.25" hidden="1" customHeight="1">
      <c r="A897" s="142">
        <v>893</v>
      </c>
      <c r="B897" s="252" t="s">
        <v>1793</v>
      </c>
      <c r="C897" s="253" t="s">
        <v>1794</v>
      </c>
      <c r="D897" s="143" t="s">
        <v>21</v>
      </c>
      <c r="E897" s="109"/>
      <c r="F897" s="109"/>
      <c r="G897" s="110">
        <v>6</v>
      </c>
      <c r="H897" s="3">
        <f t="shared" si="42"/>
        <v>0</v>
      </c>
      <c r="I897" s="3">
        <f t="shared" si="43"/>
        <v>0</v>
      </c>
      <c r="J897" s="110">
        <f t="shared" si="44"/>
        <v>6</v>
      </c>
      <c r="K897" s="110"/>
      <c r="L897" s="110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  <c r="AJ897" s="111"/>
      <c r="AK897" s="111"/>
      <c r="AL897" s="111"/>
      <c r="AM897" s="111"/>
      <c r="AN897" s="111"/>
      <c r="AO897" s="111"/>
      <c r="AP897" s="111"/>
      <c r="AQ897" s="111"/>
      <c r="AR897" s="111"/>
      <c r="AS897" s="111"/>
      <c r="AT897" s="111"/>
      <c r="AU897" s="111"/>
      <c r="AV897" s="111"/>
      <c r="AW897" s="111"/>
      <c r="AX897" s="111"/>
      <c r="AY897" s="111"/>
      <c r="AZ897" s="111"/>
      <c r="BA897" s="111"/>
      <c r="BB897" s="111"/>
      <c r="BC897" s="111"/>
      <c r="BD897" s="111"/>
      <c r="BE897" s="111"/>
      <c r="BF897" s="111"/>
      <c r="BG897" s="111"/>
      <c r="BH897" s="111"/>
      <c r="BI897" s="111"/>
      <c r="BJ897" s="111"/>
      <c r="BK897" s="111"/>
      <c r="BL897" s="111"/>
      <c r="BM897" s="111"/>
      <c r="BN897" s="111"/>
      <c r="BO897" s="111"/>
      <c r="BP897" s="111"/>
      <c r="BQ897" s="111"/>
      <c r="BR897" s="111"/>
      <c r="BS897" s="111"/>
      <c r="BT897" s="111"/>
      <c r="BU897" s="111"/>
      <c r="BV897" s="111"/>
    </row>
    <row r="898" spans="1:74" s="50" customFormat="1" ht="15" hidden="1" customHeight="1">
      <c r="A898" s="109">
        <v>894</v>
      </c>
      <c r="B898" s="112" t="s">
        <v>1795</v>
      </c>
      <c r="C898" s="115" t="s">
        <v>1796</v>
      </c>
      <c r="D898" s="26" t="s">
        <v>21</v>
      </c>
      <c r="E898" s="109"/>
      <c r="F898" s="109"/>
      <c r="G898" s="110">
        <v>1</v>
      </c>
      <c r="H898" s="3">
        <f t="shared" si="42"/>
        <v>0</v>
      </c>
      <c r="I898" s="3">
        <f t="shared" si="43"/>
        <v>0</v>
      </c>
      <c r="J898" s="110">
        <f t="shared" si="44"/>
        <v>1</v>
      </c>
      <c r="K898" s="110"/>
      <c r="L898" s="110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/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/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/>
      <c r="BP898" s="111"/>
      <c r="BQ898" s="111"/>
      <c r="BR898" s="111"/>
      <c r="BS898" s="111"/>
      <c r="BT898" s="111"/>
      <c r="BU898" s="111"/>
      <c r="BV898" s="111"/>
    </row>
    <row r="899" spans="1:74" s="50" customFormat="1" ht="15" hidden="1" customHeight="1">
      <c r="A899" s="109">
        <v>895</v>
      </c>
      <c r="B899" s="112" t="s">
        <v>1797</v>
      </c>
      <c r="C899" s="115" t="s">
        <v>1798</v>
      </c>
      <c r="D899" s="26" t="s">
        <v>21</v>
      </c>
      <c r="E899" s="109"/>
      <c r="F899" s="109"/>
      <c r="G899" s="110">
        <v>1</v>
      </c>
      <c r="H899" s="3">
        <f t="shared" si="42"/>
        <v>0</v>
      </c>
      <c r="I899" s="3">
        <f t="shared" si="43"/>
        <v>0</v>
      </c>
      <c r="J899" s="110">
        <f t="shared" si="44"/>
        <v>1</v>
      </c>
      <c r="K899" s="110"/>
      <c r="L899" s="110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/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/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/>
      <c r="BP899" s="111"/>
      <c r="BQ899" s="111"/>
      <c r="BR899" s="111"/>
      <c r="BS899" s="111"/>
      <c r="BT899" s="111"/>
      <c r="BU899" s="111"/>
      <c r="BV899" s="111"/>
    </row>
    <row r="900" spans="1:74" s="50" customFormat="1" ht="15.75" hidden="1" customHeight="1">
      <c r="A900" s="109">
        <v>896</v>
      </c>
      <c r="B900" s="112" t="s">
        <v>1799</v>
      </c>
      <c r="C900" s="129" t="s">
        <v>1800</v>
      </c>
      <c r="D900" s="26" t="s">
        <v>21</v>
      </c>
      <c r="E900" s="109"/>
      <c r="F900" s="109"/>
      <c r="G900" s="110">
        <v>1</v>
      </c>
      <c r="H900" s="3">
        <f t="shared" si="42"/>
        <v>0</v>
      </c>
      <c r="I900" s="3">
        <f t="shared" si="43"/>
        <v>0</v>
      </c>
      <c r="J900" s="110">
        <f t="shared" si="44"/>
        <v>1</v>
      </c>
      <c r="K900" s="110"/>
      <c r="L900" s="110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  <c r="AJ900" s="111"/>
      <c r="AK900" s="111"/>
      <c r="AL900" s="111"/>
      <c r="AM900" s="111"/>
      <c r="AN900" s="111"/>
      <c r="AO900" s="111"/>
      <c r="AP900" s="111"/>
      <c r="AQ900" s="111"/>
      <c r="AR900" s="111"/>
      <c r="AS900" s="111"/>
      <c r="AT900" s="111"/>
      <c r="AU900" s="111"/>
      <c r="AV900" s="111"/>
      <c r="AW900" s="111"/>
      <c r="AX900" s="111"/>
      <c r="AY900" s="111"/>
      <c r="AZ900" s="111"/>
      <c r="BA900" s="111"/>
      <c r="BB900" s="111"/>
      <c r="BC900" s="111"/>
      <c r="BD900" s="111"/>
      <c r="BE900" s="111"/>
      <c r="BF900" s="111"/>
      <c r="BG900" s="111"/>
      <c r="BH900" s="111"/>
      <c r="BI900" s="111"/>
      <c r="BJ900" s="111"/>
      <c r="BK900" s="111"/>
      <c r="BL900" s="111"/>
      <c r="BM900" s="111"/>
      <c r="BN900" s="111"/>
      <c r="BO900" s="111"/>
      <c r="BP900" s="111"/>
      <c r="BQ900" s="111"/>
      <c r="BR900" s="111"/>
      <c r="BS900" s="111"/>
      <c r="BT900" s="111"/>
      <c r="BU900" s="111"/>
      <c r="BV900" s="111"/>
    </row>
    <row r="901" spans="1:74" s="50" customFormat="1" ht="30.75" hidden="1" customHeight="1">
      <c r="A901" s="109">
        <v>897</v>
      </c>
      <c r="B901" s="112" t="s">
        <v>1801</v>
      </c>
      <c r="C901" s="129" t="s">
        <v>1802</v>
      </c>
      <c r="D901" s="26" t="s">
        <v>21</v>
      </c>
      <c r="E901" s="109"/>
      <c r="F901" s="109"/>
      <c r="G901" s="110">
        <v>9</v>
      </c>
      <c r="H901" s="3">
        <f t="shared" si="42"/>
        <v>0</v>
      </c>
      <c r="I901" s="3">
        <f t="shared" si="43"/>
        <v>0</v>
      </c>
      <c r="J901" s="110">
        <f t="shared" si="44"/>
        <v>9</v>
      </c>
      <c r="K901" s="110"/>
      <c r="L901" s="110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/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/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/>
      <c r="BP901" s="111"/>
      <c r="BQ901" s="111"/>
      <c r="BR901" s="111"/>
      <c r="BS901" s="111"/>
      <c r="BT901" s="111"/>
      <c r="BU901" s="111"/>
      <c r="BV901" s="111"/>
    </row>
    <row r="902" spans="1:74" s="50" customFormat="1" ht="15" hidden="1" customHeight="1">
      <c r="A902" s="109">
        <v>898</v>
      </c>
      <c r="B902" s="112" t="s">
        <v>1803</v>
      </c>
      <c r="C902" s="149" t="s">
        <v>1804</v>
      </c>
      <c r="D902" s="26" t="s">
        <v>21</v>
      </c>
      <c r="E902" s="109"/>
      <c r="F902" s="109"/>
      <c r="G902" s="110">
        <v>9</v>
      </c>
      <c r="H902" s="3">
        <f t="shared" si="42"/>
        <v>0</v>
      </c>
      <c r="I902" s="3">
        <f t="shared" si="43"/>
        <v>0</v>
      </c>
      <c r="J902" s="110">
        <f t="shared" si="44"/>
        <v>9</v>
      </c>
      <c r="K902" s="110"/>
      <c r="L902" s="110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  <c r="AJ902" s="111"/>
      <c r="AK902" s="111"/>
      <c r="AL902" s="111"/>
      <c r="AM902" s="111"/>
      <c r="AN902" s="111"/>
      <c r="AO902" s="111"/>
      <c r="AP902" s="111"/>
      <c r="AQ902" s="111"/>
      <c r="AR902" s="111"/>
      <c r="AS902" s="111"/>
      <c r="AT902" s="111"/>
      <c r="AU902" s="111"/>
      <c r="AV902" s="111"/>
      <c r="AW902" s="111"/>
      <c r="AX902" s="111"/>
      <c r="AY902" s="111"/>
      <c r="AZ902" s="111"/>
      <c r="BA902" s="111"/>
      <c r="BB902" s="111"/>
      <c r="BC902" s="111"/>
      <c r="BD902" s="111"/>
      <c r="BE902" s="111"/>
      <c r="BF902" s="111"/>
      <c r="BG902" s="111"/>
      <c r="BH902" s="111"/>
      <c r="BI902" s="111"/>
      <c r="BJ902" s="111"/>
      <c r="BK902" s="111"/>
      <c r="BL902" s="111"/>
      <c r="BM902" s="111"/>
      <c r="BN902" s="111"/>
      <c r="BO902" s="111"/>
      <c r="BP902" s="111"/>
      <c r="BQ902" s="111"/>
      <c r="BR902" s="111"/>
      <c r="BS902" s="111"/>
      <c r="BT902" s="111"/>
      <c r="BU902" s="111"/>
      <c r="BV902" s="111"/>
    </row>
    <row r="903" spans="1:74" s="50" customFormat="1" ht="30" hidden="1" customHeight="1">
      <c r="A903" s="109">
        <v>899</v>
      </c>
      <c r="B903" s="154" t="s">
        <v>1805</v>
      </c>
      <c r="C903" s="155" t="s">
        <v>1806</v>
      </c>
      <c r="D903" s="121" t="s">
        <v>21</v>
      </c>
      <c r="E903" s="166"/>
      <c r="F903" s="166"/>
      <c r="G903" s="111">
        <v>4</v>
      </c>
      <c r="H903" s="3">
        <f t="shared" si="42"/>
        <v>0</v>
      </c>
      <c r="I903" s="3">
        <f t="shared" si="43"/>
        <v>0</v>
      </c>
      <c r="J903" s="110">
        <f t="shared" si="44"/>
        <v>4</v>
      </c>
      <c r="K903" s="110"/>
      <c r="L903" s="110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  <c r="AH903" s="137"/>
      <c r="AI903" s="137"/>
      <c r="AJ903" s="137"/>
      <c r="AK903" s="137"/>
      <c r="AL903" s="137"/>
      <c r="AM903" s="137"/>
      <c r="AN903" s="137"/>
      <c r="AO903" s="137"/>
      <c r="AP903" s="137"/>
      <c r="AQ903" s="137"/>
      <c r="AR903" s="137"/>
      <c r="AS903" s="137"/>
      <c r="AT903" s="137"/>
      <c r="AU903" s="137"/>
      <c r="AV903" s="137"/>
      <c r="AW903" s="137"/>
      <c r="AX903" s="137"/>
      <c r="AY903" s="111"/>
      <c r="AZ903" s="137"/>
      <c r="BA903" s="137"/>
      <c r="BB903" s="137"/>
      <c r="BC903" s="137"/>
      <c r="BD903" s="137"/>
      <c r="BE903" s="137"/>
      <c r="BF903" s="137"/>
      <c r="BG903" s="137"/>
      <c r="BH903" s="137"/>
      <c r="BI903" s="137"/>
      <c r="BJ903" s="137"/>
      <c r="BK903" s="137"/>
      <c r="BL903" s="137"/>
      <c r="BM903" s="137"/>
      <c r="BN903" s="137"/>
      <c r="BO903" s="137"/>
      <c r="BP903" s="137"/>
      <c r="BQ903" s="137"/>
      <c r="BR903" s="137"/>
      <c r="BS903" s="137"/>
      <c r="BT903" s="137"/>
      <c r="BU903" s="137"/>
      <c r="BV903" s="137"/>
    </row>
    <row r="904" spans="1:74" s="50" customFormat="1" ht="30" hidden="1" customHeight="1">
      <c r="A904" s="109">
        <v>900</v>
      </c>
      <c r="B904" s="26" t="s">
        <v>1807</v>
      </c>
      <c r="C904" s="27" t="s">
        <v>1808</v>
      </c>
      <c r="D904" s="26" t="s">
        <v>21</v>
      </c>
      <c r="E904" s="109"/>
      <c r="F904" s="109"/>
      <c r="G904" s="110">
        <v>1196</v>
      </c>
      <c r="H904" s="3">
        <f t="shared" si="42"/>
        <v>0</v>
      </c>
      <c r="I904" s="3">
        <f t="shared" si="43"/>
        <v>0</v>
      </c>
      <c r="J904" s="110">
        <f t="shared" si="44"/>
        <v>1196</v>
      </c>
      <c r="K904" s="110"/>
      <c r="L904" s="110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  <c r="AJ904" s="111"/>
      <c r="AK904" s="111"/>
      <c r="AL904" s="111"/>
      <c r="AM904" s="111"/>
      <c r="AN904" s="111"/>
      <c r="AO904" s="111"/>
      <c r="AP904" s="111"/>
      <c r="AQ904" s="111"/>
      <c r="AR904" s="111"/>
      <c r="AS904" s="111"/>
      <c r="AT904" s="111"/>
      <c r="AU904" s="111"/>
      <c r="AV904" s="111"/>
      <c r="AW904" s="111"/>
      <c r="AX904" s="111"/>
      <c r="AY904" s="111"/>
      <c r="AZ904" s="111"/>
      <c r="BA904" s="111"/>
      <c r="BB904" s="111"/>
      <c r="BC904" s="111"/>
      <c r="BD904" s="111"/>
      <c r="BE904" s="111"/>
      <c r="BF904" s="111"/>
      <c r="BG904" s="111"/>
      <c r="BH904" s="111"/>
      <c r="BI904" s="111"/>
      <c r="BJ904" s="111"/>
      <c r="BK904" s="111"/>
      <c r="BL904" s="111"/>
      <c r="BM904" s="111"/>
      <c r="BN904" s="111"/>
      <c r="BO904" s="111"/>
      <c r="BP904" s="111"/>
      <c r="BQ904" s="111"/>
      <c r="BR904" s="111"/>
      <c r="BS904" s="111"/>
      <c r="BT904" s="111"/>
      <c r="BU904" s="111"/>
      <c r="BV904" s="111"/>
    </row>
    <row r="905" spans="1:74" s="50" customFormat="1" ht="30" hidden="1" customHeight="1">
      <c r="A905" s="109">
        <v>901</v>
      </c>
      <c r="B905" s="26" t="s">
        <v>1809</v>
      </c>
      <c r="C905" s="27" t="s">
        <v>1810</v>
      </c>
      <c r="D905" s="26" t="s">
        <v>21</v>
      </c>
      <c r="E905" s="109"/>
      <c r="F905" s="109"/>
      <c r="G905" s="110">
        <v>1209</v>
      </c>
      <c r="H905" s="3">
        <f t="shared" si="42"/>
        <v>0</v>
      </c>
      <c r="I905" s="3">
        <f t="shared" si="43"/>
        <v>0</v>
      </c>
      <c r="J905" s="110">
        <f t="shared" si="44"/>
        <v>1209</v>
      </c>
      <c r="K905" s="110"/>
      <c r="L905" s="110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  <c r="AJ905" s="111"/>
      <c r="AK905" s="111"/>
      <c r="AL905" s="111"/>
      <c r="AM905" s="111"/>
      <c r="AN905" s="111"/>
      <c r="AO905" s="111"/>
      <c r="AP905" s="111"/>
      <c r="AQ905" s="111"/>
      <c r="AR905" s="111"/>
      <c r="AS905" s="111"/>
      <c r="AT905" s="111"/>
      <c r="AU905" s="111"/>
      <c r="AV905" s="111"/>
      <c r="AW905" s="111"/>
      <c r="AX905" s="111"/>
      <c r="AY905" s="111"/>
      <c r="AZ905" s="111"/>
      <c r="BA905" s="111"/>
      <c r="BB905" s="111"/>
      <c r="BC905" s="111"/>
      <c r="BD905" s="111"/>
      <c r="BE905" s="111"/>
      <c r="BF905" s="111"/>
      <c r="BG905" s="111"/>
      <c r="BH905" s="111"/>
      <c r="BI905" s="111"/>
      <c r="BJ905" s="111"/>
      <c r="BK905" s="111"/>
      <c r="BL905" s="111"/>
      <c r="BM905" s="111"/>
      <c r="BN905" s="111"/>
      <c r="BO905" s="111"/>
      <c r="BP905" s="111"/>
      <c r="BQ905" s="111"/>
      <c r="BR905" s="111"/>
      <c r="BS905" s="111"/>
      <c r="BT905" s="111"/>
      <c r="BU905" s="111"/>
      <c r="BV905" s="111"/>
    </row>
    <row r="906" spans="1:74" s="50" customFormat="1" ht="30" hidden="1" customHeight="1">
      <c r="A906" s="109">
        <v>902</v>
      </c>
      <c r="B906" s="26" t="s">
        <v>1811</v>
      </c>
      <c r="C906" s="27" t="s">
        <v>1812</v>
      </c>
      <c r="D906" s="26" t="s">
        <v>21</v>
      </c>
      <c r="E906" s="109"/>
      <c r="F906" s="109"/>
      <c r="G906" s="110">
        <v>1137</v>
      </c>
      <c r="H906" s="3">
        <f t="shared" si="42"/>
        <v>0</v>
      </c>
      <c r="I906" s="3">
        <f t="shared" si="43"/>
        <v>0</v>
      </c>
      <c r="J906" s="110">
        <f t="shared" si="44"/>
        <v>1137</v>
      </c>
      <c r="K906" s="110"/>
      <c r="L906" s="110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  <c r="AJ906" s="111"/>
      <c r="AK906" s="111"/>
      <c r="AL906" s="111"/>
      <c r="AM906" s="111"/>
      <c r="AN906" s="111"/>
      <c r="AO906" s="111"/>
      <c r="AP906" s="111"/>
      <c r="AQ906" s="111"/>
      <c r="AR906" s="111"/>
      <c r="AS906" s="111"/>
      <c r="AT906" s="111"/>
      <c r="AU906" s="111"/>
      <c r="AV906" s="111"/>
      <c r="AW906" s="111"/>
      <c r="AX906" s="111"/>
      <c r="AY906" s="111"/>
      <c r="AZ906" s="111"/>
      <c r="BA906" s="111"/>
      <c r="BB906" s="111"/>
      <c r="BC906" s="111"/>
      <c r="BD906" s="111"/>
      <c r="BE906" s="111"/>
      <c r="BF906" s="111"/>
      <c r="BG906" s="111"/>
      <c r="BH906" s="111"/>
      <c r="BI906" s="111"/>
      <c r="BJ906" s="111"/>
      <c r="BK906" s="111"/>
      <c r="BL906" s="111"/>
      <c r="BM906" s="111"/>
      <c r="BN906" s="111"/>
      <c r="BO906" s="111"/>
      <c r="BP906" s="111"/>
      <c r="BQ906" s="111"/>
      <c r="BR906" s="111"/>
      <c r="BS906" s="111"/>
      <c r="BT906" s="111"/>
      <c r="BU906" s="111"/>
      <c r="BV906" s="111"/>
    </row>
    <row r="907" spans="1:74" s="50" customFormat="1" ht="15" hidden="1" customHeight="1">
      <c r="A907" s="109">
        <v>903</v>
      </c>
      <c r="B907" s="112" t="s">
        <v>1813</v>
      </c>
      <c r="C907" s="115" t="s">
        <v>1814</v>
      </c>
      <c r="D907" s="26" t="s">
        <v>21</v>
      </c>
      <c r="E907" s="109"/>
      <c r="F907" s="109"/>
      <c r="G907" s="110">
        <v>879</v>
      </c>
      <c r="H907" s="3">
        <f t="shared" si="42"/>
        <v>0</v>
      </c>
      <c r="I907" s="3">
        <f t="shared" si="43"/>
        <v>0</v>
      </c>
      <c r="J907" s="110">
        <f t="shared" si="44"/>
        <v>879</v>
      </c>
      <c r="K907" s="110"/>
      <c r="L907" s="110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  <c r="AJ907" s="111"/>
      <c r="AK907" s="111"/>
      <c r="AL907" s="111"/>
      <c r="AM907" s="111"/>
      <c r="AN907" s="111"/>
      <c r="AO907" s="111"/>
      <c r="AP907" s="111"/>
      <c r="AQ907" s="111"/>
      <c r="AR907" s="111"/>
      <c r="AS907" s="111"/>
      <c r="AT907" s="111"/>
      <c r="AU907" s="111"/>
      <c r="AV907" s="111"/>
      <c r="AW907" s="111"/>
      <c r="AX907" s="111"/>
      <c r="AY907" s="111"/>
      <c r="AZ907" s="111"/>
      <c r="BA907" s="111"/>
      <c r="BB907" s="111"/>
      <c r="BC907" s="111"/>
      <c r="BD907" s="111"/>
      <c r="BE907" s="111"/>
      <c r="BF907" s="111"/>
      <c r="BG907" s="111"/>
      <c r="BH907" s="111"/>
      <c r="BI907" s="111"/>
      <c r="BJ907" s="111"/>
      <c r="BK907" s="111"/>
      <c r="BL907" s="111"/>
      <c r="BM907" s="111"/>
      <c r="BN907" s="111"/>
      <c r="BO907" s="111"/>
      <c r="BP907" s="111"/>
      <c r="BQ907" s="111"/>
      <c r="BR907" s="111"/>
      <c r="BS907" s="111"/>
      <c r="BT907" s="111"/>
      <c r="BU907" s="111"/>
      <c r="BV907" s="111"/>
    </row>
    <row r="908" spans="1:74" s="50" customFormat="1" ht="15" hidden="1" customHeight="1">
      <c r="A908" s="142">
        <v>904</v>
      </c>
      <c r="B908" s="252" t="s">
        <v>1815</v>
      </c>
      <c r="C908" s="253" t="s">
        <v>1816</v>
      </c>
      <c r="D908" s="143" t="s">
        <v>21</v>
      </c>
      <c r="E908" s="109"/>
      <c r="F908" s="109"/>
      <c r="G908" s="110">
        <v>100</v>
      </c>
      <c r="H908" s="3">
        <f t="shared" si="42"/>
        <v>0</v>
      </c>
      <c r="I908" s="3">
        <f t="shared" si="43"/>
        <v>0</v>
      </c>
      <c r="J908" s="110">
        <f t="shared" si="44"/>
        <v>100</v>
      </c>
      <c r="K908" s="110"/>
      <c r="L908" s="110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  <c r="AJ908" s="111"/>
      <c r="AK908" s="111"/>
      <c r="AL908" s="111"/>
      <c r="AM908" s="111"/>
      <c r="AN908" s="111"/>
      <c r="AO908" s="111"/>
      <c r="AP908" s="111"/>
      <c r="AQ908" s="111"/>
      <c r="AR908" s="111"/>
      <c r="AS908" s="111"/>
      <c r="AT908" s="111"/>
      <c r="AU908" s="111"/>
      <c r="AV908" s="111"/>
      <c r="AW908" s="111"/>
      <c r="AX908" s="111"/>
      <c r="AY908" s="111"/>
      <c r="AZ908" s="111"/>
      <c r="BA908" s="111"/>
      <c r="BB908" s="111"/>
      <c r="BC908" s="111"/>
      <c r="BD908" s="111"/>
      <c r="BE908" s="111"/>
      <c r="BF908" s="111"/>
      <c r="BG908" s="111"/>
      <c r="BH908" s="111"/>
      <c r="BI908" s="111"/>
      <c r="BJ908" s="111"/>
      <c r="BK908" s="111"/>
      <c r="BL908" s="111"/>
      <c r="BM908" s="111"/>
      <c r="BN908" s="111"/>
      <c r="BO908" s="111"/>
      <c r="BP908" s="111"/>
      <c r="BQ908" s="111"/>
      <c r="BR908" s="111"/>
      <c r="BS908" s="111"/>
      <c r="BT908" s="111"/>
      <c r="BU908" s="111"/>
      <c r="BV908" s="111"/>
    </row>
    <row r="909" spans="1:74" s="50" customFormat="1" ht="15" hidden="1" customHeight="1">
      <c r="A909" s="142">
        <v>905</v>
      </c>
      <c r="B909" s="252" t="s">
        <v>1817</v>
      </c>
      <c r="C909" s="253" t="s">
        <v>1818</v>
      </c>
      <c r="D909" s="143" t="s">
        <v>21</v>
      </c>
      <c r="E909" s="109"/>
      <c r="F909" s="109"/>
      <c r="G909" s="110">
        <v>100</v>
      </c>
      <c r="H909" s="3">
        <f t="shared" si="42"/>
        <v>0</v>
      </c>
      <c r="I909" s="3">
        <f t="shared" si="43"/>
        <v>0</v>
      </c>
      <c r="J909" s="110">
        <f t="shared" si="44"/>
        <v>100</v>
      </c>
      <c r="K909" s="110"/>
      <c r="L909" s="110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  <c r="AJ909" s="111"/>
      <c r="AK909" s="111"/>
      <c r="AL909" s="111"/>
      <c r="AM909" s="111"/>
      <c r="AN909" s="111"/>
      <c r="AO909" s="111"/>
      <c r="AP909" s="111"/>
      <c r="AQ909" s="111"/>
      <c r="AR909" s="111"/>
      <c r="AS909" s="111"/>
      <c r="AT909" s="111"/>
      <c r="AU909" s="111"/>
      <c r="AV909" s="111"/>
      <c r="AW909" s="111"/>
      <c r="AX909" s="111"/>
      <c r="AY909" s="111"/>
      <c r="AZ909" s="111"/>
      <c r="BA909" s="111"/>
      <c r="BB909" s="111"/>
      <c r="BC909" s="111"/>
      <c r="BD909" s="111"/>
      <c r="BE909" s="111"/>
      <c r="BF909" s="111"/>
      <c r="BG909" s="111"/>
      <c r="BH909" s="111"/>
      <c r="BI909" s="111"/>
      <c r="BJ909" s="111"/>
      <c r="BK909" s="111"/>
      <c r="BL909" s="111"/>
      <c r="BM909" s="111"/>
      <c r="BN909" s="111"/>
      <c r="BO909" s="111"/>
      <c r="BP909" s="111"/>
      <c r="BQ909" s="111"/>
      <c r="BR909" s="111"/>
      <c r="BS909" s="111"/>
      <c r="BT909" s="111"/>
      <c r="BU909" s="111"/>
      <c r="BV909" s="111"/>
    </row>
    <row r="910" spans="1:74" s="95" customFormat="1" ht="15" hidden="1" customHeight="1">
      <c r="A910" s="109">
        <v>906</v>
      </c>
      <c r="B910" s="112" t="s">
        <v>1819</v>
      </c>
      <c r="C910" s="115" t="s">
        <v>1820</v>
      </c>
      <c r="D910" s="26" t="s">
        <v>21</v>
      </c>
      <c r="E910" s="109"/>
      <c r="F910" s="109"/>
      <c r="G910" s="110">
        <v>0</v>
      </c>
      <c r="H910" s="3">
        <f t="shared" si="42"/>
        <v>0</v>
      </c>
      <c r="I910" s="3">
        <f t="shared" si="43"/>
        <v>0</v>
      </c>
      <c r="J910" s="110">
        <f t="shared" si="44"/>
        <v>0</v>
      </c>
      <c r="K910" s="110"/>
      <c r="L910" s="110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  <c r="AJ910" s="111"/>
      <c r="AK910" s="111"/>
      <c r="AL910" s="111"/>
      <c r="AM910" s="111"/>
      <c r="AN910" s="111"/>
      <c r="AO910" s="111"/>
      <c r="AP910" s="111"/>
      <c r="AQ910" s="111"/>
      <c r="AR910" s="111"/>
      <c r="AS910" s="111"/>
      <c r="AT910" s="111"/>
      <c r="AU910" s="111"/>
      <c r="AV910" s="111"/>
      <c r="AW910" s="111"/>
      <c r="AX910" s="111"/>
      <c r="AY910" s="111"/>
      <c r="AZ910" s="111"/>
      <c r="BA910" s="111"/>
      <c r="BB910" s="111"/>
      <c r="BC910" s="111"/>
      <c r="BD910" s="111"/>
      <c r="BE910" s="111"/>
      <c r="BF910" s="111"/>
      <c r="BG910" s="111"/>
      <c r="BH910" s="111"/>
      <c r="BI910" s="111"/>
      <c r="BJ910" s="111"/>
      <c r="BK910" s="111"/>
      <c r="BL910" s="111"/>
      <c r="BM910" s="111"/>
      <c r="BN910" s="111"/>
      <c r="BO910" s="111"/>
      <c r="BP910" s="111"/>
      <c r="BQ910" s="111"/>
      <c r="BR910" s="111"/>
      <c r="BS910" s="111"/>
      <c r="BT910" s="111"/>
      <c r="BU910" s="111"/>
      <c r="BV910" s="111"/>
    </row>
    <row r="911" spans="1:74" s="50" customFormat="1" ht="15" hidden="1" customHeight="1">
      <c r="A911" s="109">
        <v>907</v>
      </c>
      <c r="B911" s="112" t="s">
        <v>1821</v>
      </c>
      <c r="C911" s="115" t="s">
        <v>1822</v>
      </c>
      <c r="D911" s="26" t="s">
        <v>21</v>
      </c>
      <c r="E911" s="109"/>
      <c r="F911" s="109"/>
      <c r="G911" s="110">
        <v>0</v>
      </c>
      <c r="H911" s="3">
        <f t="shared" si="42"/>
        <v>0</v>
      </c>
      <c r="I911" s="3">
        <f t="shared" si="43"/>
        <v>0</v>
      </c>
      <c r="J911" s="110">
        <f t="shared" si="44"/>
        <v>0</v>
      </c>
      <c r="K911" s="110"/>
      <c r="L911" s="110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  <c r="AJ911" s="111"/>
      <c r="AK911" s="111"/>
      <c r="AL911" s="111"/>
      <c r="AM911" s="111"/>
      <c r="AN911" s="111"/>
      <c r="AO911" s="111"/>
      <c r="AP911" s="111"/>
      <c r="AQ911" s="111"/>
      <c r="AR911" s="111"/>
      <c r="AS911" s="111"/>
      <c r="AT911" s="111"/>
      <c r="AU911" s="111"/>
      <c r="AV911" s="111"/>
      <c r="AW911" s="111"/>
      <c r="AX911" s="111"/>
      <c r="AY911" s="111"/>
      <c r="AZ911" s="111"/>
      <c r="BA911" s="111"/>
      <c r="BB911" s="111"/>
      <c r="BC911" s="111"/>
      <c r="BD911" s="111"/>
      <c r="BE911" s="111"/>
      <c r="BF911" s="111"/>
      <c r="BG911" s="111"/>
      <c r="BH911" s="111"/>
      <c r="BI911" s="111"/>
      <c r="BJ911" s="111"/>
      <c r="BK911" s="111"/>
      <c r="BL911" s="111"/>
      <c r="BM911" s="111"/>
      <c r="BN911" s="111"/>
      <c r="BO911" s="111"/>
      <c r="BP911" s="111"/>
      <c r="BQ911" s="111"/>
      <c r="BR911" s="111"/>
      <c r="BS911" s="111"/>
      <c r="BT911" s="111"/>
      <c r="BU911" s="111"/>
      <c r="BV911" s="111"/>
    </row>
    <row r="912" spans="1:74" s="50" customFormat="1" ht="15" hidden="1" customHeight="1">
      <c r="A912" s="109">
        <v>908</v>
      </c>
      <c r="B912" s="112" t="s">
        <v>1823</v>
      </c>
      <c r="C912" s="115" t="s">
        <v>1824</v>
      </c>
      <c r="D912" s="26" t="s">
        <v>21</v>
      </c>
      <c r="E912" s="109"/>
      <c r="F912" s="109"/>
      <c r="G912" s="110">
        <v>0</v>
      </c>
      <c r="H912" s="3">
        <f t="shared" si="42"/>
        <v>0</v>
      </c>
      <c r="I912" s="3">
        <f t="shared" si="43"/>
        <v>0</v>
      </c>
      <c r="J912" s="110">
        <f t="shared" si="44"/>
        <v>0</v>
      </c>
      <c r="K912" s="110"/>
      <c r="L912" s="110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  <c r="AJ912" s="111"/>
      <c r="AK912" s="111"/>
      <c r="AL912" s="111"/>
      <c r="AM912" s="111"/>
      <c r="AN912" s="111"/>
      <c r="AO912" s="111"/>
      <c r="AP912" s="111"/>
      <c r="AQ912" s="111"/>
      <c r="AR912" s="111"/>
      <c r="AS912" s="111"/>
      <c r="AT912" s="111"/>
      <c r="AU912" s="111"/>
      <c r="AV912" s="111"/>
      <c r="AW912" s="111"/>
      <c r="AX912" s="111"/>
      <c r="AY912" s="111"/>
      <c r="AZ912" s="111"/>
      <c r="BA912" s="111"/>
      <c r="BB912" s="111"/>
      <c r="BC912" s="111"/>
      <c r="BD912" s="111"/>
      <c r="BE912" s="111"/>
      <c r="BF912" s="111"/>
      <c r="BG912" s="111"/>
      <c r="BH912" s="111"/>
      <c r="BI912" s="111"/>
      <c r="BJ912" s="111"/>
      <c r="BK912" s="111"/>
      <c r="BL912" s="111"/>
      <c r="BM912" s="111"/>
      <c r="BN912" s="111"/>
      <c r="BO912" s="111"/>
      <c r="BP912" s="111"/>
      <c r="BQ912" s="111"/>
      <c r="BR912" s="111"/>
      <c r="BS912" s="111"/>
      <c r="BT912" s="111"/>
      <c r="BU912" s="111"/>
      <c r="BV912" s="111"/>
    </row>
    <row r="913" spans="1:74" s="50" customFormat="1" ht="15" hidden="1" customHeight="1">
      <c r="A913" s="109">
        <v>909</v>
      </c>
      <c r="B913" s="112" t="s">
        <v>1825</v>
      </c>
      <c r="C913" s="129" t="s">
        <v>1826</v>
      </c>
      <c r="D913" s="26" t="s">
        <v>21</v>
      </c>
      <c r="E913" s="109"/>
      <c r="F913" s="109"/>
      <c r="G913" s="110">
        <v>0</v>
      </c>
      <c r="H913" s="3">
        <f t="shared" si="42"/>
        <v>0</v>
      </c>
      <c r="I913" s="3">
        <f t="shared" si="43"/>
        <v>0</v>
      </c>
      <c r="J913" s="110">
        <f t="shared" si="44"/>
        <v>0</v>
      </c>
      <c r="K913" s="110"/>
      <c r="L913" s="110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  <c r="AJ913" s="111"/>
      <c r="AK913" s="111"/>
      <c r="AL913" s="111"/>
      <c r="AM913" s="111"/>
      <c r="AN913" s="111"/>
      <c r="AO913" s="111"/>
      <c r="AP913" s="111"/>
      <c r="AQ913" s="111"/>
      <c r="AR913" s="111"/>
      <c r="AS913" s="111"/>
      <c r="AT913" s="111"/>
      <c r="AU913" s="111"/>
      <c r="AV913" s="111"/>
      <c r="AW913" s="111"/>
      <c r="AX913" s="111"/>
      <c r="AY913" s="111"/>
      <c r="AZ913" s="111"/>
      <c r="BA913" s="111"/>
      <c r="BB913" s="111"/>
      <c r="BC913" s="111"/>
      <c r="BD913" s="111"/>
      <c r="BE913" s="111"/>
      <c r="BF913" s="111"/>
      <c r="BG913" s="111"/>
      <c r="BH913" s="111"/>
      <c r="BI913" s="111"/>
      <c r="BJ913" s="111"/>
      <c r="BK913" s="111"/>
      <c r="BL913" s="111"/>
      <c r="BM913" s="111"/>
      <c r="BN913" s="111"/>
      <c r="BO913" s="111"/>
      <c r="BP913" s="111"/>
      <c r="BQ913" s="111"/>
      <c r="BR913" s="111"/>
      <c r="BS913" s="111"/>
      <c r="BT913" s="111"/>
      <c r="BU913" s="111"/>
      <c r="BV913" s="111"/>
    </row>
    <row r="914" spans="1:74" s="50" customFormat="1" ht="30" hidden="1" customHeight="1">
      <c r="A914" s="109">
        <v>910</v>
      </c>
      <c r="B914" s="112" t="s">
        <v>1827</v>
      </c>
      <c r="C914" s="138" t="s">
        <v>1828</v>
      </c>
      <c r="D914" s="26" t="s">
        <v>21</v>
      </c>
      <c r="E914" s="109"/>
      <c r="F914" s="109"/>
      <c r="G914" s="110">
        <v>0</v>
      </c>
      <c r="H914" s="3">
        <f t="shared" si="42"/>
        <v>0</v>
      </c>
      <c r="I914" s="3">
        <f t="shared" si="43"/>
        <v>0</v>
      </c>
      <c r="J914" s="110">
        <f t="shared" si="44"/>
        <v>0</v>
      </c>
      <c r="K914" s="110"/>
      <c r="L914" s="110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  <c r="AJ914" s="111"/>
      <c r="AK914" s="111"/>
      <c r="AL914" s="111"/>
      <c r="AM914" s="111"/>
      <c r="AN914" s="111"/>
      <c r="AO914" s="111"/>
      <c r="AP914" s="111"/>
      <c r="AQ914" s="111"/>
      <c r="AR914" s="111"/>
      <c r="AS914" s="111"/>
      <c r="AT914" s="111"/>
      <c r="AU914" s="111"/>
      <c r="AV914" s="111"/>
      <c r="AW914" s="111"/>
      <c r="AX914" s="111"/>
      <c r="AY914" s="111"/>
      <c r="AZ914" s="111"/>
      <c r="BA914" s="111"/>
      <c r="BB914" s="111"/>
      <c r="BC914" s="111"/>
      <c r="BD914" s="111"/>
      <c r="BE914" s="111"/>
      <c r="BF914" s="111"/>
      <c r="BG914" s="111"/>
      <c r="BH914" s="111"/>
      <c r="BI914" s="111"/>
      <c r="BJ914" s="111"/>
      <c r="BK914" s="111"/>
      <c r="BL914" s="111"/>
      <c r="BM914" s="111"/>
      <c r="BN914" s="111"/>
      <c r="BO914" s="111"/>
      <c r="BP914" s="111"/>
      <c r="BQ914" s="111"/>
      <c r="BR914" s="111"/>
      <c r="BS914" s="111"/>
      <c r="BT914" s="111"/>
      <c r="BU914" s="111"/>
      <c r="BV914" s="111"/>
    </row>
    <row r="915" spans="1:74" s="50" customFormat="1" ht="15" hidden="1" customHeight="1">
      <c r="A915" s="109">
        <v>911</v>
      </c>
      <c r="B915" s="116" t="s">
        <v>1829</v>
      </c>
      <c r="C915" s="115" t="s">
        <v>1830</v>
      </c>
      <c r="D915" s="26" t="s">
        <v>21</v>
      </c>
      <c r="E915" s="109"/>
      <c r="F915" s="109"/>
      <c r="G915" s="110">
        <v>4</v>
      </c>
      <c r="H915" s="3">
        <f t="shared" si="42"/>
        <v>0</v>
      </c>
      <c r="I915" s="3">
        <f t="shared" si="43"/>
        <v>0</v>
      </c>
      <c r="J915" s="110">
        <f t="shared" si="44"/>
        <v>4</v>
      </c>
      <c r="K915" s="110"/>
      <c r="L915" s="110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  <c r="AJ915" s="111"/>
      <c r="AK915" s="111"/>
      <c r="AL915" s="111"/>
      <c r="AM915" s="111"/>
      <c r="AN915" s="111"/>
      <c r="AO915" s="111"/>
      <c r="AP915" s="111"/>
      <c r="AQ915" s="111"/>
      <c r="AR915" s="111"/>
      <c r="AS915" s="111"/>
      <c r="AT915" s="111"/>
      <c r="AU915" s="111"/>
      <c r="AV915" s="111"/>
      <c r="AW915" s="111"/>
      <c r="AX915" s="111"/>
      <c r="AY915" s="111"/>
      <c r="AZ915" s="111"/>
      <c r="BA915" s="111"/>
      <c r="BB915" s="111"/>
      <c r="BC915" s="111"/>
      <c r="BD915" s="111"/>
      <c r="BE915" s="111"/>
      <c r="BF915" s="111"/>
      <c r="BG915" s="111"/>
      <c r="BH915" s="111"/>
      <c r="BI915" s="111"/>
      <c r="BJ915" s="111"/>
      <c r="BK915" s="111"/>
      <c r="BL915" s="111"/>
      <c r="BM915" s="111"/>
      <c r="BN915" s="111"/>
      <c r="BO915" s="111"/>
      <c r="BP915" s="111"/>
      <c r="BQ915" s="111"/>
      <c r="BR915" s="111"/>
      <c r="BS915" s="111"/>
      <c r="BT915" s="111"/>
      <c r="BU915" s="111"/>
      <c r="BV915" s="111"/>
    </row>
    <row r="916" spans="1:74" s="50" customFormat="1" ht="15" hidden="1" customHeight="1">
      <c r="A916" s="109">
        <v>912</v>
      </c>
      <c r="B916" s="112" t="s">
        <v>1831</v>
      </c>
      <c r="C916" s="115" t="s">
        <v>1832</v>
      </c>
      <c r="D916" s="26" t="s">
        <v>21</v>
      </c>
      <c r="E916" s="109"/>
      <c r="F916" s="109"/>
      <c r="G916" s="110">
        <v>8</v>
      </c>
      <c r="H916" s="3">
        <f t="shared" si="42"/>
        <v>0</v>
      </c>
      <c r="I916" s="3">
        <f t="shared" si="43"/>
        <v>0</v>
      </c>
      <c r="J916" s="110">
        <f t="shared" si="44"/>
        <v>8</v>
      </c>
      <c r="K916" s="110"/>
      <c r="L916" s="110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  <c r="AJ916" s="111"/>
      <c r="AK916" s="111"/>
      <c r="AL916" s="111"/>
      <c r="AM916" s="111"/>
      <c r="AN916" s="111"/>
      <c r="AO916" s="111"/>
      <c r="AP916" s="111"/>
      <c r="AQ916" s="111"/>
      <c r="AR916" s="111"/>
      <c r="AS916" s="111"/>
      <c r="AT916" s="111"/>
      <c r="AU916" s="111"/>
      <c r="AV916" s="111"/>
      <c r="AW916" s="111"/>
      <c r="AX916" s="111"/>
      <c r="AY916" s="111"/>
      <c r="AZ916" s="111"/>
      <c r="BA916" s="111"/>
      <c r="BB916" s="111"/>
      <c r="BC916" s="111"/>
      <c r="BD916" s="111"/>
      <c r="BE916" s="111"/>
      <c r="BF916" s="111"/>
      <c r="BG916" s="111"/>
      <c r="BH916" s="111"/>
      <c r="BI916" s="111"/>
      <c r="BJ916" s="111"/>
      <c r="BK916" s="111"/>
      <c r="BL916" s="111"/>
      <c r="BM916" s="111"/>
      <c r="BN916" s="111"/>
      <c r="BO916" s="111"/>
      <c r="BP916" s="111"/>
      <c r="BQ916" s="111"/>
      <c r="BR916" s="111"/>
      <c r="BS916" s="111"/>
      <c r="BT916" s="111"/>
      <c r="BU916" s="111"/>
      <c r="BV916" s="111"/>
    </row>
    <row r="917" spans="1:74" s="50" customFormat="1" ht="15" hidden="1" customHeight="1">
      <c r="A917" s="109">
        <v>913</v>
      </c>
      <c r="B917" s="112" t="s">
        <v>1833</v>
      </c>
      <c r="C917" s="115" t="s">
        <v>1834</v>
      </c>
      <c r="D917" s="26" t="s">
        <v>21</v>
      </c>
      <c r="E917" s="109"/>
      <c r="F917" s="109"/>
      <c r="G917" s="110">
        <v>9</v>
      </c>
      <c r="H917" s="3">
        <f t="shared" si="42"/>
        <v>0</v>
      </c>
      <c r="I917" s="3">
        <f t="shared" si="43"/>
        <v>0</v>
      </c>
      <c r="J917" s="110">
        <f t="shared" si="44"/>
        <v>9</v>
      </c>
      <c r="K917" s="110"/>
      <c r="L917" s="110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  <c r="AJ917" s="111"/>
      <c r="AK917" s="111"/>
      <c r="AL917" s="111"/>
      <c r="AM917" s="111"/>
      <c r="AN917" s="111"/>
      <c r="AO917" s="111"/>
      <c r="AP917" s="111"/>
      <c r="AQ917" s="111"/>
      <c r="AR917" s="111"/>
      <c r="AS917" s="111"/>
      <c r="AT917" s="111"/>
      <c r="AU917" s="111"/>
      <c r="AV917" s="111"/>
      <c r="AW917" s="111"/>
      <c r="AX917" s="111"/>
      <c r="AY917" s="111"/>
      <c r="AZ917" s="111"/>
      <c r="BA917" s="111"/>
      <c r="BB917" s="111"/>
      <c r="BC917" s="111"/>
      <c r="BD917" s="111"/>
      <c r="BE917" s="111"/>
      <c r="BF917" s="111"/>
      <c r="BG917" s="111"/>
      <c r="BH917" s="111"/>
      <c r="BI917" s="111"/>
      <c r="BJ917" s="111"/>
      <c r="BK917" s="111"/>
      <c r="BL917" s="111"/>
      <c r="BM917" s="111"/>
      <c r="BN917" s="111"/>
      <c r="BO917" s="111"/>
      <c r="BP917" s="111"/>
      <c r="BQ917" s="111"/>
      <c r="BR917" s="111"/>
      <c r="BS917" s="111"/>
      <c r="BT917" s="111"/>
      <c r="BU917" s="111"/>
      <c r="BV917" s="111"/>
    </row>
    <row r="918" spans="1:74" s="50" customFormat="1" ht="15" hidden="1" customHeight="1">
      <c r="A918" s="109">
        <v>914</v>
      </c>
      <c r="B918" s="112" t="s">
        <v>1835</v>
      </c>
      <c r="C918" s="115" t="s">
        <v>1836</v>
      </c>
      <c r="D918" s="26" t="s">
        <v>21</v>
      </c>
      <c r="E918" s="109"/>
      <c r="F918" s="109"/>
      <c r="G918" s="110">
        <v>0</v>
      </c>
      <c r="H918" s="3">
        <f t="shared" si="42"/>
        <v>0</v>
      </c>
      <c r="I918" s="3">
        <f t="shared" si="43"/>
        <v>0</v>
      </c>
      <c r="J918" s="110">
        <f t="shared" si="44"/>
        <v>0</v>
      </c>
      <c r="K918" s="110"/>
      <c r="L918" s="110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  <c r="AJ918" s="111"/>
      <c r="AK918" s="111"/>
      <c r="AL918" s="111"/>
      <c r="AM918" s="111"/>
      <c r="AN918" s="111"/>
      <c r="AO918" s="111"/>
      <c r="AP918" s="111"/>
      <c r="AQ918" s="111"/>
      <c r="AR918" s="111"/>
      <c r="AS918" s="111"/>
      <c r="AT918" s="111"/>
      <c r="AU918" s="111"/>
      <c r="AV918" s="111"/>
      <c r="AW918" s="111"/>
      <c r="AX918" s="111"/>
      <c r="AY918" s="111"/>
      <c r="AZ918" s="111"/>
      <c r="BA918" s="111"/>
      <c r="BB918" s="111"/>
      <c r="BC918" s="111"/>
      <c r="BD918" s="111"/>
      <c r="BE918" s="111"/>
      <c r="BF918" s="111"/>
      <c r="BG918" s="111"/>
      <c r="BH918" s="111"/>
      <c r="BI918" s="111"/>
      <c r="BJ918" s="111"/>
      <c r="BK918" s="111"/>
      <c r="BL918" s="111"/>
      <c r="BM918" s="111"/>
      <c r="BN918" s="111"/>
      <c r="BO918" s="111"/>
      <c r="BP918" s="111"/>
      <c r="BQ918" s="111"/>
      <c r="BR918" s="111"/>
      <c r="BS918" s="111"/>
      <c r="BT918" s="111"/>
      <c r="BU918" s="111"/>
      <c r="BV918" s="111"/>
    </row>
    <row r="919" spans="1:74" s="50" customFormat="1" ht="15" hidden="1" customHeight="1">
      <c r="A919" s="109">
        <v>915</v>
      </c>
      <c r="B919" s="112" t="s">
        <v>1837</v>
      </c>
      <c r="C919" s="115" t="s">
        <v>1838</v>
      </c>
      <c r="D919" s="26" t="s">
        <v>21</v>
      </c>
      <c r="E919" s="109"/>
      <c r="F919" s="109"/>
      <c r="G919" s="110">
        <v>0</v>
      </c>
      <c r="H919" s="3">
        <f t="shared" si="42"/>
        <v>0</v>
      </c>
      <c r="I919" s="3">
        <f t="shared" si="43"/>
        <v>0</v>
      </c>
      <c r="J919" s="110">
        <f t="shared" si="44"/>
        <v>0</v>
      </c>
      <c r="K919" s="110"/>
      <c r="L919" s="110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  <c r="AJ919" s="111"/>
      <c r="AK919" s="111"/>
      <c r="AL919" s="111"/>
      <c r="AM919" s="111"/>
      <c r="AN919" s="111"/>
      <c r="AO919" s="111"/>
      <c r="AP919" s="111"/>
      <c r="AQ919" s="111"/>
      <c r="AR919" s="111"/>
      <c r="AS919" s="111"/>
      <c r="AT919" s="111"/>
      <c r="AU919" s="111"/>
      <c r="AV919" s="111"/>
      <c r="AW919" s="111"/>
      <c r="AX919" s="111"/>
      <c r="AY919" s="111"/>
      <c r="AZ919" s="111"/>
      <c r="BA919" s="111"/>
      <c r="BB919" s="111"/>
      <c r="BC919" s="111"/>
      <c r="BD919" s="111"/>
      <c r="BE919" s="111"/>
      <c r="BF919" s="111"/>
      <c r="BG919" s="111"/>
      <c r="BH919" s="111"/>
      <c r="BI919" s="111"/>
      <c r="BJ919" s="111"/>
      <c r="BK919" s="111"/>
      <c r="BL919" s="111"/>
      <c r="BM919" s="111"/>
      <c r="BN919" s="111"/>
      <c r="BO919" s="111"/>
      <c r="BP919" s="111"/>
      <c r="BQ919" s="111"/>
      <c r="BR919" s="111"/>
      <c r="BS919" s="111"/>
      <c r="BT919" s="111"/>
      <c r="BU919" s="111"/>
      <c r="BV919" s="111"/>
    </row>
    <row r="920" spans="1:74" s="50" customFormat="1" ht="15" hidden="1" customHeight="1">
      <c r="A920" s="109">
        <v>916</v>
      </c>
      <c r="B920" s="112" t="s">
        <v>1839</v>
      </c>
      <c r="C920" s="115" t="s">
        <v>1840</v>
      </c>
      <c r="D920" s="26" t="s">
        <v>21</v>
      </c>
      <c r="E920" s="109"/>
      <c r="F920" s="109"/>
      <c r="G920" s="110">
        <v>0</v>
      </c>
      <c r="H920" s="3">
        <f t="shared" si="42"/>
        <v>0</v>
      </c>
      <c r="I920" s="3">
        <f t="shared" si="43"/>
        <v>0</v>
      </c>
      <c r="J920" s="110">
        <f t="shared" si="44"/>
        <v>0</v>
      </c>
      <c r="K920" s="110"/>
      <c r="L920" s="110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  <c r="AH920" s="111"/>
      <c r="AI920" s="111"/>
      <c r="AJ920" s="111"/>
      <c r="AK920" s="111"/>
      <c r="AL920" s="111"/>
      <c r="AM920" s="111"/>
      <c r="AN920" s="111"/>
      <c r="AO920" s="111"/>
      <c r="AP920" s="111"/>
      <c r="AQ920" s="111"/>
      <c r="AR920" s="111"/>
      <c r="AS920" s="111"/>
      <c r="AT920" s="111"/>
      <c r="AU920" s="111"/>
      <c r="AV920" s="111"/>
      <c r="AW920" s="111"/>
      <c r="AX920" s="111"/>
      <c r="AY920" s="111"/>
      <c r="AZ920" s="111"/>
      <c r="BA920" s="111"/>
      <c r="BB920" s="111"/>
      <c r="BC920" s="111"/>
      <c r="BD920" s="111"/>
      <c r="BE920" s="111"/>
      <c r="BF920" s="111"/>
      <c r="BG920" s="111"/>
      <c r="BH920" s="111"/>
      <c r="BI920" s="111"/>
      <c r="BJ920" s="111"/>
      <c r="BK920" s="111"/>
      <c r="BL920" s="111"/>
      <c r="BM920" s="111"/>
      <c r="BN920" s="111"/>
      <c r="BO920" s="111"/>
      <c r="BP920" s="111"/>
      <c r="BQ920" s="111"/>
      <c r="BR920" s="111"/>
      <c r="BS920" s="111"/>
      <c r="BT920" s="111"/>
      <c r="BU920" s="111"/>
      <c r="BV920" s="111"/>
    </row>
    <row r="921" spans="1:74" s="50" customFormat="1" ht="15" hidden="1" customHeight="1">
      <c r="A921" s="109">
        <v>917</v>
      </c>
      <c r="B921" s="116" t="s">
        <v>1841</v>
      </c>
      <c r="C921" s="115" t="s">
        <v>1842</v>
      </c>
      <c r="D921" s="26" t="s">
        <v>21</v>
      </c>
      <c r="E921" s="109"/>
      <c r="F921" s="109"/>
      <c r="G921" s="110">
        <v>1</v>
      </c>
      <c r="H921" s="3">
        <f t="shared" si="42"/>
        <v>0</v>
      </c>
      <c r="I921" s="3">
        <f t="shared" si="43"/>
        <v>0</v>
      </c>
      <c r="J921" s="110">
        <f t="shared" si="44"/>
        <v>1</v>
      </c>
      <c r="K921" s="110"/>
      <c r="L921" s="110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  <c r="AH921" s="111"/>
      <c r="AI921" s="111"/>
      <c r="AJ921" s="111"/>
      <c r="AK921" s="111"/>
      <c r="AL921" s="111"/>
      <c r="AM921" s="111"/>
      <c r="AN921" s="111"/>
      <c r="AO921" s="111"/>
      <c r="AP921" s="111"/>
      <c r="AQ921" s="111"/>
      <c r="AR921" s="111"/>
      <c r="AS921" s="111"/>
      <c r="AT921" s="111"/>
      <c r="AU921" s="111"/>
      <c r="AV921" s="111"/>
      <c r="AW921" s="111"/>
      <c r="AX921" s="111"/>
      <c r="AY921" s="111"/>
      <c r="AZ921" s="111"/>
      <c r="BA921" s="111"/>
      <c r="BB921" s="111"/>
      <c r="BC921" s="111"/>
      <c r="BD921" s="111"/>
      <c r="BE921" s="111"/>
      <c r="BF921" s="111"/>
      <c r="BG921" s="111"/>
      <c r="BH921" s="111"/>
      <c r="BI921" s="111"/>
      <c r="BJ921" s="111"/>
      <c r="BK921" s="111"/>
      <c r="BL921" s="111"/>
      <c r="BM921" s="111"/>
      <c r="BN921" s="111"/>
      <c r="BO921" s="111"/>
      <c r="BP921" s="111"/>
      <c r="BQ921" s="111"/>
      <c r="BR921" s="111"/>
      <c r="BS921" s="111"/>
      <c r="BT921" s="111"/>
      <c r="BU921" s="111"/>
      <c r="BV921" s="111"/>
    </row>
    <row r="922" spans="1:74" s="50" customFormat="1" ht="15" hidden="1" customHeight="1">
      <c r="A922" s="109">
        <v>918</v>
      </c>
      <c r="B922" s="112" t="s">
        <v>1843</v>
      </c>
      <c r="C922" s="115" t="s">
        <v>1844</v>
      </c>
      <c r="D922" s="26" t="s">
        <v>21</v>
      </c>
      <c r="E922" s="109"/>
      <c r="F922" s="109"/>
      <c r="G922" s="110">
        <v>3</v>
      </c>
      <c r="H922" s="3">
        <f t="shared" si="42"/>
        <v>0</v>
      </c>
      <c r="I922" s="3">
        <f t="shared" si="43"/>
        <v>0</v>
      </c>
      <c r="J922" s="110">
        <f t="shared" si="44"/>
        <v>3</v>
      </c>
      <c r="K922" s="110"/>
      <c r="L922" s="110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  <c r="AH922" s="111"/>
      <c r="AI922" s="111"/>
      <c r="AJ922" s="111"/>
      <c r="AK922" s="111"/>
      <c r="AL922" s="111"/>
      <c r="AM922" s="111"/>
      <c r="AN922" s="111"/>
      <c r="AO922" s="111"/>
      <c r="AP922" s="111"/>
      <c r="AQ922" s="111"/>
      <c r="AR922" s="111"/>
      <c r="AS922" s="111"/>
      <c r="AT922" s="111"/>
      <c r="AU922" s="111"/>
      <c r="AV922" s="111"/>
      <c r="AW922" s="111"/>
      <c r="AX922" s="111"/>
      <c r="AY922" s="111"/>
      <c r="AZ922" s="111"/>
      <c r="BA922" s="111"/>
      <c r="BB922" s="111"/>
      <c r="BC922" s="111"/>
      <c r="BD922" s="111"/>
      <c r="BE922" s="111"/>
      <c r="BF922" s="111"/>
      <c r="BG922" s="111"/>
      <c r="BH922" s="111"/>
      <c r="BI922" s="111"/>
      <c r="BJ922" s="111"/>
      <c r="BK922" s="111"/>
      <c r="BL922" s="111"/>
      <c r="BM922" s="111"/>
      <c r="BN922" s="111"/>
      <c r="BO922" s="111"/>
      <c r="BP922" s="111"/>
      <c r="BQ922" s="111"/>
      <c r="BR922" s="111"/>
      <c r="BS922" s="111"/>
      <c r="BT922" s="111"/>
      <c r="BU922" s="111"/>
      <c r="BV922" s="111"/>
    </row>
    <row r="923" spans="1:74" s="50" customFormat="1" ht="15" hidden="1" customHeight="1">
      <c r="A923" s="109">
        <v>919</v>
      </c>
      <c r="B923" s="112" t="s">
        <v>1845</v>
      </c>
      <c r="C923" s="115" t="s">
        <v>1846</v>
      </c>
      <c r="D923" s="26" t="s">
        <v>21</v>
      </c>
      <c r="E923" s="109"/>
      <c r="F923" s="109"/>
      <c r="G923" s="110">
        <v>16</v>
      </c>
      <c r="H923" s="3">
        <f t="shared" si="42"/>
        <v>0</v>
      </c>
      <c r="I923" s="3">
        <f t="shared" si="43"/>
        <v>0</v>
      </c>
      <c r="J923" s="110">
        <f t="shared" si="44"/>
        <v>16</v>
      </c>
      <c r="K923" s="110"/>
      <c r="L923" s="110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  <c r="AH923" s="111"/>
      <c r="AI923" s="111"/>
      <c r="AJ923" s="111"/>
      <c r="AK923" s="111"/>
      <c r="AL923" s="111"/>
      <c r="AM923" s="111"/>
      <c r="AN923" s="111"/>
      <c r="AO923" s="111"/>
      <c r="AP923" s="111"/>
      <c r="AQ923" s="111"/>
      <c r="AR923" s="111"/>
      <c r="AS923" s="111"/>
      <c r="AT923" s="111"/>
      <c r="AU923" s="111"/>
      <c r="AV923" s="111"/>
      <c r="AW923" s="111"/>
      <c r="AX923" s="111"/>
      <c r="AY923" s="111"/>
      <c r="AZ923" s="111"/>
      <c r="BA923" s="111"/>
      <c r="BB923" s="111"/>
      <c r="BC923" s="111"/>
      <c r="BD923" s="111"/>
      <c r="BE923" s="111"/>
      <c r="BF923" s="111"/>
      <c r="BG923" s="111"/>
      <c r="BH923" s="111"/>
      <c r="BI923" s="111"/>
      <c r="BJ923" s="111"/>
      <c r="BK923" s="111"/>
      <c r="BL923" s="111"/>
      <c r="BM923" s="111"/>
      <c r="BN923" s="111"/>
      <c r="BO923" s="111"/>
      <c r="BP923" s="111"/>
      <c r="BQ923" s="111"/>
      <c r="BR923" s="111"/>
      <c r="BS923" s="111"/>
      <c r="BT923" s="111"/>
      <c r="BU923" s="111"/>
      <c r="BV923" s="111"/>
    </row>
    <row r="924" spans="1:74" s="50" customFormat="1" ht="15" hidden="1" customHeight="1">
      <c r="A924" s="111">
        <v>920</v>
      </c>
      <c r="B924" s="3" t="s">
        <v>1847</v>
      </c>
      <c r="C924" s="345" t="s">
        <v>1848</v>
      </c>
      <c r="D924" s="3" t="s">
        <v>21</v>
      </c>
      <c r="E924" s="109"/>
      <c r="F924" s="111"/>
      <c r="G924" s="110">
        <v>2</v>
      </c>
      <c r="H924" s="3">
        <f t="shared" si="42"/>
        <v>0</v>
      </c>
      <c r="I924" s="3">
        <f t="shared" si="43"/>
        <v>0</v>
      </c>
      <c r="J924" s="110">
        <f t="shared" si="44"/>
        <v>2</v>
      </c>
      <c r="K924" s="110"/>
      <c r="L924" s="110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  <c r="AH924" s="111"/>
      <c r="AI924" s="111"/>
      <c r="AJ924" s="111"/>
      <c r="AK924" s="111"/>
      <c r="AL924" s="111"/>
      <c r="AM924" s="111"/>
      <c r="AN924" s="111"/>
      <c r="AO924" s="111"/>
      <c r="AP924" s="111"/>
      <c r="AQ924" s="111"/>
      <c r="AR924" s="111"/>
      <c r="AS924" s="111"/>
      <c r="AT924" s="111"/>
      <c r="AU924" s="111"/>
      <c r="AV924" s="111"/>
      <c r="AW924" s="111"/>
      <c r="AX924" s="111"/>
      <c r="AY924" s="111"/>
      <c r="AZ924" s="111"/>
      <c r="BA924" s="111"/>
      <c r="BB924" s="111"/>
      <c r="BC924" s="111"/>
      <c r="BD924" s="111"/>
      <c r="BE924" s="111"/>
      <c r="BF924" s="111"/>
      <c r="BG924" s="111"/>
      <c r="BH924" s="111"/>
      <c r="BI924" s="111"/>
      <c r="BJ924" s="111"/>
      <c r="BK924" s="111"/>
      <c r="BL924" s="111"/>
      <c r="BM924" s="111"/>
      <c r="BN924" s="111"/>
      <c r="BO924" s="111"/>
      <c r="BP924" s="111"/>
      <c r="BQ924" s="111"/>
      <c r="BR924" s="111"/>
      <c r="BS924" s="111"/>
      <c r="BT924" s="111"/>
      <c r="BU924" s="111"/>
      <c r="BV924" s="111"/>
    </row>
    <row r="925" spans="1:74" s="50" customFormat="1" ht="15" hidden="1" customHeight="1">
      <c r="A925" s="111">
        <v>921</v>
      </c>
      <c r="B925" s="3" t="s">
        <v>1849</v>
      </c>
      <c r="C925" s="345" t="s">
        <v>1850</v>
      </c>
      <c r="D925" s="3" t="s">
        <v>14</v>
      </c>
      <c r="E925" s="26"/>
      <c r="F925" s="3"/>
      <c r="G925" s="33">
        <v>2</v>
      </c>
      <c r="H925" s="3">
        <f t="shared" si="42"/>
        <v>0</v>
      </c>
      <c r="I925" s="3">
        <f t="shared" si="43"/>
        <v>0</v>
      </c>
      <c r="J925" s="33">
        <f t="shared" si="44"/>
        <v>2</v>
      </c>
      <c r="K925" s="33"/>
      <c r="L925" s="3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111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111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</row>
    <row r="926" spans="1:74" s="50" customFormat="1" ht="15" hidden="1" customHeight="1">
      <c r="A926" s="109">
        <v>922</v>
      </c>
      <c r="B926" s="112" t="s">
        <v>1851</v>
      </c>
      <c r="C926" s="115" t="s">
        <v>1852</v>
      </c>
      <c r="D926" s="26" t="s">
        <v>14</v>
      </c>
      <c r="E926" s="26"/>
      <c r="F926" s="26"/>
      <c r="G926" s="33">
        <v>0</v>
      </c>
      <c r="H926" s="3">
        <f t="shared" si="42"/>
        <v>0</v>
      </c>
      <c r="I926" s="3">
        <f t="shared" si="43"/>
        <v>0</v>
      </c>
      <c r="J926" s="33">
        <f t="shared" si="44"/>
        <v>0</v>
      </c>
      <c r="K926" s="110"/>
      <c r="L926" s="110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  <c r="AH926" s="111"/>
      <c r="AI926" s="111"/>
      <c r="AJ926" s="111"/>
      <c r="AK926" s="111"/>
      <c r="AL926" s="111"/>
      <c r="AM926" s="111"/>
      <c r="AN926" s="111"/>
      <c r="AO926" s="111"/>
      <c r="AP926" s="111"/>
      <c r="AQ926" s="111"/>
      <c r="AR926" s="111"/>
      <c r="AS926" s="111"/>
      <c r="AT926" s="111"/>
      <c r="AU926" s="111"/>
      <c r="AV926" s="111"/>
      <c r="AW926" s="111"/>
      <c r="AX926" s="111"/>
      <c r="AY926" s="111"/>
      <c r="AZ926" s="111"/>
      <c r="BA926" s="111"/>
      <c r="BB926" s="111"/>
      <c r="BC926" s="111"/>
      <c r="BD926" s="111"/>
      <c r="BE926" s="111"/>
      <c r="BF926" s="111"/>
      <c r="BG926" s="111"/>
      <c r="BH926" s="111"/>
      <c r="BI926" s="111"/>
      <c r="BJ926" s="111"/>
      <c r="BK926" s="111"/>
      <c r="BL926" s="111"/>
      <c r="BM926" s="111"/>
      <c r="BN926" s="111"/>
      <c r="BO926" s="111"/>
      <c r="BP926" s="111"/>
      <c r="BQ926" s="111"/>
      <c r="BR926" s="111"/>
      <c r="BS926" s="111"/>
      <c r="BT926" s="111"/>
      <c r="BU926" s="111"/>
      <c r="BV926" s="111"/>
    </row>
    <row r="927" spans="1:74" s="50" customFormat="1" ht="15" hidden="1" customHeight="1">
      <c r="A927" s="109">
        <v>923</v>
      </c>
      <c r="B927" s="112" t="s">
        <v>1853</v>
      </c>
      <c r="C927" s="115" t="s">
        <v>1854</v>
      </c>
      <c r="D927" s="26" t="s">
        <v>14</v>
      </c>
      <c r="E927" s="26"/>
      <c r="F927" s="26"/>
      <c r="G927" s="33">
        <v>3</v>
      </c>
      <c r="H927" s="3">
        <f t="shared" si="42"/>
        <v>0</v>
      </c>
      <c r="I927" s="3">
        <f t="shared" si="43"/>
        <v>0</v>
      </c>
      <c r="J927" s="33">
        <f t="shared" si="44"/>
        <v>3</v>
      </c>
      <c r="K927" s="110"/>
      <c r="L927" s="110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  <c r="AH927" s="111"/>
      <c r="AI927" s="111"/>
      <c r="AJ927" s="111"/>
      <c r="AK927" s="111"/>
      <c r="AL927" s="111"/>
      <c r="AM927" s="111"/>
      <c r="AN927" s="111"/>
      <c r="AO927" s="111"/>
      <c r="AP927" s="111"/>
      <c r="AQ927" s="111"/>
      <c r="AR927" s="111"/>
      <c r="AS927" s="111"/>
      <c r="AT927" s="111"/>
      <c r="AU927" s="111"/>
      <c r="AV927" s="111"/>
      <c r="AW927" s="111"/>
      <c r="AX927" s="111"/>
      <c r="AY927" s="111"/>
      <c r="AZ927" s="111"/>
      <c r="BA927" s="111"/>
      <c r="BB927" s="111"/>
      <c r="BC927" s="111"/>
      <c r="BD927" s="111"/>
      <c r="BE927" s="111"/>
      <c r="BF927" s="111"/>
      <c r="BG927" s="111"/>
      <c r="BH927" s="111"/>
      <c r="BI927" s="111"/>
      <c r="BJ927" s="111"/>
      <c r="BK927" s="111"/>
      <c r="BL927" s="111"/>
      <c r="BM927" s="111"/>
      <c r="BN927" s="111"/>
      <c r="BO927" s="111"/>
      <c r="BP927" s="111"/>
      <c r="BQ927" s="111"/>
      <c r="BR927" s="111"/>
      <c r="BS927" s="111"/>
      <c r="BT927" s="111"/>
      <c r="BU927" s="111"/>
      <c r="BV927" s="111"/>
    </row>
    <row r="928" spans="1:74" s="50" customFormat="1" ht="15" hidden="1" customHeight="1">
      <c r="A928" s="109">
        <v>924</v>
      </c>
      <c r="B928" s="112" t="s">
        <v>1855</v>
      </c>
      <c r="C928" s="115" t="s">
        <v>1856</v>
      </c>
      <c r="D928" s="26" t="s">
        <v>14</v>
      </c>
      <c r="E928" s="26"/>
      <c r="F928" s="26"/>
      <c r="G928" s="33">
        <v>3</v>
      </c>
      <c r="H928" s="3">
        <f t="shared" si="42"/>
        <v>0</v>
      </c>
      <c r="I928" s="3">
        <f t="shared" si="43"/>
        <v>0</v>
      </c>
      <c r="J928" s="33">
        <f t="shared" si="44"/>
        <v>3</v>
      </c>
      <c r="K928" s="110"/>
      <c r="L928" s="110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  <c r="AH928" s="111"/>
      <c r="AI928" s="111"/>
      <c r="AJ928" s="111"/>
      <c r="AK928" s="111"/>
      <c r="AL928" s="111"/>
      <c r="AM928" s="111"/>
      <c r="AN928" s="111"/>
      <c r="AO928" s="111"/>
      <c r="AP928" s="111"/>
      <c r="AQ928" s="111"/>
      <c r="AR928" s="111"/>
      <c r="AS928" s="111"/>
      <c r="AT928" s="111"/>
      <c r="AU928" s="111"/>
      <c r="AV928" s="111"/>
      <c r="AW928" s="111"/>
      <c r="AX928" s="111"/>
      <c r="AY928" s="111"/>
      <c r="AZ928" s="111"/>
      <c r="BA928" s="111"/>
      <c r="BB928" s="111"/>
      <c r="BC928" s="111"/>
      <c r="BD928" s="111"/>
      <c r="BE928" s="111"/>
      <c r="BF928" s="111"/>
      <c r="BG928" s="111"/>
      <c r="BH928" s="111"/>
      <c r="BI928" s="111"/>
      <c r="BJ928" s="111"/>
      <c r="BK928" s="111"/>
      <c r="BL928" s="111"/>
      <c r="BM928" s="111"/>
      <c r="BN928" s="111"/>
      <c r="BO928" s="111"/>
      <c r="BP928" s="111"/>
      <c r="BQ928" s="111"/>
      <c r="BR928" s="111"/>
      <c r="BS928" s="111"/>
      <c r="BT928" s="111"/>
      <c r="BU928" s="111"/>
      <c r="BV928" s="111"/>
    </row>
    <row r="929" spans="1:74" s="50" customFormat="1" ht="15" hidden="1" customHeight="1">
      <c r="A929" s="109">
        <v>925</v>
      </c>
      <c r="B929" s="112" t="s">
        <v>1857</v>
      </c>
      <c r="C929" s="115" t="s">
        <v>1858</v>
      </c>
      <c r="D929" s="26" t="s">
        <v>14</v>
      </c>
      <c r="E929" s="26"/>
      <c r="F929" s="26"/>
      <c r="G929" s="33">
        <v>6</v>
      </c>
      <c r="H929" s="3">
        <f t="shared" si="42"/>
        <v>0</v>
      </c>
      <c r="I929" s="3">
        <f t="shared" si="43"/>
        <v>0</v>
      </c>
      <c r="J929" s="33">
        <f t="shared" si="44"/>
        <v>6</v>
      </c>
      <c r="K929" s="110"/>
      <c r="L929" s="110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  <c r="AJ929" s="111"/>
      <c r="AK929" s="111"/>
      <c r="AL929" s="111"/>
      <c r="AM929" s="111"/>
      <c r="AN929" s="111"/>
      <c r="AO929" s="111"/>
      <c r="AP929" s="111"/>
      <c r="AQ929" s="111"/>
      <c r="AR929" s="111"/>
      <c r="AS929" s="111"/>
      <c r="AT929" s="111"/>
      <c r="AU929" s="111"/>
      <c r="AV929" s="111"/>
      <c r="AW929" s="111"/>
      <c r="AX929" s="111"/>
      <c r="AY929" s="111"/>
      <c r="AZ929" s="111"/>
      <c r="BA929" s="111"/>
      <c r="BB929" s="111"/>
      <c r="BC929" s="111"/>
      <c r="BD929" s="111"/>
      <c r="BE929" s="111"/>
      <c r="BF929" s="111"/>
      <c r="BG929" s="111"/>
      <c r="BH929" s="111"/>
      <c r="BI929" s="111"/>
      <c r="BJ929" s="111"/>
      <c r="BK929" s="111"/>
      <c r="BL929" s="111"/>
      <c r="BM929" s="111"/>
      <c r="BN929" s="111"/>
      <c r="BO929" s="111"/>
      <c r="BP929" s="111"/>
      <c r="BQ929" s="111"/>
      <c r="BR929" s="111"/>
      <c r="BS929" s="111"/>
      <c r="BT929" s="111"/>
      <c r="BU929" s="111"/>
      <c r="BV929" s="111"/>
    </row>
    <row r="930" spans="1:74" s="50" customFormat="1" ht="15" hidden="1" customHeight="1">
      <c r="A930" s="109">
        <v>926</v>
      </c>
      <c r="B930" s="112" t="s">
        <v>1859</v>
      </c>
      <c r="C930" s="115" t="s">
        <v>1860</v>
      </c>
      <c r="D930" s="26" t="s">
        <v>14</v>
      </c>
      <c r="E930" s="26"/>
      <c r="F930" s="26"/>
      <c r="G930" s="33">
        <v>1</v>
      </c>
      <c r="H930" s="3">
        <f t="shared" si="42"/>
        <v>0</v>
      </c>
      <c r="I930" s="3">
        <f t="shared" si="43"/>
        <v>0</v>
      </c>
      <c r="J930" s="33">
        <f t="shared" si="44"/>
        <v>1</v>
      </c>
      <c r="K930" s="110"/>
      <c r="L930" s="110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  <c r="AJ930" s="111"/>
      <c r="AK930" s="111"/>
      <c r="AL930" s="111"/>
      <c r="AM930" s="111"/>
      <c r="AN930" s="111"/>
      <c r="AO930" s="111"/>
      <c r="AP930" s="111"/>
      <c r="AQ930" s="111"/>
      <c r="AR930" s="111"/>
      <c r="AS930" s="111"/>
      <c r="AT930" s="111"/>
      <c r="AU930" s="111"/>
      <c r="AV930" s="111"/>
      <c r="AW930" s="111"/>
      <c r="AX930" s="111"/>
      <c r="AY930" s="111"/>
      <c r="AZ930" s="111"/>
      <c r="BA930" s="111"/>
      <c r="BB930" s="111"/>
      <c r="BC930" s="111"/>
      <c r="BD930" s="111"/>
      <c r="BE930" s="111"/>
      <c r="BF930" s="111"/>
      <c r="BG930" s="111"/>
      <c r="BH930" s="111"/>
      <c r="BI930" s="111"/>
      <c r="BJ930" s="111"/>
      <c r="BK930" s="111"/>
      <c r="BL930" s="111"/>
      <c r="BM930" s="111"/>
      <c r="BN930" s="111"/>
      <c r="BO930" s="111"/>
      <c r="BP930" s="111"/>
      <c r="BQ930" s="111"/>
      <c r="BR930" s="111"/>
      <c r="BS930" s="111"/>
      <c r="BT930" s="111"/>
      <c r="BU930" s="111"/>
      <c r="BV930" s="111"/>
    </row>
    <row r="931" spans="1:74" s="50" customFormat="1" ht="15" hidden="1" customHeight="1">
      <c r="A931" s="109">
        <v>927</v>
      </c>
      <c r="B931" s="112" t="s">
        <v>1861</v>
      </c>
      <c r="C931" s="115" t="s">
        <v>1862</v>
      </c>
      <c r="D931" s="26" t="s">
        <v>21</v>
      </c>
      <c r="E931" s="26"/>
      <c r="F931" s="26"/>
      <c r="G931" s="33">
        <v>1</v>
      </c>
      <c r="H931" s="3">
        <f t="shared" si="42"/>
        <v>0</v>
      </c>
      <c r="I931" s="3">
        <f t="shared" si="43"/>
        <v>0</v>
      </c>
      <c r="J931" s="33">
        <f t="shared" si="44"/>
        <v>1</v>
      </c>
      <c r="K931" s="110"/>
      <c r="L931" s="110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  <c r="AJ931" s="111"/>
      <c r="AK931" s="111"/>
      <c r="AL931" s="111"/>
      <c r="AM931" s="111"/>
      <c r="AN931" s="111"/>
      <c r="AO931" s="111"/>
      <c r="AP931" s="111"/>
      <c r="AQ931" s="111"/>
      <c r="AR931" s="111"/>
      <c r="AS931" s="111"/>
      <c r="AT931" s="111"/>
      <c r="AU931" s="111"/>
      <c r="AV931" s="111"/>
      <c r="AW931" s="111"/>
      <c r="AX931" s="111"/>
      <c r="AY931" s="111"/>
      <c r="AZ931" s="111"/>
      <c r="BA931" s="111"/>
      <c r="BB931" s="111"/>
      <c r="BC931" s="111"/>
      <c r="BD931" s="111"/>
      <c r="BE931" s="111"/>
      <c r="BF931" s="111"/>
      <c r="BG931" s="111"/>
      <c r="BH931" s="111"/>
      <c r="BI931" s="111"/>
      <c r="BJ931" s="111"/>
      <c r="BK931" s="111"/>
      <c r="BL931" s="111"/>
      <c r="BM931" s="111"/>
      <c r="BN931" s="111"/>
      <c r="BO931" s="111"/>
      <c r="BP931" s="111"/>
      <c r="BQ931" s="111"/>
      <c r="BR931" s="111"/>
      <c r="BS931" s="111"/>
      <c r="BT931" s="111"/>
      <c r="BU931" s="111"/>
      <c r="BV931" s="111"/>
    </row>
    <row r="932" spans="1:74" s="50" customFormat="1" ht="15" hidden="1" customHeight="1">
      <c r="A932" s="109">
        <v>928</v>
      </c>
      <c r="B932" s="112" t="s">
        <v>1863</v>
      </c>
      <c r="C932" s="115" t="s">
        <v>1864</v>
      </c>
      <c r="D932" s="26" t="s">
        <v>21</v>
      </c>
      <c r="E932" s="26"/>
      <c r="F932" s="26"/>
      <c r="G932" s="33">
        <v>1</v>
      </c>
      <c r="H932" s="3">
        <f t="shared" si="42"/>
        <v>0</v>
      </c>
      <c r="I932" s="3">
        <f t="shared" si="43"/>
        <v>0</v>
      </c>
      <c r="J932" s="33">
        <f t="shared" si="44"/>
        <v>1</v>
      </c>
      <c r="K932" s="110"/>
      <c r="L932" s="110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  <c r="AJ932" s="111"/>
      <c r="AK932" s="111"/>
      <c r="AL932" s="111"/>
      <c r="AM932" s="111"/>
      <c r="AN932" s="111"/>
      <c r="AO932" s="111"/>
      <c r="AP932" s="111"/>
      <c r="AQ932" s="111"/>
      <c r="AR932" s="111"/>
      <c r="AS932" s="111"/>
      <c r="AT932" s="111"/>
      <c r="AU932" s="111"/>
      <c r="AV932" s="111"/>
      <c r="AW932" s="111"/>
      <c r="AX932" s="111"/>
      <c r="AY932" s="111"/>
      <c r="AZ932" s="111"/>
      <c r="BA932" s="111"/>
      <c r="BB932" s="111"/>
      <c r="BC932" s="111"/>
      <c r="BD932" s="111"/>
      <c r="BE932" s="111"/>
      <c r="BF932" s="111"/>
      <c r="BG932" s="111"/>
      <c r="BH932" s="111"/>
      <c r="BI932" s="111"/>
      <c r="BJ932" s="111"/>
      <c r="BK932" s="111"/>
      <c r="BL932" s="111"/>
      <c r="BM932" s="111"/>
      <c r="BN932" s="111"/>
      <c r="BO932" s="111"/>
      <c r="BP932" s="111"/>
      <c r="BQ932" s="111"/>
      <c r="BR932" s="111"/>
      <c r="BS932" s="111"/>
      <c r="BT932" s="111"/>
      <c r="BU932" s="111"/>
      <c r="BV932" s="111"/>
    </row>
    <row r="933" spans="1:74" s="50" customFormat="1" ht="15" hidden="1" customHeight="1">
      <c r="A933" s="109">
        <v>929</v>
      </c>
      <c r="B933" s="112" t="s">
        <v>1865</v>
      </c>
      <c r="C933" s="115" t="s">
        <v>1866</v>
      </c>
      <c r="D933" s="26" t="s">
        <v>21</v>
      </c>
      <c r="E933" s="26"/>
      <c r="F933" s="26"/>
      <c r="G933" s="33">
        <v>1</v>
      </c>
      <c r="H933" s="3">
        <f t="shared" si="42"/>
        <v>0</v>
      </c>
      <c r="I933" s="3">
        <f t="shared" si="43"/>
        <v>0</v>
      </c>
      <c r="J933" s="33">
        <f t="shared" si="44"/>
        <v>1</v>
      </c>
      <c r="K933" s="110"/>
      <c r="L933" s="110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  <c r="AJ933" s="111"/>
      <c r="AK933" s="111"/>
      <c r="AL933" s="111"/>
      <c r="AM933" s="111"/>
      <c r="AN933" s="111"/>
      <c r="AO933" s="111"/>
      <c r="AP933" s="111"/>
      <c r="AQ933" s="111"/>
      <c r="AR933" s="111"/>
      <c r="AS933" s="111"/>
      <c r="AT933" s="111"/>
      <c r="AU933" s="111"/>
      <c r="AV933" s="111"/>
      <c r="AW933" s="111"/>
      <c r="AX933" s="111"/>
      <c r="AY933" s="111"/>
      <c r="AZ933" s="111"/>
      <c r="BA933" s="111"/>
      <c r="BB933" s="111"/>
      <c r="BC933" s="111"/>
      <c r="BD933" s="111"/>
      <c r="BE933" s="111"/>
      <c r="BF933" s="111"/>
      <c r="BG933" s="111"/>
      <c r="BH933" s="111"/>
      <c r="BI933" s="111"/>
      <c r="BJ933" s="111"/>
      <c r="BK933" s="111"/>
      <c r="BL933" s="111"/>
      <c r="BM933" s="111"/>
      <c r="BN933" s="111"/>
      <c r="BO933" s="111"/>
      <c r="BP933" s="111"/>
      <c r="BQ933" s="111"/>
      <c r="BR933" s="111"/>
      <c r="BS933" s="111"/>
      <c r="BT933" s="111"/>
      <c r="BU933" s="111"/>
      <c r="BV933" s="111"/>
    </row>
    <row r="934" spans="1:74" s="50" customFormat="1" ht="15" hidden="1" customHeight="1">
      <c r="A934" s="109">
        <v>930</v>
      </c>
      <c r="B934" s="112" t="s">
        <v>1867</v>
      </c>
      <c r="C934" s="113" t="s">
        <v>1868</v>
      </c>
      <c r="D934" s="26" t="s">
        <v>21</v>
      </c>
      <c r="E934" s="26"/>
      <c r="F934" s="26"/>
      <c r="G934" s="30">
        <v>1</v>
      </c>
      <c r="H934" s="26">
        <f t="shared" si="42"/>
        <v>0</v>
      </c>
      <c r="I934" s="26">
        <f t="shared" si="43"/>
        <v>0</v>
      </c>
      <c r="J934" s="30">
        <f t="shared" si="44"/>
        <v>1</v>
      </c>
      <c r="K934" s="108"/>
      <c r="L934" s="108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  <c r="AJ934" s="111"/>
      <c r="AK934" s="111"/>
      <c r="AL934" s="111"/>
      <c r="AM934" s="111"/>
      <c r="AN934" s="111"/>
      <c r="AO934" s="111"/>
      <c r="AP934" s="111"/>
      <c r="AQ934" s="111"/>
      <c r="AR934" s="111"/>
      <c r="AS934" s="111"/>
      <c r="AT934" s="111"/>
      <c r="AU934" s="111"/>
      <c r="AV934" s="111"/>
      <c r="AW934" s="111"/>
      <c r="AX934" s="111"/>
      <c r="AY934" s="111"/>
      <c r="AZ934" s="111"/>
      <c r="BA934" s="111"/>
      <c r="BB934" s="111"/>
      <c r="BC934" s="111"/>
      <c r="BD934" s="111"/>
      <c r="BE934" s="111"/>
      <c r="BF934" s="111"/>
      <c r="BG934" s="111"/>
      <c r="BH934" s="111"/>
      <c r="BI934" s="111"/>
      <c r="BJ934" s="111"/>
      <c r="BK934" s="111"/>
      <c r="BL934" s="111"/>
      <c r="BM934" s="111"/>
      <c r="BN934" s="111"/>
      <c r="BO934" s="111"/>
      <c r="BP934" s="111"/>
      <c r="BQ934" s="111"/>
      <c r="BR934" s="111"/>
      <c r="BS934" s="111"/>
      <c r="BT934" s="111"/>
      <c r="BU934" s="111"/>
      <c r="BV934" s="111"/>
    </row>
    <row r="935" spans="1:74" s="50" customFormat="1" ht="15" hidden="1" customHeight="1">
      <c r="A935" s="109">
        <v>931</v>
      </c>
      <c r="B935" s="112" t="s">
        <v>1869</v>
      </c>
      <c r="C935" s="115" t="s">
        <v>1870</v>
      </c>
      <c r="D935" s="26" t="s">
        <v>21</v>
      </c>
      <c r="E935" s="26"/>
      <c r="F935" s="26"/>
      <c r="G935" s="33">
        <v>7000</v>
      </c>
      <c r="H935" s="3">
        <f t="shared" si="42"/>
        <v>0</v>
      </c>
      <c r="I935" s="3">
        <f t="shared" si="43"/>
        <v>0</v>
      </c>
      <c r="J935" s="33">
        <f t="shared" si="44"/>
        <v>7000</v>
      </c>
      <c r="K935" s="110"/>
      <c r="L935" s="110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  <c r="AJ935" s="111"/>
      <c r="AK935" s="111"/>
      <c r="AL935" s="111"/>
      <c r="AM935" s="111"/>
      <c r="AN935" s="111"/>
      <c r="AO935" s="111"/>
      <c r="AP935" s="111"/>
      <c r="AQ935" s="111"/>
      <c r="AR935" s="111"/>
      <c r="AS935" s="111"/>
      <c r="AT935" s="111"/>
      <c r="AU935" s="111"/>
      <c r="AV935" s="111"/>
      <c r="AW935" s="111"/>
      <c r="AX935" s="111"/>
      <c r="AY935" s="111"/>
      <c r="AZ935" s="111"/>
      <c r="BA935" s="111"/>
      <c r="BB935" s="111"/>
      <c r="BC935" s="111"/>
      <c r="BD935" s="111"/>
      <c r="BE935" s="111"/>
      <c r="BF935" s="111"/>
      <c r="BG935" s="111"/>
      <c r="BH935" s="111"/>
      <c r="BI935" s="111"/>
      <c r="BJ935" s="111"/>
      <c r="BK935" s="111"/>
      <c r="BL935" s="111"/>
      <c r="BM935" s="111"/>
      <c r="BN935" s="111"/>
      <c r="BO935" s="111"/>
      <c r="BP935" s="111"/>
      <c r="BQ935" s="111"/>
      <c r="BR935" s="111"/>
      <c r="BS935" s="111"/>
      <c r="BT935" s="111"/>
      <c r="BU935" s="111"/>
      <c r="BV935" s="111"/>
    </row>
    <row r="936" spans="1:74" s="50" customFormat="1" ht="15" hidden="1" customHeight="1">
      <c r="A936" s="109">
        <v>932</v>
      </c>
      <c r="B936" s="112" t="s">
        <v>1871</v>
      </c>
      <c r="C936" s="115" t="s">
        <v>1872</v>
      </c>
      <c r="D936" s="26" t="s">
        <v>14</v>
      </c>
      <c r="E936" s="26"/>
      <c r="F936" s="26"/>
      <c r="G936" s="33">
        <v>1</v>
      </c>
      <c r="H936" s="3">
        <f t="shared" si="42"/>
        <v>0</v>
      </c>
      <c r="I936" s="3">
        <f t="shared" si="43"/>
        <v>0</v>
      </c>
      <c r="J936" s="33">
        <f t="shared" si="44"/>
        <v>1</v>
      </c>
      <c r="K936" s="110"/>
      <c r="L936" s="110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/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/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/>
      <c r="BP936" s="111"/>
      <c r="BQ936" s="111"/>
      <c r="BR936" s="111"/>
      <c r="BS936" s="111"/>
      <c r="BT936" s="111"/>
      <c r="BU936" s="111"/>
      <c r="BV936" s="111"/>
    </row>
    <row r="937" spans="1:74" s="50" customFormat="1" ht="15" hidden="1" customHeight="1">
      <c r="A937" s="111">
        <v>933</v>
      </c>
      <c r="B937" s="4" t="s">
        <v>1873</v>
      </c>
      <c r="C937" s="19" t="s">
        <v>1874</v>
      </c>
      <c r="D937" s="3" t="s">
        <v>21</v>
      </c>
      <c r="E937" s="26"/>
      <c r="F937" s="3"/>
      <c r="G937" s="33">
        <v>1</v>
      </c>
      <c r="H937" s="3">
        <f t="shared" si="42"/>
        <v>0</v>
      </c>
      <c r="I937" s="3">
        <f t="shared" si="43"/>
        <v>0</v>
      </c>
      <c r="J937" s="33">
        <f t="shared" si="44"/>
        <v>1</v>
      </c>
      <c r="K937" s="110"/>
      <c r="L937" s="110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/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/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/>
      <c r="BP937" s="111"/>
      <c r="BQ937" s="111"/>
      <c r="BR937" s="111"/>
      <c r="BS937" s="111"/>
      <c r="BT937" s="111"/>
      <c r="BU937" s="111"/>
      <c r="BV937" s="111"/>
    </row>
    <row r="938" spans="1:74" s="50" customFormat="1" ht="30" hidden="1" customHeight="1">
      <c r="A938" s="111">
        <v>934</v>
      </c>
      <c r="B938" s="4" t="s">
        <v>1875</v>
      </c>
      <c r="C938" s="277" t="s">
        <v>1876</v>
      </c>
      <c r="D938" s="3" t="s">
        <v>21</v>
      </c>
      <c r="E938" s="26"/>
      <c r="F938" s="3"/>
      <c r="G938" s="33">
        <v>1</v>
      </c>
      <c r="H938" s="3">
        <f t="shared" si="42"/>
        <v>0</v>
      </c>
      <c r="I938" s="3">
        <f t="shared" si="43"/>
        <v>0</v>
      </c>
      <c r="J938" s="33">
        <f t="shared" si="44"/>
        <v>1</v>
      </c>
      <c r="K938" s="110"/>
      <c r="L938" s="110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  <c r="AJ938" s="111"/>
      <c r="AK938" s="111"/>
      <c r="AL938" s="111"/>
      <c r="AM938" s="111"/>
      <c r="AN938" s="111"/>
      <c r="AO938" s="111"/>
      <c r="AP938" s="111"/>
      <c r="AQ938" s="111"/>
      <c r="AR938" s="111"/>
      <c r="AS938" s="111"/>
      <c r="AT938" s="111"/>
      <c r="AU938" s="111"/>
      <c r="AV938" s="111"/>
      <c r="AW938" s="111"/>
      <c r="AX938" s="111"/>
      <c r="AY938" s="111"/>
      <c r="AZ938" s="111"/>
      <c r="BA938" s="111"/>
      <c r="BB938" s="111"/>
      <c r="BC938" s="111"/>
      <c r="BD938" s="111"/>
      <c r="BE938" s="111"/>
      <c r="BF938" s="111"/>
      <c r="BG938" s="111"/>
      <c r="BH938" s="111"/>
      <c r="BI938" s="111"/>
      <c r="BJ938" s="111"/>
      <c r="BK938" s="111"/>
      <c r="BL938" s="111"/>
      <c r="BM938" s="111"/>
      <c r="BN938" s="111"/>
      <c r="BO938" s="111"/>
      <c r="BP938" s="111"/>
      <c r="BQ938" s="111"/>
      <c r="BR938" s="111"/>
      <c r="BS938" s="111"/>
      <c r="BT938" s="111"/>
      <c r="BU938" s="111"/>
      <c r="BV938" s="111"/>
    </row>
    <row r="939" spans="1:74" s="50" customFormat="1" ht="15" hidden="1" customHeight="1">
      <c r="A939" s="109">
        <v>935</v>
      </c>
      <c r="B939" s="112" t="s">
        <v>1877</v>
      </c>
      <c r="C939" s="115" t="s">
        <v>1878</v>
      </c>
      <c r="D939" s="26" t="s">
        <v>14</v>
      </c>
      <c r="E939" s="26"/>
      <c r="F939" s="26"/>
      <c r="G939" s="33">
        <v>0</v>
      </c>
      <c r="H939" s="3">
        <f t="shared" si="42"/>
        <v>0</v>
      </c>
      <c r="I939" s="3">
        <f t="shared" si="43"/>
        <v>0</v>
      </c>
      <c r="J939" s="33">
        <f t="shared" si="44"/>
        <v>0</v>
      </c>
      <c r="K939" s="110"/>
      <c r="L939" s="110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/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/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/>
      <c r="BP939" s="111"/>
      <c r="BQ939" s="111"/>
      <c r="BR939" s="111"/>
      <c r="BS939" s="111"/>
      <c r="BT939" s="111"/>
      <c r="BU939" s="111"/>
      <c r="BV939" s="111"/>
    </row>
    <row r="940" spans="1:74" s="50" customFormat="1" ht="15" hidden="1" customHeight="1">
      <c r="A940" s="109">
        <v>936</v>
      </c>
      <c r="B940" s="112" t="s">
        <v>1879</v>
      </c>
      <c r="C940" s="115" t="s">
        <v>1880</v>
      </c>
      <c r="D940" s="26" t="s">
        <v>14</v>
      </c>
      <c r="E940" s="26"/>
      <c r="F940" s="26"/>
      <c r="G940" s="33">
        <v>1</v>
      </c>
      <c r="H940" s="3">
        <f t="shared" si="42"/>
        <v>0</v>
      </c>
      <c r="I940" s="3">
        <f t="shared" si="43"/>
        <v>0</v>
      </c>
      <c r="J940" s="33">
        <f t="shared" si="44"/>
        <v>1</v>
      </c>
      <c r="K940" s="110"/>
      <c r="L940" s="110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  <c r="AJ940" s="111"/>
      <c r="AK940" s="111"/>
      <c r="AL940" s="111"/>
      <c r="AM940" s="111"/>
      <c r="AN940" s="111"/>
      <c r="AO940" s="111"/>
      <c r="AP940" s="111"/>
      <c r="AQ940" s="111"/>
      <c r="AR940" s="111"/>
      <c r="AS940" s="111"/>
      <c r="AT940" s="111"/>
      <c r="AU940" s="111"/>
      <c r="AV940" s="111"/>
      <c r="AW940" s="111"/>
      <c r="AX940" s="111"/>
      <c r="AY940" s="111"/>
      <c r="AZ940" s="111"/>
      <c r="BA940" s="111"/>
      <c r="BB940" s="111"/>
      <c r="BC940" s="111"/>
      <c r="BD940" s="111"/>
      <c r="BE940" s="111"/>
      <c r="BF940" s="111"/>
      <c r="BG940" s="111"/>
      <c r="BH940" s="111"/>
      <c r="BI940" s="111"/>
      <c r="BJ940" s="111"/>
      <c r="BK940" s="111"/>
      <c r="BL940" s="111"/>
      <c r="BM940" s="111"/>
      <c r="BN940" s="111"/>
      <c r="BO940" s="111"/>
      <c r="BP940" s="111"/>
      <c r="BQ940" s="111"/>
      <c r="BR940" s="111"/>
      <c r="BS940" s="111"/>
      <c r="BT940" s="111"/>
      <c r="BU940" s="111"/>
      <c r="BV940" s="111"/>
    </row>
    <row r="941" spans="1:74" s="50" customFormat="1" ht="15" hidden="1" customHeight="1">
      <c r="A941" s="109">
        <v>937</v>
      </c>
      <c r="B941" s="112" t="s">
        <v>1881</v>
      </c>
      <c r="C941" s="115" t="s">
        <v>1882</v>
      </c>
      <c r="D941" s="26" t="s">
        <v>14</v>
      </c>
      <c r="E941" s="26"/>
      <c r="F941" s="26"/>
      <c r="G941" s="33">
        <v>0</v>
      </c>
      <c r="H941" s="3">
        <f t="shared" si="42"/>
        <v>0</v>
      </c>
      <c r="I941" s="3">
        <f t="shared" si="43"/>
        <v>0</v>
      </c>
      <c r="J941" s="33">
        <f t="shared" si="44"/>
        <v>0</v>
      </c>
      <c r="K941" s="110"/>
      <c r="L941" s="110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  <c r="AJ941" s="111"/>
      <c r="AK941" s="111"/>
      <c r="AL941" s="111"/>
      <c r="AM941" s="111"/>
      <c r="AN941" s="111"/>
      <c r="AO941" s="111"/>
      <c r="AP941" s="111"/>
      <c r="AQ941" s="111"/>
      <c r="AR941" s="111"/>
      <c r="AS941" s="111"/>
      <c r="AT941" s="111"/>
      <c r="AU941" s="111"/>
      <c r="AV941" s="111"/>
      <c r="AW941" s="111"/>
      <c r="AX941" s="111"/>
      <c r="AY941" s="111"/>
      <c r="AZ941" s="111"/>
      <c r="BA941" s="111"/>
      <c r="BB941" s="111"/>
      <c r="BC941" s="111"/>
      <c r="BD941" s="111"/>
      <c r="BE941" s="111"/>
      <c r="BF941" s="111"/>
      <c r="BG941" s="111"/>
      <c r="BH941" s="111"/>
      <c r="BI941" s="111"/>
      <c r="BJ941" s="111"/>
      <c r="BK941" s="111"/>
      <c r="BL941" s="111"/>
      <c r="BM941" s="111"/>
      <c r="BN941" s="111"/>
      <c r="BO941" s="111"/>
      <c r="BP941" s="111"/>
      <c r="BQ941" s="111"/>
      <c r="BR941" s="111"/>
      <c r="BS941" s="111"/>
      <c r="BT941" s="111"/>
      <c r="BU941" s="111"/>
      <c r="BV941" s="111"/>
    </row>
    <row r="942" spans="1:74" s="50" customFormat="1" ht="15" hidden="1" customHeight="1">
      <c r="A942" s="109">
        <v>938</v>
      </c>
      <c r="B942" s="112" t="s">
        <v>1883</v>
      </c>
      <c r="C942" s="115" t="s">
        <v>1884</v>
      </c>
      <c r="D942" s="26" t="s">
        <v>14</v>
      </c>
      <c r="E942" s="26"/>
      <c r="F942" s="26"/>
      <c r="G942" s="33">
        <v>1</v>
      </c>
      <c r="H942" s="3">
        <f t="shared" si="42"/>
        <v>0</v>
      </c>
      <c r="I942" s="3">
        <f t="shared" si="43"/>
        <v>0</v>
      </c>
      <c r="J942" s="33">
        <f t="shared" si="44"/>
        <v>1</v>
      </c>
      <c r="K942" s="110"/>
      <c r="L942" s="110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  <c r="AJ942" s="111"/>
      <c r="AK942" s="111"/>
      <c r="AL942" s="111"/>
      <c r="AM942" s="111"/>
      <c r="AN942" s="111"/>
      <c r="AO942" s="111"/>
      <c r="AP942" s="111"/>
      <c r="AQ942" s="111"/>
      <c r="AR942" s="111"/>
      <c r="AS942" s="111"/>
      <c r="AT942" s="111"/>
      <c r="AU942" s="111"/>
      <c r="AV942" s="111"/>
      <c r="AW942" s="111"/>
      <c r="AX942" s="111"/>
      <c r="AY942" s="111"/>
      <c r="AZ942" s="111"/>
      <c r="BA942" s="111"/>
      <c r="BB942" s="111"/>
      <c r="BC942" s="111"/>
      <c r="BD942" s="111"/>
      <c r="BE942" s="111"/>
      <c r="BF942" s="111"/>
      <c r="BG942" s="111"/>
      <c r="BH942" s="111"/>
      <c r="BI942" s="111"/>
      <c r="BJ942" s="111"/>
      <c r="BK942" s="111"/>
      <c r="BL942" s="111"/>
      <c r="BM942" s="111"/>
      <c r="BN942" s="111"/>
      <c r="BO942" s="111"/>
      <c r="BP942" s="111"/>
      <c r="BQ942" s="111"/>
      <c r="BR942" s="111"/>
      <c r="BS942" s="111"/>
      <c r="BT942" s="111"/>
      <c r="BU942" s="111"/>
      <c r="BV942" s="111"/>
    </row>
    <row r="943" spans="1:74" s="50" customFormat="1" ht="15" hidden="1" customHeight="1">
      <c r="A943" s="109">
        <v>939</v>
      </c>
      <c r="B943" s="112" t="s">
        <v>1885</v>
      </c>
      <c r="C943" s="115" t="s">
        <v>1886</v>
      </c>
      <c r="D943" s="26" t="s">
        <v>14</v>
      </c>
      <c r="E943" s="26"/>
      <c r="F943" s="26"/>
      <c r="G943" s="33">
        <v>2</v>
      </c>
      <c r="H943" s="3">
        <f t="shared" si="42"/>
        <v>0</v>
      </c>
      <c r="I943" s="3">
        <f t="shared" si="43"/>
        <v>0</v>
      </c>
      <c r="J943" s="33">
        <f t="shared" si="44"/>
        <v>2</v>
      </c>
      <c r="K943" s="110"/>
      <c r="L943" s="110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  <c r="AJ943" s="111"/>
      <c r="AK943" s="111"/>
      <c r="AL943" s="111"/>
      <c r="AM943" s="111"/>
      <c r="AN943" s="111"/>
      <c r="AO943" s="111"/>
      <c r="AP943" s="111"/>
      <c r="AQ943" s="111"/>
      <c r="AR943" s="111"/>
      <c r="AS943" s="111"/>
      <c r="AT943" s="111"/>
      <c r="AU943" s="111"/>
      <c r="AV943" s="111"/>
      <c r="AW943" s="111"/>
      <c r="AX943" s="111"/>
      <c r="AY943" s="111"/>
      <c r="AZ943" s="111"/>
      <c r="BA943" s="111"/>
      <c r="BB943" s="111"/>
      <c r="BC943" s="111"/>
      <c r="BD943" s="111"/>
      <c r="BE943" s="111"/>
      <c r="BF943" s="111"/>
      <c r="BG943" s="111"/>
      <c r="BH943" s="111"/>
      <c r="BI943" s="111"/>
      <c r="BJ943" s="111"/>
      <c r="BK943" s="111"/>
      <c r="BL943" s="111"/>
      <c r="BM943" s="111"/>
      <c r="BN943" s="111"/>
      <c r="BO943" s="111"/>
      <c r="BP943" s="111"/>
      <c r="BQ943" s="111"/>
      <c r="BR943" s="111"/>
      <c r="BS943" s="111"/>
      <c r="BT943" s="111"/>
      <c r="BU943" s="111"/>
      <c r="BV943" s="111"/>
    </row>
    <row r="944" spans="1:74" s="50" customFormat="1" ht="15" hidden="1" customHeight="1">
      <c r="A944" s="109">
        <v>940</v>
      </c>
      <c r="B944" s="112" t="s">
        <v>1887</v>
      </c>
      <c r="C944" s="115" t="s">
        <v>1888</v>
      </c>
      <c r="D944" s="26" t="s">
        <v>14</v>
      </c>
      <c r="E944" s="26"/>
      <c r="F944" s="26"/>
      <c r="G944" s="33">
        <v>1</v>
      </c>
      <c r="H944" s="3">
        <f t="shared" si="42"/>
        <v>0</v>
      </c>
      <c r="I944" s="3">
        <f t="shared" si="43"/>
        <v>0</v>
      </c>
      <c r="J944" s="33">
        <f t="shared" si="44"/>
        <v>1</v>
      </c>
      <c r="K944" s="110"/>
      <c r="L944" s="110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  <c r="AJ944" s="111"/>
      <c r="AK944" s="111"/>
      <c r="AL944" s="111"/>
      <c r="AM944" s="111"/>
      <c r="AN944" s="111"/>
      <c r="AO944" s="111"/>
      <c r="AP944" s="111"/>
      <c r="AQ944" s="111"/>
      <c r="AR944" s="111"/>
      <c r="AS944" s="111"/>
      <c r="AT944" s="111"/>
      <c r="AU944" s="111"/>
      <c r="AV944" s="111"/>
      <c r="AW944" s="111"/>
      <c r="AX944" s="111"/>
      <c r="AY944" s="111"/>
      <c r="AZ944" s="111"/>
      <c r="BA944" s="111"/>
      <c r="BB944" s="111"/>
      <c r="BC944" s="111"/>
      <c r="BD944" s="111"/>
      <c r="BE944" s="111"/>
      <c r="BF944" s="111"/>
      <c r="BG944" s="111"/>
      <c r="BH944" s="111"/>
      <c r="BI944" s="111"/>
      <c r="BJ944" s="111"/>
      <c r="BK944" s="111"/>
      <c r="BL944" s="111"/>
      <c r="BM944" s="111"/>
      <c r="BN944" s="111"/>
      <c r="BO944" s="111"/>
      <c r="BP944" s="111"/>
      <c r="BQ944" s="111"/>
      <c r="BR944" s="111"/>
      <c r="BS944" s="111"/>
      <c r="BT944" s="111"/>
      <c r="BU944" s="111"/>
      <c r="BV944" s="111"/>
    </row>
    <row r="945" spans="1:74" s="50" customFormat="1" ht="15" hidden="1" customHeight="1">
      <c r="A945" s="109">
        <v>941</v>
      </c>
      <c r="B945" s="112" t="s">
        <v>1889</v>
      </c>
      <c r="C945" s="115" t="s">
        <v>1890</v>
      </c>
      <c r="D945" s="26" t="s">
        <v>14</v>
      </c>
      <c r="E945" s="26"/>
      <c r="F945" s="26"/>
      <c r="G945" s="30">
        <v>1</v>
      </c>
      <c r="H945" s="26">
        <f t="shared" si="42"/>
        <v>0</v>
      </c>
      <c r="I945" s="26">
        <f t="shared" si="43"/>
        <v>0</v>
      </c>
      <c r="J945" s="30">
        <f t="shared" si="44"/>
        <v>1</v>
      </c>
      <c r="K945" s="30"/>
      <c r="L945" s="30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111"/>
      <c r="Z945" s="3"/>
      <c r="AA945" s="3"/>
      <c r="AB945" s="3"/>
      <c r="AC945" s="111"/>
      <c r="AD945" s="3"/>
      <c r="AE945" s="3"/>
      <c r="AF945" s="3"/>
      <c r="AG945" s="3"/>
      <c r="AH945" s="3"/>
      <c r="AI945" s="3"/>
      <c r="AJ945" s="3"/>
      <c r="AK945" s="3"/>
      <c r="AL945" s="111"/>
      <c r="AM945" s="3"/>
      <c r="AN945" s="3"/>
      <c r="AO945" s="3"/>
      <c r="AP945" s="3"/>
      <c r="AQ945" s="111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111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</row>
    <row r="946" spans="1:74" s="50" customFormat="1" ht="15" hidden="1" customHeight="1">
      <c r="A946" s="142">
        <v>942</v>
      </c>
      <c r="B946" s="252" t="s">
        <v>1891</v>
      </c>
      <c r="C946" s="253" t="s">
        <v>1892</v>
      </c>
      <c r="D946" s="143" t="s">
        <v>21</v>
      </c>
      <c r="E946" s="26"/>
      <c r="F946" s="26"/>
      <c r="G946" s="33">
        <v>98</v>
      </c>
      <c r="H946" s="3">
        <f t="shared" si="42"/>
        <v>25</v>
      </c>
      <c r="I946" s="3">
        <f t="shared" si="43"/>
        <v>24</v>
      </c>
      <c r="J946" s="33">
        <f t="shared" si="44"/>
        <v>99</v>
      </c>
      <c r="K946" s="33"/>
      <c r="L946" s="33"/>
      <c r="M946" s="3"/>
      <c r="N946" s="3"/>
      <c r="O946" s="3"/>
      <c r="P946" s="3"/>
      <c r="Q946" s="3"/>
      <c r="R946" s="3"/>
      <c r="S946" s="3"/>
      <c r="T946" s="3"/>
      <c r="U946" s="3"/>
      <c r="V946" s="111"/>
      <c r="W946" s="3"/>
      <c r="X946" s="111"/>
      <c r="Y946" s="3"/>
      <c r="Z946" s="111">
        <v>24</v>
      </c>
      <c r="AA946" s="3"/>
      <c r="AB946" s="3"/>
      <c r="AC946" s="3"/>
      <c r="AD946" s="3"/>
      <c r="AE946" s="3">
        <v>25</v>
      </c>
      <c r="AF946" s="111"/>
      <c r="AG946" s="111"/>
      <c r="AH946" s="3"/>
      <c r="AI946" s="3"/>
      <c r="AJ946" s="3"/>
      <c r="AK946" s="3"/>
      <c r="AL946" s="111"/>
      <c r="AM946" s="3"/>
      <c r="AN946" s="3"/>
      <c r="AO946" s="3"/>
      <c r="AP946" s="111"/>
      <c r="AQ946" s="3"/>
      <c r="AR946" s="3"/>
      <c r="AS946" s="3"/>
      <c r="AT946" s="111"/>
      <c r="AU946" s="3"/>
      <c r="AV946" s="3"/>
      <c r="AW946" s="3"/>
      <c r="AX946" s="3"/>
      <c r="AY946" s="3"/>
      <c r="AZ946" s="111"/>
      <c r="BA946" s="3"/>
      <c r="BB946" s="111"/>
      <c r="BC946" s="3"/>
      <c r="BD946" s="3"/>
      <c r="BE946" s="3"/>
      <c r="BF946" s="3"/>
      <c r="BG946" s="3"/>
      <c r="BH946" s="111"/>
      <c r="BI946" s="3"/>
      <c r="BJ946" s="3"/>
      <c r="BK946" s="3"/>
      <c r="BL946" s="111"/>
      <c r="BM946" s="3"/>
      <c r="BN946" s="3"/>
      <c r="BO946" s="3"/>
      <c r="BP946" s="111"/>
      <c r="BQ946" s="3"/>
      <c r="BR946" s="3"/>
      <c r="BS946" s="3"/>
      <c r="BT946" s="3"/>
      <c r="BU946" s="3"/>
      <c r="BV946" s="3"/>
    </row>
    <row r="947" spans="1:74" s="50" customFormat="1" ht="15" hidden="1" customHeight="1">
      <c r="A947" s="109">
        <v>943</v>
      </c>
      <c r="B947" s="112" t="s">
        <v>1893</v>
      </c>
      <c r="C947" s="115" t="s">
        <v>1894</v>
      </c>
      <c r="D947" s="26" t="s">
        <v>21</v>
      </c>
      <c r="E947" s="26"/>
      <c r="F947" s="26"/>
      <c r="G947" s="33">
        <v>219</v>
      </c>
      <c r="H947" s="3">
        <f t="shared" si="42"/>
        <v>0</v>
      </c>
      <c r="I947" s="3">
        <f t="shared" si="43"/>
        <v>0</v>
      </c>
      <c r="J947" s="33">
        <f t="shared" si="44"/>
        <v>219</v>
      </c>
      <c r="K947" s="33"/>
      <c r="L947" s="3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111"/>
      <c r="BF947" s="3"/>
      <c r="BG947" s="3"/>
      <c r="BH947" s="111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</row>
    <row r="948" spans="1:74" s="50" customFormat="1" ht="15" hidden="1" customHeight="1">
      <c r="A948" s="109">
        <v>944</v>
      </c>
      <c r="B948" s="112" t="s">
        <v>1895</v>
      </c>
      <c r="C948" s="115" t="s">
        <v>1896</v>
      </c>
      <c r="D948" s="26" t="s">
        <v>21</v>
      </c>
      <c r="E948" s="26"/>
      <c r="F948" s="26"/>
      <c r="G948" s="33">
        <v>1</v>
      </c>
      <c r="H948" s="3">
        <f t="shared" si="42"/>
        <v>0</v>
      </c>
      <c r="I948" s="3">
        <f t="shared" si="43"/>
        <v>0</v>
      </c>
      <c r="J948" s="33">
        <f t="shared" si="44"/>
        <v>1</v>
      </c>
      <c r="K948" s="33"/>
      <c r="L948" s="33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11"/>
      <c r="BF948" s="10"/>
      <c r="BG948" s="10"/>
      <c r="BH948" s="111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96"/>
      <c r="BV948" s="96"/>
    </row>
    <row r="949" spans="1:74" s="50" customFormat="1" ht="15" hidden="1" customHeight="1">
      <c r="A949" s="109">
        <v>945</v>
      </c>
      <c r="B949" s="112" t="s">
        <v>1897</v>
      </c>
      <c r="C949" s="115" t="s">
        <v>1898</v>
      </c>
      <c r="D949" s="26" t="s">
        <v>14</v>
      </c>
      <c r="E949" s="26"/>
      <c r="F949" s="26"/>
      <c r="G949" s="33">
        <v>1</v>
      </c>
      <c r="H949" s="3">
        <f t="shared" si="42"/>
        <v>0</v>
      </c>
      <c r="I949" s="3">
        <f t="shared" si="43"/>
        <v>0</v>
      </c>
      <c r="J949" s="33">
        <f t="shared" si="44"/>
        <v>1</v>
      </c>
      <c r="K949" s="33"/>
      <c r="L949" s="33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11"/>
      <c r="BF949" s="10"/>
      <c r="BG949" s="10"/>
      <c r="BH949" s="111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96"/>
      <c r="BV949" s="96"/>
    </row>
    <row r="950" spans="1:74" s="50" customFormat="1" ht="15" hidden="1" customHeight="1">
      <c r="A950" s="109">
        <v>946</v>
      </c>
      <c r="B950" s="112" t="s">
        <v>1899</v>
      </c>
      <c r="C950" s="115" t="s">
        <v>1900</v>
      </c>
      <c r="D950" s="26" t="s">
        <v>14</v>
      </c>
      <c r="E950" s="26"/>
      <c r="F950" s="26"/>
      <c r="G950" s="33">
        <v>0</v>
      </c>
      <c r="H950" s="3">
        <f t="shared" si="42"/>
        <v>0</v>
      </c>
      <c r="I950" s="3">
        <f t="shared" si="43"/>
        <v>0</v>
      </c>
      <c r="J950" s="33">
        <f t="shared" si="44"/>
        <v>0</v>
      </c>
      <c r="K950" s="33"/>
      <c r="L950" s="33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11"/>
      <c r="AM950" s="111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11"/>
      <c r="BF950" s="10"/>
      <c r="BG950" s="10"/>
      <c r="BH950" s="111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</row>
    <row r="951" spans="1:74" s="50" customFormat="1" ht="15" hidden="1" customHeight="1">
      <c r="A951" s="109">
        <v>947</v>
      </c>
      <c r="B951" s="112" t="s">
        <v>1901</v>
      </c>
      <c r="C951" s="115" t="s">
        <v>1902</v>
      </c>
      <c r="D951" s="26" t="s">
        <v>21</v>
      </c>
      <c r="E951" s="26"/>
      <c r="F951" s="26"/>
      <c r="G951" s="33">
        <v>4</v>
      </c>
      <c r="H951" s="3">
        <f t="shared" ref="H951:H1014" si="45">SUM(M951+O951+Q951+S951+U951+W951+Y951+AA951+AC951+AE951+AG951+AI951+AK951+AM951+AO951+AQ951+AS951+AU951+AW951+AY951+BA951+BC951+BE951+BG951+BI951+BK951+BM951+BO951+BQ951+BS951+BU951)</f>
        <v>0</v>
      </c>
      <c r="I951" s="3">
        <f t="shared" ref="I951:I1014" si="46">SUM(N951+P951+R951+T951+V951+X951+Z951+AB951+AD951+AF951+AH951+AJ951+AL951+AN951+AP951+AR951+AT951+AV951+AX951+AZ951+BB951+BD951+BF951+BH951+BJ951+BL951+BN951+BP951+BR951+BT951+BV951)</f>
        <v>0</v>
      </c>
      <c r="J951" s="33">
        <f t="shared" ref="J951:J1014" si="47">G951+H951-I951</f>
        <v>4</v>
      </c>
      <c r="K951" s="33"/>
      <c r="L951" s="33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11"/>
      <c r="AM951" s="111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11"/>
      <c r="BF951" s="10"/>
      <c r="BG951" s="10"/>
      <c r="BH951" s="111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</row>
    <row r="952" spans="1:74" s="50" customFormat="1" ht="15" hidden="1" customHeight="1">
      <c r="A952" s="109">
        <v>948</v>
      </c>
      <c r="B952" s="112" t="s">
        <v>1903</v>
      </c>
      <c r="C952" s="115" t="s">
        <v>1904</v>
      </c>
      <c r="D952" s="26" t="s">
        <v>21</v>
      </c>
      <c r="E952" s="26"/>
      <c r="F952" s="26"/>
      <c r="G952" s="33">
        <v>2</v>
      </c>
      <c r="H952" s="3">
        <f t="shared" si="45"/>
        <v>0</v>
      </c>
      <c r="I952" s="3">
        <f t="shared" si="46"/>
        <v>0</v>
      </c>
      <c r="J952" s="33">
        <f t="shared" si="47"/>
        <v>2</v>
      </c>
      <c r="K952" s="33"/>
      <c r="L952" s="33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11"/>
      <c r="AM952" s="111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11"/>
      <c r="BF952" s="10"/>
      <c r="BG952" s="10"/>
      <c r="BH952" s="111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</row>
    <row r="953" spans="1:74" s="50" customFormat="1" ht="15" hidden="1" customHeight="1">
      <c r="A953" s="142">
        <v>949</v>
      </c>
      <c r="B953" s="252" t="s">
        <v>1905</v>
      </c>
      <c r="C953" s="253" t="s">
        <v>1906</v>
      </c>
      <c r="D953" s="143" t="s">
        <v>21</v>
      </c>
      <c r="E953" s="26"/>
      <c r="F953" s="3"/>
      <c r="G953" s="33">
        <v>2</v>
      </c>
      <c r="H953" s="3">
        <f t="shared" si="45"/>
        <v>0</v>
      </c>
      <c r="I953" s="3">
        <f t="shared" si="46"/>
        <v>0</v>
      </c>
      <c r="J953" s="33">
        <f t="shared" si="47"/>
        <v>2</v>
      </c>
      <c r="K953" s="33"/>
      <c r="L953" s="33"/>
      <c r="M953" s="10"/>
      <c r="N953" s="10"/>
      <c r="O953" s="111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11"/>
      <c r="AG953" s="10"/>
      <c r="AH953" s="111"/>
      <c r="AI953" s="10"/>
      <c r="AJ953" s="111"/>
      <c r="AK953" s="10"/>
      <c r="AL953" s="111"/>
      <c r="AM953" s="10"/>
      <c r="AN953" s="10"/>
      <c r="AO953" s="10"/>
      <c r="AP953" s="10"/>
      <c r="AQ953" s="10"/>
      <c r="AR953" s="10"/>
      <c r="AS953" s="10"/>
      <c r="AT953" s="111"/>
      <c r="AU953" s="10"/>
      <c r="AV953" s="111"/>
      <c r="AW953" s="10"/>
      <c r="AX953" s="10"/>
      <c r="AY953" s="10"/>
      <c r="AZ953" s="10"/>
      <c r="BA953" s="10"/>
      <c r="BB953" s="10"/>
      <c r="BC953" s="10"/>
      <c r="BD953" s="10"/>
      <c r="BE953" s="111"/>
      <c r="BF953" s="10"/>
      <c r="BG953" s="10"/>
      <c r="BH953" s="111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</row>
    <row r="954" spans="1:74" s="50" customFormat="1" ht="15" hidden="1" customHeight="1">
      <c r="A954" s="111">
        <v>950</v>
      </c>
      <c r="B954" s="4" t="s">
        <v>1907</v>
      </c>
      <c r="C954" s="19" t="s">
        <v>1908</v>
      </c>
      <c r="D954" s="3" t="s">
        <v>14</v>
      </c>
      <c r="E954" s="26"/>
      <c r="F954" s="3"/>
      <c r="G954" s="33">
        <v>1</v>
      </c>
      <c r="H954" s="3">
        <f t="shared" si="45"/>
        <v>0</v>
      </c>
      <c r="I954" s="3">
        <f t="shared" si="46"/>
        <v>0</v>
      </c>
      <c r="J954" s="33">
        <f t="shared" si="47"/>
        <v>1</v>
      </c>
      <c r="K954" s="33"/>
      <c r="L954" s="33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11"/>
      <c r="AG954" s="10"/>
      <c r="AH954" s="111"/>
      <c r="AI954" s="10"/>
      <c r="AJ954" s="111"/>
      <c r="AK954" s="10"/>
      <c r="AL954" s="111"/>
      <c r="AM954" s="10"/>
      <c r="AN954" s="10"/>
      <c r="AO954" s="10"/>
      <c r="AP954" s="10"/>
      <c r="AQ954" s="10"/>
      <c r="AR954" s="10"/>
      <c r="AS954" s="10"/>
      <c r="AT954" s="111"/>
      <c r="AU954" s="10"/>
      <c r="AV954" s="111"/>
      <c r="AW954" s="10"/>
      <c r="AX954" s="10"/>
      <c r="AY954" s="10"/>
      <c r="AZ954" s="10"/>
      <c r="BA954" s="10"/>
      <c r="BB954" s="10"/>
      <c r="BC954" s="10"/>
      <c r="BD954" s="10"/>
      <c r="BE954" s="111"/>
      <c r="BF954" s="10"/>
      <c r="BG954" s="10"/>
      <c r="BH954" s="111"/>
      <c r="BI954" s="10"/>
      <c r="BJ954" s="10"/>
      <c r="BK954" s="10"/>
      <c r="BL954" s="10"/>
      <c r="BM954" s="10"/>
      <c r="BN954" s="10"/>
      <c r="BO954" s="111"/>
      <c r="BP954" s="10"/>
      <c r="BQ954" s="10"/>
      <c r="BR954" s="10"/>
      <c r="BS954" s="10"/>
      <c r="BT954" s="10"/>
      <c r="BU954" s="10"/>
      <c r="BV954" s="10"/>
    </row>
    <row r="955" spans="1:74" s="50" customFormat="1" ht="30" hidden="1" customHeight="1">
      <c r="A955" s="111">
        <v>951</v>
      </c>
      <c r="B955" s="9" t="s">
        <v>1909</v>
      </c>
      <c r="C955" s="271" t="s">
        <v>1910</v>
      </c>
      <c r="D955" s="3" t="s">
        <v>14</v>
      </c>
      <c r="E955" s="26"/>
      <c r="F955" s="3"/>
      <c r="G955" s="33">
        <v>3</v>
      </c>
      <c r="H955" s="3">
        <f t="shared" si="45"/>
        <v>0</v>
      </c>
      <c r="I955" s="3">
        <f t="shared" si="46"/>
        <v>0</v>
      </c>
      <c r="J955" s="33">
        <f t="shared" si="47"/>
        <v>3</v>
      </c>
      <c r="K955" s="33"/>
      <c r="L955" s="33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</row>
    <row r="956" spans="1:74" s="50" customFormat="1" ht="15" hidden="1" customHeight="1">
      <c r="A956" s="109">
        <v>952</v>
      </c>
      <c r="B956" s="116" t="s">
        <v>1911</v>
      </c>
      <c r="C956" s="129" t="s">
        <v>1912</v>
      </c>
      <c r="D956" s="26" t="s">
        <v>14</v>
      </c>
      <c r="E956" s="26"/>
      <c r="F956" s="26"/>
      <c r="G956" s="33">
        <v>19</v>
      </c>
      <c r="H956" s="3">
        <f t="shared" si="45"/>
        <v>0</v>
      </c>
      <c r="I956" s="3">
        <f t="shared" si="46"/>
        <v>0</v>
      </c>
      <c r="J956" s="33">
        <f t="shared" si="47"/>
        <v>19</v>
      </c>
      <c r="K956" s="33"/>
      <c r="L956" s="33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</row>
    <row r="957" spans="1:74" s="50" customFormat="1" ht="15" hidden="1" customHeight="1">
      <c r="A957" s="109">
        <v>953</v>
      </c>
      <c r="B957" s="112" t="s">
        <v>1913</v>
      </c>
      <c r="C957" s="149" t="s">
        <v>1914</v>
      </c>
      <c r="D957" s="26" t="s">
        <v>14</v>
      </c>
      <c r="E957" s="26"/>
      <c r="F957" s="26"/>
      <c r="G957" s="33">
        <v>2</v>
      </c>
      <c r="H957" s="3">
        <f t="shared" si="45"/>
        <v>0</v>
      </c>
      <c r="I957" s="3">
        <f t="shared" si="46"/>
        <v>0</v>
      </c>
      <c r="J957" s="33">
        <f t="shared" si="47"/>
        <v>2</v>
      </c>
      <c r="K957" s="33"/>
      <c r="L957" s="33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11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</row>
    <row r="958" spans="1:74" s="50" customFormat="1" ht="15" hidden="1" customHeight="1">
      <c r="A958" s="109">
        <v>954</v>
      </c>
      <c r="B958" s="112" t="s">
        <v>1915</v>
      </c>
      <c r="C958" s="115" t="s">
        <v>1916</v>
      </c>
      <c r="D958" s="26" t="s">
        <v>14</v>
      </c>
      <c r="E958" s="26"/>
      <c r="F958" s="26"/>
      <c r="G958" s="33">
        <v>1</v>
      </c>
      <c r="H958" s="3">
        <f t="shared" si="45"/>
        <v>0</v>
      </c>
      <c r="I958" s="3">
        <f t="shared" si="46"/>
        <v>0</v>
      </c>
      <c r="J958" s="33">
        <f t="shared" si="47"/>
        <v>1</v>
      </c>
      <c r="K958" s="33"/>
      <c r="L958" s="33"/>
      <c r="M958" s="10"/>
      <c r="N958" s="10"/>
      <c r="O958" s="10"/>
      <c r="P958" s="10"/>
      <c r="Q958" s="10"/>
      <c r="R958" s="10"/>
      <c r="S958" s="111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</row>
    <row r="959" spans="1:74" s="50" customFormat="1" ht="15" hidden="1" customHeight="1">
      <c r="A959" s="109">
        <v>955</v>
      </c>
      <c r="B959" s="112" t="s">
        <v>1917</v>
      </c>
      <c r="C959" s="115" t="s">
        <v>1918</v>
      </c>
      <c r="D959" s="26" t="s">
        <v>21</v>
      </c>
      <c r="E959" s="26"/>
      <c r="F959" s="26"/>
      <c r="G959" s="33">
        <v>1</v>
      </c>
      <c r="H959" s="3">
        <f t="shared" si="45"/>
        <v>0</v>
      </c>
      <c r="I959" s="3">
        <f t="shared" si="46"/>
        <v>0</v>
      </c>
      <c r="J959" s="33">
        <f t="shared" si="47"/>
        <v>1</v>
      </c>
      <c r="K959" s="33"/>
      <c r="L959" s="33"/>
      <c r="M959" s="10"/>
      <c r="N959" s="10"/>
      <c r="O959" s="10"/>
      <c r="P959" s="10"/>
      <c r="Q959" s="10"/>
      <c r="R959" s="10"/>
      <c r="S959" s="111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</row>
    <row r="960" spans="1:74" s="50" customFormat="1" ht="15" hidden="1" customHeight="1">
      <c r="A960" s="109">
        <v>956</v>
      </c>
      <c r="B960" s="112" t="s">
        <v>1919</v>
      </c>
      <c r="C960" s="115" t="s">
        <v>1920</v>
      </c>
      <c r="D960" s="26" t="s">
        <v>21</v>
      </c>
      <c r="E960" s="26"/>
      <c r="F960" s="26"/>
      <c r="G960" s="33">
        <v>1</v>
      </c>
      <c r="H960" s="3">
        <f t="shared" si="45"/>
        <v>0</v>
      </c>
      <c r="I960" s="3">
        <f t="shared" si="46"/>
        <v>0</v>
      </c>
      <c r="J960" s="33">
        <f t="shared" si="47"/>
        <v>1</v>
      </c>
      <c r="K960" s="33"/>
      <c r="L960" s="33"/>
      <c r="M960" s="10"/>
      <c r="N960" s="10"/>
      <c r="O960" s="10"/>
      <c r="P960" s="10"/>
      <c r="Q960" s="10"/>
      <c r="R960" s="10"/>
      <c r="S960" s="111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11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</row>
    <row r="961" spans="1:74" s="50" customFormat="1" ht="15" hidden="1" customHeight="1">
      <c r="A961" s="109">
        <v>957</v>
      </c>
      <c r="B961" s="112" t="s">
        <v>1921</v>
      </c>
      <c r="C961" s="115" t="s">
        <v>1922</v>
      </c>
      <c r="D961" s="26" t="s">
        <v>21</v>
      </c>
      <c r="E961" s="26"/>
      <c r="F961" s="26"/>
      <c r="G961" s="33">
        <v>1</v>
      </c>
      <c r="H961" s="3">
        <f t="shared" si="45"/>
        <v>0</v>
      </c>
      <c r="I961" s="3">
        <f t="shared" si="46"/>
        <v>0</v>
      </c>
      <c r="J961" s="33">
        <f t="shared" si="47"/>
        <v>1</v>
      </c>
      <c r="K961" s="33"/>
      <c r="L961" s="33"/>
      <c r="M961" s="10"/>
      <c r="N961" s="10"/>
      <c r="O961" s="10"/>
      <c r="P961" s="10"/>
      <c r="Q961" s="10"/>
      <c r="R961" s="10"/>
      <c r="S961" s="111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11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</row>
    <row r="962" spans="1:74" s="50" customFormat="1" ht="15" hidden="1" customHeight="1">
      <c r="A962" s="109">
        <v>958</v>
      </c>
      <c r="B962" s="112" t="s">
        <v>1923</v>
      </c>
      <c r="C962" s="115" t="s">
        <v>1924</v>
      </c>
      <c r="D962" s="26" t="s">
        <v>21</v>
      </c>
      <c r="E962" s="26"/>
      <c r="F962" s="26"/>
      <c r="G962" s="33">
        <v>1</v>
      </c>
      <c r="H962" s="3">
        <f t="shared" si="45"/>
        <v>0</v>
      </c>
      <c r="I962" s="3">
        <f t="shared" si="46"/>
        <v>0</v>
      </c>
      <c r="J962" s="33">
        <f t="shared" si="47"/>
        <v>1</v>
      </c>
      <c r="K962" s="33"/>
      <c r="L962" s="33"/>
      <c r="M962" s="10"/>
      <c r="N962" s="10"/>
      <c r="O962" s="10"/>
      <c r="P962" s="111"/>
      <c r="Q962" s="10"/>
      <c r="R962" s="10"/>
      <c r="S962" s="111"/>
      <c r="T962" s="111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11"/>
      <c r="BG962" s="10"/>
      <c r="BH962" s="10"/>
      <c r="BI962" s="10"/>
      <c r="BJ962" s="111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</row>
    <row r="963" spans="1:74" s="50" customFormat="1" ht="15" hidden="1" customHeight="1">
      <c r="A963" s="109">
        <v>959</v>
      </c>
      <c r="B963" s="112" t="s">
        <v>1925</v>
      </c>
      <c r="C963" s="115" t="s">
        <v>1926</v>
      </c>
      <c r="D963" s="26" t="s">
        <v>21</v>
      </c>
      <c r="E963" s="26"/>
      <c r="F963" s="26"/>
      <c r="G963" s="33">
        <v>3</v>
      </c>
      <c r="H963" s="3">
        <f t="shared" si="45"/>
        <v>0</v>
      </c>
      <c r="I963" s="3">
        <f t="shared" si="46"/>
        <v>0</v>
      </c>
      <c r="J963" s="33">
        <f t="shared" si="47"/>
        <v>3</v>
      </c>
      <c r="K963" s="33"/>
      <c r="L963" s="33"/>
      <c r="M963" s="10"/>
      <c r="N963" s="10"/>
      <c r="O963" s="10"/>
      <c r="P963" s="111"/>
      <c r="Q963" s="10"/>
      <c r="R963" s="10"/>
      <c r="S963" s="111"/>
      <c r="T963" s="111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11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11"/>
      <c r="BG963" s="10"/>
      <c r="BH963" s="10"/>
      <c r="BI963" s="10"/>
      <c r="BJ963" s="111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</row>
    <row r="964" spans="1:74" s="50" customFormat="1" ht="15" hidden="1" customHeight="1">
      <c r="A964" s="109">
        <v>960</v>
      </c>
      <c r="B964" s="112" t="s">
        <v>1927</v>
      </c>
      <c r="C964" s="115" t="s">
        <v>1928</v>
      </c>
      <c r="D964" s="26" t="s">
        <v>21</v>
      </c>
      <c r="E964" s="26"/>
      <c r="F964" s="26"/>
      <c r="G964" s="33">
        <v>0</v>
      </c>
      <c r="H964" s="3">
        <f t="shared" si="45"/>
        <v>0</v>
      </c>
      <c r="I964" s="3">
        <f t="shared" si="46"/>
        <v>0</v>
      </c>
      <c r="J964" s="33">
        <f t="shared" si="47"/>
        <v>0</v>
      </c>
      <c r="K964" s="33"/>
      <c r="L964" s="33"/>
      <c r="M964" s="10"/>
      <c r="N964" s="10"/>
      <c r="O964" s="10"/>
      <c r="P964" s="111"/>
      <c r="Q964" s="10"/>
      <c r="R964" s="10"/>
      <c r="S964" s="111"/>
      <c r="T964" s="111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11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</row>
    <row r="965" spans="1:74" s="50" customFormat="1" ht="15" hidden="1" customHeight="1">
      <c r="A965" s="109">
        <v>961</v>
      </c>
      <c r="B965" s="112" t="s">
        <v>1929</v>
      </c>
      <c r="C965" s="115" t="s">
        <v>1930</v>
      </c>
      <c r="D965" s="26" t="s">
        <v>21</v>
      </c>
      <c r="E965" s="26"/>
      <c r="F965" s="26"/>
      <c r="G965" s="33">
        <v>3</v>
      </c>
      <c r="H965" s="3">
        <f t="shared" si="45"/>
        <v>0</v>
      </c>
      <c r="I965" s="3">
        <f t="shared" si="46"/>
        <v>0</v>
      </c>
      <c r="J965" s="33">
        <f t="shared" si="47"/>
        <v>3</v>
      </c>
      <c r="K965" s="33"/>
      <c r="L965" s="33"/>
      <c r="M965" s="10"/>
      <c r="N965" s="10"/>
      <c r="O965" s="10"/>
      <c r="P965" s="111"/>
      <c r="Q965" s="10"/>
      <c r="R965" s="10"/>
      <c r="S965" s="111"/>
      <c r="T965" s="111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11"/>
      <c r="BG965" s="10"/>
      <c r="BH965" s="10"/>
      <c r="BI965" s="10"/>
      <c r="BJ965" s="111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</row>
    <row r="966" spans="1:74" s="50" customFormat="1" ht="15" hidden="1" customHeight="1">
      <c r="A966" s="109">
        <v>962</v>
      </c>
      <c r="B966" s="112" t="s">
        <v>1931</v>
      </c>
      <c r="C966" s="115" t="s">
        <v>1932</v>
      </c>
      <c r="D966" s="26" t="s">
        <v>14</v>
      </c>
      <c r="E966" s="26"/>
      <c r="F966" s="26"/>
      <c r="G966" s="33">
        <v>0</v>
      </c>
      <c r="H966" s="3">
        <f t="shared" si="45"/>
        <v>0</v>
      </c>
      <c r="I966" s="3">
        <f t="shared" si="46"/>
        <v>0</v>
      </c>
      <c r="J966" s="33">
        <f t="shared" si="47"/>
        <v>0</v>
      </c>
      <c r="K966" s="33"/>
      <c r="L966" s="33"/>
      <c r="M966" s="10"/>
      <c r="N966" s="10"/>
      <c r="O966" s="10"/>
      <c r="P966" s="10"/>
      <c r="Q966" s="10"/>
      <c r="R966" s="10"/>
      <c r="S966" s="111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</row>
    <row r="967" spans="1:74" s="50" customFormat="1" ht="15" hidden="1" customHeight="1">
      <c r="A967" s="109">
        <v>963</v>
      </c>
      <c r="B967" s="112" t="s">
        <v>1933</v>
      </c>
      <c r="C967" s="115" t="s">
        <v>1934</v>
      </c>
      <c r="D967" s="26" t="s">
        <v>21</v>
      </c>
      <c r="E967" s="26"/>
      <c r="F967" s="26"/>
      <c r="G967" s="33">
        <v>0</v>
      </c>
      <c r="H967" s="3">
        <f t="shared" si="45"/>
        <v>0</v>
      </c>
      <c r="I967" s="3">
        <f t="shared" si="46"/>
        <v>0</v>
      </c>
      <c r="J967" s="33">
        <f t="shared" si="47"/>
        <v>0</v>
      </c>
      <c r="K967" s="33"/>
      <c r="L967" s="33"/>
      <c r="M967" s="10"/>
      <c r="N967" s="10"/>
      <c r="O967" s="10"/>
      <c r="P967" s="10"/>
      <c r="Q967" s="10"/>
      <c r="R967" s="10"/>
      <c r="S967" s="111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</row>
    <row r="968" spans="1:74" s="50" customFormat="1" ht="15" hidden="1" customHeight="1">
      <c r="A968" s="109">
        <v>964</v>
      </c>
      <c r="B968" s="112" t="s">
        <v>1935</v>
      </c>
      <c r="C968" s="115" t="s">
        <v>1936</v>
      </c>
      <c r="D968" s="26" t="s">
        <v>21</v>
      </c>
      <c r="E968" s="26"/>
      <c r="F968" s="26"/>
      <c r="G968" s="33">
        <v>0</v>
      </c>
      <c r="H968" s="3">
        <f t="shared" si="45"/>
        <v>0</v>
      </c>
      <c r="I968" s="3">
        <f t="shared" si="46"/>
        <v>0</v>
      </c>
      <c r="J968" s="33">
        <f t="shared" si="47"/>
        <v>0</v>
      </c>
      <c r="K968" s="33"/>
      <c r="L968" s="33"/>
      <c r="M968" s="10"/>
      <c r="N968" s="10"/>
      <c r="O968" s="10"/>
      <c r="P968" s="10"/>
      <c r="Q968" s="10"/>
      <c r="R968" s="10"/>
      <c r="S968" s="111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</row>
    <row r="969" spans="1:74" s="50" customFormat="1" ht="15" hidden="1" customHeight="1">
      <c r="A969" s="109">
        <v>965</v>
      </c>
      <c r="B969" s="112" t="s">
        <v>1937</v>
      </c>
      <c r="C969" s="115" t="s">
        <v>1938</v>
      </c>
      <c r="D969" s="26" t="s">
        <v>14</v>
      </c>
      <c r="E969" s="26"/>
      <c r="F969" s="26"/>
      <c r="G969" s="33">
        <v>0</v>
      </c>
      <c r="H969" s="3">
        <f t="shared" si="45"/>
        <v>0</v>
      </c>
      <c r="I969" s="3">
        <f t="shared" si="46"/>
        <v>0</v>
      </c>
      <c r="J969" s="33">
        <f t="shared" si="47"/>
        <v>0</v>
      </c>
      <c r="K969" s="33"/>
      <c r="L969" s="33"/>
      <c r="M969" s="10"/>
      <c r="N969" s="10"/>
      <c r="O969" s="10"/>
      <c r="P969" s="10"/>
      <c r="Q969" s="10"/>
      <c r="R969" s="10"/>
      <c r="S969" s="111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</row>
    <row r="970" spans="1:74" s="50" customFormat="1" ht="15" hidden="1" customHeight="1">
      <c r="A970" s="109">
        <v>966</v>
      </c>
      <c r="B970" s="112" t="s">
        <v>1939</v>
      </c>
      <c r="C970" s="115" t="s">
        <v>1940</v>
      </c>
      <c r="D970" s="26" t="s">
        <v>14</v>
      </c>
      <c r="E970" s="26"/>
      <c r="F970" s="26"/>
      <c r="G970" s="33">
        <v>0</v>
      </c>
      <c r="H970" s="3">
        <f t="shared" si="45"/>
        <v>0</v>
      </c>
      <c r="I970" s="3">
        <f t="shared" si="46"/>
        <v>0</v>
      </c>
      <c r="J970" s="33">
        <f t="shared" si="47"/>
        <v>0</v>
      </c>
      <c r="K970" s="33"/>
      <c r="L970" s="33"/>
      <c r="M970" s="10"/>
      <c r="N970" s="10"/>
      <c r="O970" s="10"/>
      <c r="P970" s="10"/>
      <c r="Q970" s="10"/>
      <c r="R970" s="10"/>
      <c r="S970" s="111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</row>
    <row r="971" spans="1:74" s="50" customFormat="1" ht="15" hidden="1" customHeight="1">
      <c r="A971" s="109">
        <v>967</v>
      </c>
      <c r="B971" s="112" t="s">
        <v>1941</v>
      </c>
      <c r="C971" s="115" t="s">
        <v>1942</v>
      </c>
      <c r="D971" s="26" t="s">
        <v>14</v>
      </c>
      <c r="E971" s="26"/>
      <c r="F971" s="26"/>
      <c r="G971" s="33">
        <v>0</v>
      </c>
      <c r="H971" s="3">
        <f t="shared" si="45"/>
        <v>0</v>
      </c>
      <c r="I971" s="3">
        <f t="shared" si="46"/>
        <v>0</v>
      </c>
      <c r="J971" s="33">
        <f t="shared" si="47"/>
        <v>0</v>
      </c>
      <c r="K971" s="33"/>
      <c r="L971" s="33"/>
      <c r="M971" s="10"/>
      <c r="N971" s="10"/>
      <c r="O971" s="10"/>
      <c r="P971" s="111"/>
      <c r="Q971" s="10"/>
      <c r="R971" s="10"/>
      <c r="S971" s="111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11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</row>
    <row r="972" spans="1:74" s="50" customFormat="1" ht="15" hidden="1" customHeight="1">
      <c r="A972" s="109">
        <v>968</v>
      </c>
      <c r="B972" s="112" t="s">
        <v>1943</v>
      </c>
      <c r="C972" s="115" t="s">
        <v>1944</v>
      </c>
      <c r="D972" s="26" t="s">
        <v>14</v>
      </c>
      <c r="E972" s="26"/>
      <c r="F972" s="26"/>
      <c r="G972" s="33">
        <v>0</v>
      </c>
      <c r="H972" s="3">
        <f t="shared" si="45"/>
        <v>0</v>
      </c>
      <c r="I972" s="3">
        <f t="shared" si="46"/>
        <v>0</v>
      </c>
      <c r="J972" s="33">
        <f t="shared" si="47"/>
        <v>0</v>
      </c>
      <c r="K972" s="33"/>
      <c r="L972" s="33"/>
      <c r="M972" s="10"/>
      <c r="N972" s="10"/>
      <c r="O972" s="10"/>
      <c r="P972" s="10"/>
      <c r="Q972" s="10"/>
      <c r="R972" s="10"/>
      <c r="S972" s="111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11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</row>
    <row r="973" spans="1:74" s="50" customFormat="1" ht="15" hidden="1" customHeight="1">
      <c r="A973" s="109">
        <v>969</v>
      </c>
      <c r="B973" s="154" t="s">
        <v>1945</v>
      </c>
      <c r="C973" s="156" t="s">
        <v>1946</v>
      </c>
      <c r="D973" s="26" t="s">
        <v>14</v>
      </c>
      <c r="E973" s="26"/>
      <c r="F973" s="26"/>
      <c r="G973" s="33">
        <v>0</v>
      </c>
      <c r="H973" s="3">
        <f t="shared" si="45"/>
        <v>0</v>
      </c>
      <c r="I973" s="3">
        <f t="shared" si="46"/>
        <v>0</v>
      </c>
      <c r="J973" s="33">
        <f t="shared" si="47"/>
        <v>0</v>
      </c>
      <c r="K973" s="33"/>
      <c r="L973" s="33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1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11"/>
      <c r="AR973" s="10"/>
      <c r="AS973" s="10"/>
      <c r="AT973" s="10"/>
      <c r="AU973" s="10"/>
      <c r="AV973" s="10"/>
      <c r="AW973" s="10"/>
      <c r="AX973" s="10"/>
      <c r="AY973" s="10"/>
      <c r="AZ973" s="111"/>
      <c r="BA973" s="10"/>
      <c r="BB973" s="10"/>
      <c r="BC973" s="10"/>
      <c r="BD973" s="10"/>
      <c r="BE973" s="10"/>
      <c r="BF973" s="111"/>
      <c r="BG973" s="10"/>
      <c r="BH973" s="10"/>
      <c r="BI973" s="10"/>
      <c r="BJ973" s="10"/>
      <c r="BK973" s="10"/>
      <c r="BL973" s="111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</row>
    <row r="974" spans="1:74" s="50" customFormat="1" ht="15" hidden="1" customHeight="1">
      <c r="A974" s="109">
        <v>970</v>
      </c>
      <c r="B974" s="112" t="s">
        <v>1947</v>
      </c>
      <c r="C974" s="115" t="s">
        <v>1948</v>
      </c>
      <c r="D974" s="26" t="s">
        <v>14</v>
      </c>
      <c r="E974" s="26"/>
      <c r="F974" s="26"/>
      <c r="G974" s="33">
        <v>6</v>
      </c>
      <c r="H974" s="3">
        <f t="shared" si="45"/>
        <v>0</v>
      </c>
      <c r="I974" s="3">
        <f t="shared" si="46"/>
        <v>0</v>
      </c>
      <c r="J974" s="33">
        <f t="shared" si="47"/>
        <v>6</v>
      </c>
      <c r="K974" s="33"/>
      <c r="L974" s="33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11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</row>
    <row r="975" spans="1:74" s="50" customFormat="1" ht="30" hidden="1" customHeight="1">
      <c r="A975" s="111">
        <v>971</v>
      </c>
      <c r="B975" s="4" t="s">
        <v>1949</v>
      </c>
      <c r="C975" s="346" t="s">
        <v>1950</v>
      </c>
      <c r="D975" s="3" t="s">
        <v>14</v>
      </c>
      <c r="E975" s="26"/>
      <c r="F975" s="3"/>
      <c r="G975" s="33">
        <v>2</v>
      </c>
      <c r="H975" s="3">
        <f t="shared" si="45"/>
        <v>0</v>
      </c>
      <c r="I975" s="3">
        <f t="shared" si="46"/>
        <v>0</v>
      </c>
      <c r="J975" s="33">
        <f t="shared" si="47"/>
        <v>2</v>
      </c>
      <c r="K975" s="33"/>
      <c r="L975" s="33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11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</row>
    <row r="976" spans="1:74" s="50" customFormat="1" ht="15" hidden="1" customHeight="1">
      <c r="A976" s="142">
        <v>972</v>
      </c>
      <c r="B976" s="252" t="s">
        <v>1951</v>
      </c>
      <c r="C976" s="253" t="s">
        <v>1952</v>
      </c>
      <c r="D976" s="143" t="s">
        <v>21</v>
      </c>
      <c r="E976" s="26"/>
      <c r="F976" s="26"/>
      <c r="G976" s="33">
        <v>14</v>
      </c>
      <c r="H976" s="3">
        <f t="shared" si="45"/>
        <v>0</v>
      </c>
      <c r="I976" s="3">
        <f t="shared" si="46"/>
        <v>0</v>
      </c>
      <c r="J976" s="33">
        <f t="shared" si="47"/>
        <v>14</v>
      </c>
      <c r="K976" s="33"/>
      <c r="L976" s="33"/>
      <c r="M976" s="10"/>
      <c r="N976" s="10"/>
      <c r="O976" s="10"/>
      <c r="P976" s="111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11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11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</row>
    <row r="977" spans="1:74" s="50" customFormat="1" ht="15" hidden="1" customHeight="1">
      <c r="A977" s="109">
        <v>973</v>
      </c>
      <c r="B977" s="112" t="s">
        <v>1953</v>
      </c>
      <c r="C977" s="115" t="s">
        <v>1954</v>
      </c>
      <c r="D977" s="26" t="s">
        <v>21</v>
      </c>
      <c r="E977" s="26"/>
      <c r="F977" s="26"/>
      <c r="G977" s="33">
        <v>53</v>
      </c>
      <c r="H977" s="3">
        <f t="shared" si="45"/>
        <v>0</v>
      </c>
      <c r="I977" s="3">
        <f t="shared" si="46"/>
        <v>0</v>
      </c>
      <c r="J977" s="33">
        <f t="shared" si="47"/>
        <v>53</v>
      </c>
      <c r="K977" s="33"/>
      <c r="L977" s="33"/>
      <c r="M977" s="10"/>
      <c r="N977" s="10"/>
      <c r="O977" s="10"/>
      <c r="P977" s="10"/>
      <c r="Q977" s="10"/>
      <c r="R977" s="10"/>
      <c r="S977" s="10"/>
      <c r="T977" s="10"/>
      <c r="U977" s="111"/>
      <c r="V977" s="111"/>
      <c r="W977" s="10"/>
      <c r="X977" s="10"/>
      <c r="Y977" s="10"/>
      <c r="Z977" s="10"/>
      <c r="AA977" s="111"/>
      <c r="AB977" s="111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11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11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</row>
    <row r="978" spans="1:74" s="50" customFormat="1" ht="15" hidden="1" customHeight="1">
      <c r="A978" s="109">
        <v>974</v>
      </c>
      <c r="B978" s="112" t="s">
        <v>1955</v>
      </c>
      <c r="C978" s="115" t="s">
        <v>1956</v>
      </c>
      <c r="D978" s="26" t="s">
        <v>21</v>
      </c>
      <c r="E978" s="26"/>
      <c r="F978" s="26"/>
      <c r="G978" s="33">
        <v>0</v>
      </c>
      <c r="H978" s="3">
        <f t="shared" si="45"/>
        <v>0</v>
      </c>
      <c r="I978" s="3">
        <f t="shared" si="46"/>
        <v>0</v>
      </c>
      <c r="J978" s="33">
        <f t="shared" si="47"/>
        <v>0</v>
      </c>
      <c r="K978" s="33"/>
      <c r="L978" s="33"/>
      <c r="M978" s="10"/>
      <c r="N978" s="10"/>
      <c r="O978" s="10"/>
      <c r="P978" s="10"/>
      <c r="Q978" s="10"/>
      <c r="R978" s="10"/>
      <c r="S978" s="10"/>
      <c r="T978" s="10"/>
      <c r="U978" s="111"/>
      <c r="V978" s="111"/>
      <c r="W978" s="10"/>
      <c r="X978" s="10"/>
      <c r="Y978" s="10"/>
      <c r="Z978" s="10"/>
      <c r="AA978" s="10"/>
      <c r="AB978" s="111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11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</row>
    <row r="979" spans="1:74" s="50" customFormat="1" ht="15" hidden="1" customHeight="1">
      <c r="A979" s="109">
        <v>975</v>
      </c>
      <c r="B979" s="112" t="s">
        <v>1957</v>
      </c>
      <c r="C979" s="115" t="s">
        <v>1958</v>
      </c>
      <c r="D979" s="26" t="s">
        <v>21</v>
      </c>
      <c r="E979" s="26"/>
      <c r="F979" s="26"/>
      <c r="G979" s="33">
        <v>0</v>
      </c>
      <c r="H979" s="3">
        <f t="shared" si="45"/>
        <v>0</v>
      </c>
      <c r="I979" s="3">
        <f t="shared" si="46"/>
        <v>0</v>
      </c>
      <c r="J979" s="33">
        <f t="shared" si="47"/>
        <v>0</v>
      </c>
      <c r="K979" s="33"/>
      <c r="L979" s="33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11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</row>
    <row r="980" spans="1:74" s="50" customFormat="1" ht="15" hidden="1" customHeight="1">
      <c r="A980" s="109">
        <v>976</v>
      </c>
      <c r="B980" s="112" t="s">
        <v>1959</v>
      </c>
      <c r="C980" s="115" t="s">
        <v>1960</v>
      </c>
      <c r="D980" s="26" t="s">
        <v>14</v>
      </c>
      <c r="E980" s="26"/>
      <c r="F980" s="26"/>
      <c r="G980" s="33">
        <v>0</v>
      </c>
      <c r="H980" s="3">
        <f t="shared" si="45"/>
        <v>0</v>
      </c>
      <c r="I980" s="3">
        <f t="shared" si="46"/>
        <v>0</v>
      </c>
      <c r="J980" s="33">
        <f t="shared" si="47"/>
        <v>0</v>
      </c>
      <c r="K980" s="33"/>
      <c r="L980" s="33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11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</row>
    <row r="981" spans="1:74" s="50" customFormat="1" ht="15" hidden="1" customHeight="1">
      <c r="A981" s="109">
        <v>977</v>
      </c>
      <c r="B981" s="112" t="s">
        <v>1961</v>
      </c>
      <c r="C981" s="115" t="s">
        <v>1962</v>
      </c>
      <c r="D981" s="26" t="s">
        <v>14</v>
      </c>
      <c r="E981" s="26"/>
      <c r="F981" s="26"/>
      <c r="G981" s="33">
        <v>0</v>
      </c>
      <c r="H981" s="3">
        <f t="shared" si="45"/>
        <v>0</v>
      </c>
      <c r="I981" s="3">
        <f t="shared" si="46"/>
        <v>0</v>
      </c>
      <c r="J981" s="33">
        <f t="shared" si="47"/>
        <v>0</v>
      </c>
      <c r="K981" s="33"/>
      <c r="L981" s="33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11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11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</row>
    <row r="982" spans="1:74" s="50" customFormat="1" ht="15" hidden="1" customHeight="1">
      <c r="A982" s="109">
        <v>978</v>
      </c>
      <c r="B982" s="112" t="s">
        <v>1963</v>
      </c>
      <c r="C982" s="115" t="s">
        <v>1964</v>
      </c>
      <c r="D982" s="26" t="s">
        <v>14</v>
      </c>
      <c r="E982" s="26"/>
      <c r="F982" s="26"/>
      <c r="G982" s="33">
        <v>0</v>
      </c>
      <c r="H982" s="3">
        <f t="shared" si="45"/>
        <v>0</v>
      </c>
      <c r="I982" s="3">
        <f t="shared" si="46"/>
        <v>0</v>
      </c>
      <c r="J982" s="33">
        <f t="shared" si="47"/>
        <v>0</v>
      </c>
      <c r="K982" s="33"/>
      <c r="L982" s="33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11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</row>
    <row r="983" spans="1:74" s="50" customFormat="1" ht="15" hidden="1" customHeight="1">
      <c r="A983" s="109">
        <v>979</v>
      </c>
      <c r="B983" s="112" t="s">
        <v>1965</v>
      </c>
      <c r="C983" s="115" t="s">
        <v>1966</v>
      </c>
      <c r="D983" s="26" t="s">
        <v>21</v>
      </c>
      <c r="E983" s="26"/>
      <c r="F983" s="26"/>
      <c r="G983" s="33">
        <v>1</v>
      </c>
      <c r="H983" s="3">
        <f t="shared" si="45"/>
        <v>0</v>
      </c>
      <c r="I983" s="3">
        <f t="shared" si="46"/>
        <v>0</v>
      </c>
      <c r="J983" s="33">
        <f t="shared" si="47"/>
        <v>1</v>
      </c>
      <c r="K983" s="33"/>
      <c r="L983" s="33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11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</row>
    <row r="984" spans="1:74" s="50" customFormat="1" ht="15" hidden="1" customHeight="1">
      <c r="A984" s="109">
        <v>980</v>
      </c>
      <c r="B984" s="112" t="s">
        <v>1967</v>
      </c>
      <c r="C984" s="115" t="s">
        <v>1968</v>
      </c>
      <c r="D984" s="26" t="s">
        <v>21</v>
      </c>
      <c r="E984" s="26"/>
      <c r="F984" s="26"/>
      <c r="G984" s="33">
        <v>1</v>
      </c>
      <c r="H984" s="3">
        <f t="shared" si="45"/>
        <v>0</v>
      </c>
      <c r="I984" s="3">
        <f t="shared" si="46"/>
        <v>0</v>
      </c>
      <c r="J984" s="33">
        <f t="shared" si="47"/>
        <v>1</v>
      </c>
      <c r="K984" s="33"/>
      <c r="L984" s="33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11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</row>
    <row r="985" spans="1:74" s="50" customFormat="1" ht="15" hidden="1" customHeight="1">
      <c r="A985" s="109">
        <v>981</v>
      </c>
      <c r="B985" s="157" t="s">
        <v>1969</v>
      </c>
      <c r="C985" s="158" t="s">
        <v>1970</v>
      </c>
      <c r="D985" s="26" t="s">
        <v>21</v>
      </c>
      <c r="E985" s="26"/>
      <c r="F985" s="26"/>
      <c r="G985" s="33">
        <v>1</v>
      </c>
      <c r="H985" s="3">
        <f t="shared" si="45"/>
        <v>0</v>
      </c>
      <c r="I985" s="3">
        <f t="shared" si="46"/>
        <v>0</v>
      </c>
      <c r="J985" s="33">
        <f t="shared" si="47"/>
        <v>1</v>
      </c>
      <c r="K985" s="33"/>
      <c r="L985" s="33"/>
      <c r="M985" s="10"/>
      <c r="N985" s="10"/>
      <c r="O985" s="10"/>
      <c r="P985" s="10"/>
      <c r="Q985" s="10"/>
      <c r="R985" s="111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11"/>
      <c r="AN985" s="10"/>
      <c r="AO985" s="10"/>
      <c r="AP985" s="10"/>
      <c r="AQ985" s="10"/>
      <c r="AR985" s="111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11"/>
      <c r="BO985" s="10"/>
      <c r="BP985" s="10"/>
      <c r="BQ985" s="10"/>
      <c r="BR985" s="10"/>
      <c r="BS985" s="10"/>
      <c r="BT985" s="10"/>
      <c r="BU985" s="10"/>
      <c r="BV985" s="10"/>
    </row>
    <row r="986" spans="1:74" s="50" customFormat="1" ht="15" hidden="1" customHeight="1">
      <c r="A986" s="109">
        <v>982</v>
      </c>
      <c r="B986" s="121" t="s">
        <v>1971</v>
      </c>
      <c r="C986" s="135" t="s">
        <v>1972</v>
      </c>
      <c r="D986" s="26" t="s">
        <v>21</v>
      </c>
      <c r="E986" s="26"/>
      <c r="F986" s="26"/>
      <c r="G986" s="33">
        <v>13</v>
      </c>
      <c r="H986" s="3">
        <f t="shared" si="45"/>
        <v>0</v>
      </c>
      <c r="I986" s="3">
        <f t="shared" si="46"/>
        <v>0</v>
      </c>
      <c r="J986" s="33">
        <f t="shared" si="47"/>
        <v>13</v>
      </c>
      <c r="K986" s="33"/>
      <c r="L986" s="33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11"/>
      <c r="BO986" s="10"/>
      <c r="BP986" s="10"/>
      <c r="BQ986" s="10"/>
      <c r="BR986" s="10"/>
      <c r="BS986" s="10"/>
      <c r="BT986" s="10"/>
      <c r="BU986" s="10"/>
      <c r="BV986" s="10"/>
    </row>
    <row r="987" spans="1:74" s="50" customFormat="1" ht="15" hidden="1" customHeight="1">
      <c r="A987" s="109">
        <v>983</v>
      </c>
      <c r="B987" s="121" t="s">
        <v>1973</v>
      </c>
      <c r="C987" s="135" t="s">
        <v>1974</v>
      </c>
      <c r="D987" s="26" t="s">
        <v>14</v>
      </c>
      <c r="E987" s="26"/>
      <c r="F987" s="26"/>
      <c r="G987" s="3">
        <v>0</v>
      </c>
      <c r="H987" s="3">
        <f t="shared" si="45"/>
        <v>0</v>
      </c>
      <c r="I987" s="3">
        <f t="shared" si="46"/>
        <v>0</v>
      </c>
      <c r="J987" s="33">
        <f t="shared" si="47"/>
        <v>0</v>
      </c>
      <c r="K987" s="33"/>
      <c r="L987" s="33"/>
      <c r="M987" s="10"/>
      <c r="N987" s="10"/>
      <c r="O987" s="111"/>
      <c r="P987" s="10"/>
      <c r="Q987" s="10"/>
      <c r="R987" s="10"/>
      <c r="S987" s="111"/>
      <c r="T987" s="10"/>
      <c r="U987" s="10"/>
      <c r="V987" s="10"/>
      <c r="W987" s="10"/>
      <c r="X987" s="111"/>
      <c r="Y987" s="10"/>
      <c r="Z987" s="111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11"/>
      <c r="AN987" s="111"/>
      <c r="AO987" s="10"/>
      <c r="AP987" s="10"/>
      <c r="AQ987" s="10"/>
      <c r="AR987" s="111"/>
      <c r="AS987" s="10"/>
      <c r="AT987" s="111"/>
      <c r="AU987" s="10"/>
      <c r="AV987" s="111"/>
      <c r="AW987" s="111"/>
      <c r="AX987" s="10"/>
      <c r="AY987" s="10"/>
      <c r="AZ987" s="111"/>
      <c r="BA987" s="10"/>
      <c r="BB987" s="111"/>
      <c r="BC987" s="10"/>
      <c r="BD987" s="111"/>
      <c r="BE987" s="10"/>
      <c r="BF987" s="10"/>
      <c r="BG987" s="10"/>
      <c r="BH987" s="111"/>
      <c r="BI987" s="111"/>
      <c r="BJ987" s="111"/>
      <c r="BK987" s="10"/>
      <c r="BL987" s="111"/>
      <c r="BM987" s="10"/>
      <c r="BN987" s="111"/>
      <c r="BO987" s="10"/>
      <c r="BP987" s="111"/>
      <c r="BQ987" s="10"/>
      <c r="BR987" s="111"/>
      <c r="BS987" s="10"/>
      <c r="BT987" s="10"/>
      <c r="BU987" s="10"/>
      <c r="BV987" s="10"/>
    </row>
    <row r="988" spans="1:74" s="50" customFormat="1" ht="15" hidden="1" customHeight="1">
      <c r="A988" s="109">
        <v>984</v>
      </c>
      <c r="B988" s="154" t="s">
        <v>1975</v>
      </c>
      <c r="C988" s="159" t="s">
        <v>1976</v>
      </c>
      <c r="D988" s="160" t="s">
        <v>14</v>
      </c>
      <c r="E988" s="160"/>
      <c r="F988" s="160"/>
      <c r="G988" s="3">
        <v>0</v>
      </c>
      <c r="H988" s="3">
        <f t="shared" si="45"/>
        <v>0</v>
      </c>
      <c r="I988" s="3">
        <f t="shared" si="46"/>
        <v>0</v>
      </c>
      <c r="J988" s="33">
        <f t="shared" si="47"/>
        <v>0</v>
      </c>
      <c r="K988" s="33"/>
      <c r="L988" s="33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1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</row>
    <row r="989" spans="1:74" s="50" customFormat="1" ht="15" hidden="1" customHeight="1">
      <c r="A989" s="142">
        <v>985</v>
      </c>
      <c r="B989" s="263" t="s">
        <v>1977</v>
      </c>
      <c r="C989" s="264" t="s">
        <v>1978</v>
      </c>
      <c r="D989" s="267" t="s">
        <v>21</v>
      </c>
      <c r="E989" s="160"/>
      <c r="F989" s="160"/>
      <c r="G989" s="26">
        <v>0</v>
      </c>
      <c r="H989" s="26">
        <f t="shared" si="45"/>
        <v>0</v>
      </c>
      <c r="I989" s="26">
        <f t="shared" si="46"/>
        <v>0</v>
      </c>
      <c r="J989" s="30">
        <f t="shared" si="47"/>
        <v>0</v>
      </c>
      <c r="K989" s="30"/>
      <c r="L989" s="30"/>
      <c r="M989" s="10"/>
      <c r="N989" s="10"/>
      <c r="O989" s="111"/>
      <c r="P989" s="10"/>
      <c r="Q989" s="10"/>
      <c r="R989" s="10"/>
      <c r="S989" s="10"/>
      <c r="T989" s="111"/>
      <c r="U989" s="10"/>
      <c r="V989" s="111"/>
      <c r="W989" s="111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11"/>
      <c r="AI989" s="10"/>
      <c r="AJ989" s="10"/>
      <c r="AK989" s="10"/>
      <c r="AL989" s="111"/>
      <c r="AM989" s="10"/>
      <c r="AN989" s="10"/>
      <c r="AO989" s="10"/>
      <c r="AP989" s="10"/>
      <c r="AQ989" s="10"/>
      <c r="AR989" s="10"/>
      <c r="AS989" s="10"/>
      <c r="AT989" s="111"/>
      <c r="AU989" s="10"/>
      <c r="AV989" s="10"/>
      <c r="AW989" s="10"/>
      <c r="AX989" s="111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</row>
    <row r="990" spans="1:74" s="50" customFormat="1" ht="15" hidden="1" customHeight="1">
      <c r="A990" s="142">
        <v>986</v>
      </c>
      <c r="B990" s="265" t="s">
        <v>1979</v>
      </c>
      <c r="C990" s="264" t="s">
        <v>1980</v>
      </c>
      <c r="D990" s="267" t="s">
        <v>21</v>
      </c>
      <c r="E990" s="160"/>
      <c r="F990" s="160"/>
      <c r="G990" s="26">
        <v>7</v>
      </c>
      <c r="H990" s="26">
        <f t="shared" si="45"/>
        <v>0</v>
      </c>
      <c r="I990" s="26">
        <f t="shared" si="46"/>
        <v>0</v>
      </c>
      <c r="J990" s="30">
        <f t="shared" si="47"/>
        <v>7</v>
      </c>
      <c r="K990" s="30"/>
      <c r="L990" s="30"/>
      <c r="M990" s="10"/>
      <c r="N990" s="10"/>
      <c r="O990" s="10"/>
      <c r="P990" s="111"/>
      <c r="Q990" s="10"/>
      <c r="R990" s="10"/>
      <c r="S990" s="10"/>
      <c r="T990" s="10"/>
      <c r="U990" s="10"/>
      <c r="V990" s="10"/>
      <c r="W990" s="111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11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</row>
    <row r="991" spans="1:74" s="50" customFormat="1" ht="15" hidden="1" customHeight="1">
      <c r="A991" s="142">
        <v>987</v>
      </c>
      <c r="B991" s="265" t="s">
        <v>1981</v>
      </c>
      <c r="C991" s="264" t="s">
        <v>1982</v>
      </c>
      <c r="D991" s="267" t="s">
        <v>21</v>
      </c>
      <c r="E991" s="160"/>
      <c r="F991" s="160"/>
      <c r="G991" s="3">
        <v>1</v>
      </c>
      <c r="H991" s="3">
        <f t="shared" si="45"/>
        <v>0</v>
      </c>
      <c r="I991" s="3">
        <f t="shared" si="46"/>
        <v>0</v>
      </c>
      <c r="J991" s="33">
        <f t="shared" si="47"/>
        <v>1</v>
      </c>
      <c r="K991" s="33"/>
      <c r="L991" s="33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1"/>
      <c r="X991" s="111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</row>
    <row r="992" spans="1:74" s="50" customFormat="1" ht="15" hidden="1" customHeight="1">
      <c r="A992" s="142">
        <v>988</v>
      </c>
      <c r="B992" s="265" t="s">
        <v>1983</v>
      </c>
      <c r="C992" s="264" t="s">
        <v>1984</v>
      </c>
      <c r="D992" s="267" t="s">
        <v>21</v>
      </c>
      <c r="E992" s="160"/>
      <c r="F992" s="160"/>
      <c r="G992" s="3">
        <v>0</v>
      </c>
      <c r="H992" s="3">
        <f t="shared" si="45"/>
        <v>0</v>
      </c>
      <c r="I992" s="3">
        <f t="shared" si="46"/>
        <v>0</v>
      </c>
      <c r="J992" s="33">
        <f t="shared" si="47"/>
        <v>0</v>
      </c>
      <c r="K992" s="33"/>
      <c r="L992" s="33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1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</row>
    <row r="993" spans="1:74" s="50" customFormat="1" ht="15" hidden="1" customHeight="1">
      <c r="A993" s="142">
        <v>989</v>
      </c>
      <c r="B993" s="265" t="s">
        <v>1985</v>
      </c>
      <c r="C993" s="264" t="s">
        <v>1986</v>
      </c>
      <c r="D993" s="267" t="s">
        <v>21</v>
      </c>
      <c r="E993" s="160"/>
      <c r="F993" s="160"/>
      <c r="G993" s="3">
        <v>144</v>
      </c>
      <c r="H993" s="3">
        <f t="shared" si="45"/>
        <v>0</v>
      </c>
      <c r="I993" s="3">
        <f t="shared" si="46"/>
        <v>0</v>
      </c>
      <c r="J993" s="33">
        <f t="shared" si="47"/>
        <v>144</v>
      </c>
      <c r="K993" s="33"/>
      <c r="L993" s="33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1"/>
      <c r="X993" s="111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</row>
    <row r="994" spans="1:74" s="50" customFormat="1" ht="15" hidden="1" customHeight="1">
      <c r="A994" s="142">
        <v>990</v>
      </c>
      <c r="B994" s="265" t="s">
        <v>1987</v>
      </c>
      <c r="C994" s="264" t="s">
        <v>1988</v>
      </c>
      <c r="D994" s="267" t="s">
        <v>21</v>
      </c>
      <c r="E994" s="160"/>
      <c r="F994" s="160"/>
      <c r="G994" s="3">
        <v>61</v>
      </c>
      <c r="H994" s="3">
        <f t="shared" si="45"/>
        <v>0</v>
      </c>
      <c r="I994" s="3">
        <f t="shared" si="46"/>
        <v>0</v>
      </c>
      <c r="J994" s="33">
        <f t="shared" si="47"/>
        <v>61</v>
      </c>
      <c r="K994" s="33"/>
      <c r="L994" s="33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1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</row>
    <row r="995" spans="1:74" s="50" customFormat="1" ht="15" hidden="1" customHeight="1">
      <c r="A995" s="142">
        <v>991</v>
      </c>
      <c r="B995" s="265" t="s">
        <v>1989</v>
      </c>
      <c r="C995" s="264" t="s">
        <v>1990</v>
      </c>
      <c r="D995" s="267" t="s">
        <v>21</v>
      </c>
      <c r="E995" s="160"/>
      <c r="F995" s="160"/>
      <c r="G995" s="3">
        <v>193</v>
      </c>
      <c r="H995" s="3">
        <f t="shared" si="45"/>
        <v>0</v>
      </c>
      <c r="I995" s="3">
        <f t="shared" si="46"/>
        <v>0</v>
      </c>
      <c r="J995" s="33">
        <f t="shared" si="47"/>
        <v>193</v>
      </c>
      <c r="K995" s="33"/>
      <c r="L995" s="33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11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</row>
    <row r="996" spans="1:74" s="50" customFormat="1" ht="15" hidden="1" customHeight="1">
      <c r="A996" s="109">
        <v>992</v>
      </c>
      <c r="B996" s="154" t="s">
        <v>1991</v>
      </c>
      <c r="C996" s="156" t="s">
        <v>1992</v>
      </c>
      <c r="D996" s="160" t="s">
        <v>21</v>
      </c>
      <c r="E996" s="160"/>
      <c r="F996" s="160"/>
      <c r="G996" s="3">
        <v>1</v>
      </c>
      <c r="H996" s="3">
        <f t="shared" si="45"/>
        <v>0</v>
      </c>
      <c r="I996" s="3">
        <f t="shared" si="46"/>
        <v>0</v>
      </c>
      <c r="J996" s="33">
        <f t="shared" si="47"/>
        <v>1</v>
      </c>
      <c r="K996" s="33"/>
      <c r="L996" s="33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11"/>
      <c r="AR996" s="10"/>
      <c r="AS996" s="111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</row>
    <row r="997" spans="1:74" s="50" customFormat="1" ht="15" hidden="1" customHeight="1">
      <c r="A997" s="109">
        <v>993</v>
      </c>
      <c r="B997" s="154" t="s">
        <v>1993</v>
      </c>
      <c r="C997" s="156" t="s">
        <v>1994</v>
      </c>
      <c r="D997" s="160" t="s">
        <v>21</v>
      </c>
      <c r="E997" s="160"/>
      <c r="F997" s="160"/>
      <c r="G997" s="3">
        <v>0</v>
      </c>
      <c r="H997" s="3">
        <f t="shared" si="45"/>
        <v>0</v>
      </c>
      <c r="I997" s="3">
        <f t="shared" si="46"/>
        <v>0</v>
      </c>
      <c r="J997" s="33">
        <f t="shared" si="47"/>
        <v>0</v>
      </c>
      <c r="K997" s="33"/>
      <c r="L997" s="33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11"/>
      <c r="AR997" s="10"/>
      <c r="AS997" s="111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</row>
    <row r="998" spans="1:74" s="50" customFormat="1" ht="30" hidden="1" customHeight="1">
      <c r="A998" s="109">
        <v>994</v>
      </c>
      <c r="B998" s="154" t="s">
        <v>1995</v>
      </c>
      <c r="C998" s="162" t="s">
        <v>1996</v>
      </c>
      <c r="D998" s="160" t="s">
        <v>21</v>
      </c>
      <c r="E998" s="160"/>
      <c r="F998" s="160"/>
      <c r="G998" s="3">
        <v>0</v>
      </c>
      <c r="H998" s="3">
        <f t="shared" si="45"/>
        <v>0</v>
      </c>
      <c r="I998" s="3">
        <f t="shared" si="46"/>
        <v>0</v>
      </c>
      <c r="J998" s="33">
        <f t="shared" si="47"/>
        <v>0</v>
      </c>
      <c r="K998" s="33"/>
      <c r="L998" s="33"/>
      <c r="M998" s="10"/>
      <c r="N998" s="10"/>
      <c r="O998" s="10"/>
      <c r="P998" s="10"/>
      <c r="Q998" s="10"/>
      <c r="R998" s="111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11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</row>
    <row r="999" spans="1:74" s="50" customFormat="1" ht="30" hidden="1" customHeight="1">
      <c r="A999" s="109">
        <v>995</v>
      </c>
      <c r="B999" s="154" t="s">
        <v>1997</v>
      </c>
      <c r="C999" s="162" t="s">
        <v>1998</v>
      </c>
      <c r="D999" s="160" t="s">
        <v>21</v>
      </c>
      <c r="E999" s="160"/>
      <c r="F999" s="160"/>
      <c r="G999" s="3">
        <v>0</v>
      </c>
      <c r="H999" s="3">
        <f t="shared" si="45"/>
        <v>0</v>
      </c>
      <c r="I999" s="3">
        <f t="shared" si="46"/>
        <v>0</v>
      </c>
      <c r="J999" s="33">
        <f t="shared" si="47"/>
        <v>0</v>
      </c>
      <c r="K999" s="33"/>
      <c r="L999" s="33"/>
      <c r="M999" s="10"/>
      <c r="N999" s="10"/>
      <c r="O999" s="10"/>
      <c r="P999" s="10"/>
      <c r="Q999" s="10"/>
      <c r="R999" s="111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11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</row>
    <row r="1000" spans="1:74" s="50" customFormat="1" ht="30" hidden="1" customHeight="1">
      <c r="A1000" s="109">
        <v>996</v>
      </c>
      <c r="B1000" s="154" t="s">
        <v>1999</v>
      </c>
      <c r="C1000" s="162" t="s">
        <v>2000</v>
      </c>
      <c r="D1000" s="160" t="s">
        <v>21</v>
      </c>
      <c r="E1000" s="160"/>
      <c r="F1000" s="160"/>
      <c r="G1000" s="3">
        <v>0</v>
      </c>
      <c r="H1000" s="3">
        <f t="shared" si="45"/>
        <v>0</v>
      </c>
      <c r="I1000" s="3">
        <f t="shared" si="46"/>
        <v>0</v>
      </c>
      <c r="J1000" s="33">
        <f t="shared" si="47"/>
        <v>0</v>
      </c>
      <c r="K1000" s="33"/>
      <c r="L1000" s="33"/>
      <c r="M1000" s="10"/>
      <c r="N1000" s="10"/>
      <c r="O1000" s="10"/>
      <c r="P1000" s="10"/>
      <c r="Q1000" s="10"/>
      <c r="R1000" s="111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11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</row>
    <row r="1001" spans="1:74" s="50" customFormat="1" ht="30" hidden="1" customHeight="1">
      <c r="A1001" s="109">
        <v>997</v>
      </c>
      <c r="B1001" s="154" t="s">
        <v>2001</v>
      </c>
      <c r="C1001" s="162" t="s">
        <v>2002</v>
      </c>
      <c r="D1001" s="160" t="s">
        <v>21</v>
      </c>
      <c r="E1001" s="160"/>
      <c r="F1001" s="160"/>
      <c r="G1001" s="3">
        <v>0</v>
      </c>
      <c r="H1001" s="3">
        <f t="shared" si="45"/>
        <v>0</v>
      </c>
      <c r="I1001" s="3">
        <f t="shared" si="46"/>
        <v>0</v>
      </c>
      <c r="J1001" s="33">
        <f t="shared" si="47"/>
        <v>0</v>
      </c>
      <c r="K1001" s="33"/>
      <c r="L1001" s="33"/>
      <c r="M1001" s="10"/>
      <c r="N1001" s="10"/>
      <c r="O1001" s="10"/>
      <c r="P1001" s="10"/>
      <c r="Q1001" s="10"/>
      <c r="R1001" s="111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11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</row>
    <row r="1002" spans="1:74" s="50" customFormat="1" ht="30" hidden="1" customHeight="1">
      <c r="A1002" s="109">
        <v>998</v>
      </c>
      <c r="B1002" s="154" t="s">
        <v>2003</v>
      </c>
      <c r="C1002" s="162" t="s">
        <v>2004</v>
      </c>
      <c r="D1002" s="160" t="s">
        <v>21</v>
      </c>
      <c r="E1002" s="160"/>
      <c r="F1002" s="160"/>
      <c r="G1002" s="3">
        <v>0</v>
      </c>
      <c r="H1002" s="3">
        <f t="shared" si="45"/>
        <v>0</v>
      </c>
      <c r="I1002" s="3">
        <f t="shared" si="46"/>
        <v>0</v>
      </c>
      <c r="J1002" s="33">
        <f t="shared" si="47"/>
        <v>0</v>
      </c>
      <c r="K1002" s="33"/>
      <c r="L1002" s="33"/>
      <c r="M1002" s="10"/>
      <c r="N1002" s="10"/>
      <c r="O1002" s="10"/>
      <c r="P1002" s="10"/>
      <c r="Q1002" s="10"/>
      <c r="R1002" s="111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11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</row>
    <row r="1003" spans="1:74" s="50" customFormat="1" ht="30" hidden="1" customHeight="1">
      <c r="A1003" s="109">
        <v>999</v>
      </c>
      <c r="B1003" s="154" t="s">
        <v>2005</v>
      </c>
      <c r="C1003" s="162" t="s">
        <v>2006</v>
      </c>
      <c r="D1003" s="160" t="s">
        <v>21</v>
      </c>
      <c r="E1003" s="160"/>
      <c r="F1003" s="160"/>
      <c r="G1003" s="3">
        <v>0</v>
      </c>
      <c r="H1003" s="3">
        <f t="shared" si="45"/>
        <v>0</v>
      </c>
      <c r="I1003" s="3">
        <f t="shared" si="46"/>
        <v>0</v>
      </c>
      <c r="J1003" s="33">
        <f t="shared" si="47"/>
        <v>0</v>
      </c>
      <c r="K1003" s="33"/>
      <c r="L1003" s="33"/>
      <c r="M1003" s="10"/>
      <c r="N1003" s="10"/>
      <c r="O1003" s="10"/>
      <c r="P1003" s="10"/>
      <c r="Q1003" s="10"/>
      <c r="R1003" s="111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11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</row>
    <row r="1004" spans="1:74" s="50" customFormat="1" ht="15" hidden="1" customHeight="1">
      <c r="A1004" s="109">
        <v>1000</v>
      </c>
      <c r="B1004" s="154" t="s">
        <v>2007</v>
      </c>
      <c r="C1004" s="156" t="s">
        <v>2008</v>
      </c>
      <c r="D1004" s="160" t="s">
        <v>21</v>
      </c>
      <c r="E1004" s="160"/>
      <c r="F1004" s="160"/>
      <c r="G1004" s="3">
        <v>0</v>
      </c>
      <c r="H1004" s="3">
        <f t="shared" si="45"/>
        <v>0</v>
      </c>
      <c r="I1004" s="3">
        <f t="shared" si="46"/>
        <v>0</v>
      </c>
      <c r="J1004" s="33">
        <f t="shared" si="47"/>
        <v>0</v>
      </c>
      <c r="K1004" s="33"/>
      <c r="L1004" s="33"/>
      <c r="M1004" s="10"/>
      <c r="N1004" s="10"/>
      <c r="O1004" s="10"/>
      <c r="P1004" s="10"/>
      <c r="Q1004" s="10"/>
      <c r="R1004" s="111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11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11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</row>
    <row r="1005" spans="1:74" s="50" customFormat="1" ht="15" hidden="1" customHeight="1">
      <c r="A1005" s="109">
        <v>1001</v>
      </c>
      <c r="B1005" s="154" t="s">
        <v>2009</v>
      </c>
      <c r="C1005" s="156" t="s">
        <v>2010</v>
      </c>
      <c r="D1005" s="160" t="s">
        <v>21</v>
      </c>
      <c r="E1005" s="160"/>
      <c r="F1005" s="160"/>
      <c r="G1005" s="3">
        <v>0</v>
      </c>
      <c r="H1005" s="3">
        <f t="shared" si="45"/>
        <v>0</v>
      </c>
      <c r="I1005" s="3">
        <f t="shared" si="46"/>
        <v>0</v>
      </c>
      <c r="J1005" s="33">
        <f t="shared" si="47"/>
        <v>0</v>
      </c>
      <c r="K1005" s="33"/>
      <c r="L1005" s="33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11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</row>
    <row r="1006" spans="1:74" s="50" customFormat="1" ht="15" hidden="1" customHeight="1">
      <c r="A1006" s="109">
        <v>1002</v>
      </c>
      <c r="B1006" s="163" t="s">
        <v>2011</v>
      </c>
      <c r="C1006" s="158" t="s">
        <v>2012</v>
      </c>
      <c r="D1006" s="26" t="s">
        <v>21</v>
      </c>
      <c r="E1006" s="26"/>
      <c r="F1006" s="26"/>
      <c r="G1006" s="3">
        <v>0</v>
      </c>
      <c r="H1006" s="3">
        <f t="shared" si="45"/>
        <v>0</v>
      </c>
      <c r="I1006" s="3">
        <f t="shared" si="46"/>
        <v>0</v>
      </c>
      <c r="J1006" s="33">
        <f t="shared" si="47"/>
        <v>0</v>
      </c>
      <c r="K1006" s="33"/>
      <c r="L1006" s="33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11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</row>
    <row r="1007" spans="1:74" s="50" customFormat="1" ht="15" hidden="1" customHeight="1">
      <c r="A1007" s="109">
        <v>1003</v>
      </c>
      <c r="B1007" s="163" t="s">
        <v>2013</v>
      </c>
      <c r="C1007" s="158" t="s">
        <v>2014</v>
      </c>
      <c r="D1007" s="26" t="s">
        <v>14</v>
      </c>
      <c r="E1007" s="26"/>
      <c r="F1007" s="26"/>
      <c r="G1007" s="3">
        <v>1</v>
      </c>
      <c r="H1007" s="3">
        <f t="shared" si="45"/>
        <v>0</v>
      </c>
      <c r="I1007" s="3">
        <f t="shared" si="46"/>
        <v>0</v>
      </c>
      <c r="J1007" s="33">
        <f t="shared" si="47"/>
        <v>1</v>
      </c>
      <c r="K1007" s="33"/>
      <c r="L1007" s="33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11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</row>
    <row r="1008" spans="1:74" s="50" customFormat="1" ht="15" hidden="1" customHeight="1">
      <c r="A1008" s="109">
        <v>1004</v>
      </c>
      <c r="B1008" s="163" t="s">
        <v>2015</v>
      </c>
      <c r="C1008" s="158" t="s">
        <v>2016</v>
      </c>
      <c r="D1008" s="26" t="s">
        <v>14</v>
      </c>
      <c r="E1008" s="26"/>
      <c r="F1008" s="26"/>
      <c r="G1008" s="3">
        <v>1</v>
      </c>
      <c r="H1008" s="3">
        <f t="shared" si="45"/>
        <v>0</v>
      </c>
      <c r="I1008" s="3">
        <f t="shared" si="46"/>
        <v>0</v>
      </c>
      <c r="J1008" s="33">
        <f t="shared" si="47"/>
        <v>1</v>
      </c>
      <c r="K1008" s="33"/>
      <c r="L1008" s="33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11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</row>
    <row r="1009" spans="1:74" s="50" customFormat="1" ht="15" hidden="1" customHeight="1">
      <c r="A1009" s="109">
        <v>1005</v>
      </c>
      <c r="B1009" s="163" t="s">
        <v>2017</v>
      </c>
      <c r="C1009" s="158" t="s">
        <v>2018</v>
      </c>
      <c r="D1009" s="160" t="s">
        <v>14</v>
      </c>
      <c r="E1009" s="160"/>
      <c r="F1009" s="160"/>
      <c r="G1009" s="3">
        <v>2</v>
      </c>
      <c r="H1009" s="3">
        <f t="shared" si="45"/>
        <v>0</v>
      </c>
      <c r="I1009" s="3">
        <f t="shared" si="46"/>
        <v>0</v>
      </c>
      <c r="J1009" s="33">
        <f t="shared" si="47"/>
        <v>2</v>
      </c>
      <c r="K1009" s="33"/>
      <c r="L1009" s="33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</row>
    <row r="1010" spans="1:74" s="50" customFormat="1" ht="15" hidden="1" customHeight="1">
      <c r="A1010" s="109">
        <v>1006</v>
      </c>
      <c r="B1010" s="163" t="s">
        <v>2019</v>
      </c>
      <c r="C1010" s="158" t="s">
        <v>2020</v>
      </c>
      <c r="D1010" s="160" t="s">
        <v>21</v>
      </c>
      <c r="E1010" s="160"/>
      <c r="F1010" s="160"/>
      <c r="G1010" s="3">
        <v>2</v>
      </c>
      <c r="H1010" s="3">
        <f t="shared" si="45"/>
        <v>0</v>
      </c>
      <c r="I1010" s="3">
        <f t="shared" si="46"/>
        <v>0</v>
      </c>
      <c r="J1010" s="33">
        <f t="shared" si="47"/>
        <v>2</v>
      </c>
      <c r="K1010" s="33"/>
      <c r="L1010" s="33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</row>
    <row r="1011" spans="1:74" s="50" customFormat="1" ht="15" hidden="1" customHeight="1">
      <c r="A1011" s="109">
        <v>1007</v>
      </c>
      <c r="B1011" s="163" t="s">
        <v>2021</v>
      </c>
      <c r="C1011" s="158" t="s">
        <v>2022</v>
      </c>
      <c r="D1011" s="160" t="s">
        <v>21</v>
      </c>
      <c r="E1011" s="160"/>
      <c r="F1011" s="160"/>
      <c r="G1011" s="3">
        <v>2</v>
      </c>
      <c r="H1011" s="3">
        <f t="shared" si="45"/>
        <v>0</v>
      </c>
      <c r="I1011" s="3">
        <f t="shared" si="46"/>
        <v>0</v>
      </c>
      <c r="J1011" s="33">
        <f t="shared" si="47"/>
        <v>2</v>
      </c>
      <c r="K1011" s="33"/>
      <c r="L1011" s="33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</row>
    <row r="1012" spans="1:74" s="50" customFormat="1" ht="15" hidden="1" customHeight="1">
      <c r="A1012" s="109">
        <v>1008</v>
      </c>
      <c r="B1012" s="163" t="s">
        <v>2023</v>
      </c>
      <c r="C1012" s="158" t="s">
        <v>2024</v>
      </c>
      <c r="D1012" s="160" t="s">
        <v>21</v>
      </c>
      <c r="E1012" s="160"/>
      <c r="F1012" s="160"/>
      <c r="G1012" s="3">
        <v>2</v>
      </c>
      <c r="H1012" s="3">
        <f t="shared" si="45"/>
        <v>0</v>
      </c>
      <c r="I1012" s="3">
        <f t="shared" si="46"/>
        <v>0</v>
      </c>
      <c r="J1012" s="33">
        <f t="shared" si="47"/>
        <v>2</v>
      </c>
      <c r="K1012" s="33"/>
      <c r="L1012" s="33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</row>
    <row r="1013" spans="1:74" s="50" customFormat="1" ht="15" hidden="1" customHeight="1">
      <c r="A1013" s="109">
        <v>1009</v>
      </c>
      <c r="B1013" s="164" t="s">
        <v>2025</v>
      </c>
      <c r="C1013" s="158" t="s">
        <v>2026</v>
      </c>
      <c r="D1013" s="160" t="s">
        <v>21</v>
      </c>
      <c r="E1013" s="160"/>
      <c r="F1013" s="160"/>
      <c r="G1013" s="3">
        <v>45</v>
      </c>
      <c r="H1013" s="3">
        <f t="shared" si="45"/>
        <v>0</v>
      </c>
      <c r="I1013" s="3">
        <f t="shared" si="46"/>
        <v>0</v>
      </c>
      <c r="J1013" s="33">
        <f t="shared" si="47"/>
        <v>45</v>
      </c>
      <c r="K1013" s="33"/>
      <c r="L1013" s="33"/>
      <c r="M1013" s="10"/>
      <c r="N1013" s="10"/>
      <c r="O1013" s="10"/>
      <c r="P1013" s="111"/>
      <c r="Q1013" s="10"/>
      <c r="R1013" s="10"/>
      <c r="S1013" s="10"/>
      <c r="T1013" s="111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11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</row>
    <row r="1014" spans="1:74" s="50" customFormat="1" ht="30" hidden="1" customHeight="1">
      <c r="A1014" s="109">
        <v>1010</v>
      </c>
      <c r="B1014" s="121" t="s">
        <v>2027</v>
      </c>
      <c r="C1014" s="135" t="s">
        <v>2028</v>
      </c>
      <c r="D1014" s="121" t="s">
        <v>21</v>
      </c>
      <c r="E1014" s="121"/>
      <c r="F1014" s="121"/>
      <c r="G1014" s="165">
        <v>0</v>
      </c>
      <c r="H1014" s="10">
        <f t="shared" si="45"/>
        <v>0</v>
      </c>
      <c r="I1014" s="3">
        <f t="shared" si="46"/>
        <v>0</v>
      </c>
      <c r="J1014" s="33">
        <f t="shared" si="47"/>
        <v>0</v>
      </c>
      <c r="K1014" s="33"/>
      <c r="L1014" s="3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88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</row>
    <row r="1015" spans="1:74" s="50" customFormat="1" ht="15" hidden="1" customHeight="1">
      <c r="A1015" s="109">
        <v>1011</v>
      </c>
      <c r="B1015" s="154" t="s">
        <v>2029</v>
      </c>
      <c r="C1015" s="135" t="s">
        <v>2030</v>
      </c>
      <c r="D1015" s="160" t="s">
        <v>21</v>
      </c>
      <c r="E1015" s="160"/>
      <c r="F1015" s="160"/>
      <c r="G1015" s="3">
        <v>844</v>
      </c>
      <c r="H1015" s="3">
        <f t="shared" ref="H1015:H1078" si="48">SUM(M1015+O1015+Q1015+S1015+U1015+W1015+Y1015+AA1015+AC1015+AE1015+AG1015+AI1015+AK1015+AM1015+AO1015+AQ1015+AS1015+AU1015+AW1015+AY1015+BA1015+BC1015+BE1015+BG1015+BI1015+BK1015+BM1015+BO1015+BQ1015+BS1015+BU1015)</f>
        <v>0</v>
      </c>
      <c r="I1015" s="3">
        <f t="shared" ref="I1015:I1078" si="49">SUM(N1015+P1015+R1015+T1015+V1015+X1015+Z1015+AB1015+AD1015+AF1015+AH1015+AJ1015+AL1015+AN1015+AP1015+AR1015+AT1015+AV1015+AX1015+AZ1015+BB1015+BD1015+BF1015+BH1015+BJ1015+BL1015+BN1015+BP1015+BR1015+BT1015+BV1015)</f>
        <v>0</v>
      </c>
      <c r="J1015" s="33">
        <f t="shared" ref="J1015:J1078" si="50">G1015+H1015-I1015</f>
        <v>844</v>
      </c>
      <c r="K1015" s="33"/>
      <c r="L1015" s="33"/>
      <c r="M1015" s="10"/>
      <c r="N1015" s="10"/>
      <c r="O1015" s="3"/>
      <c r="P1015" s="3"/>
      <c r="Q1015" s="10"/>
      <c r="R1015" s="10"/>
      <c r="S1015" s="10"/>
      <c r="T1015" s="10"/>
      <c r="U1015" s="10"/>
      <c r="V1015" s="10"/>
      <c r="W1015" s="3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11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3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</row>
    <row r="1016" spans="1:74" s="96" customFormat="1" ht="15" hidden="1" customHeight="1">
      <c r="A1016" s="142">
        <v>1012</v>
      </c>
      <c r="B1016" s="269" t="s">
        <v>2031</v>
      </c>
      <c r="C1016" s="309" t="s">
        <v>2032</v>
      </c>
      <c r="D1016" s="310" t="s">
        <v>21</v>
      </c>
      <c r="E1016" s="167"/>
      <c r="F1016" s="167"/>
      <c r="G1016" s="136">
        <v>0</v>
      </c>
      <c r="H1016" s="111">
        <f t="shared" si="48"/>
        <v>0</v>
      </c>
      <c r="I1016" s="111">
        <f t="shared" si="49"/>
        <v>0</v>
      </c>
      <c r="J1016" s="110">
        <v>0</v>
      </c>
      <c r="K1016" s="110"/>
      <c r="L1016" s="110"/>
      <c r="M1016" s="137"/>
      <c r="N1016" s="137"/>
      <c r="O1016" s="111"/>
      <c r="P1016" s="137"/>
      <c r="Q1016" s="137"/>
      <c r="R1016" s="137"/>
      <c r="S1016" s="137"/>
      <c r="T1016" s="137"/>
      <c r="U1016" s="111"/>
      <c r="V1016" s="137"/>
      <c r="W1016" s="137"/>
      <c r="X1016" s="137"/>
      <c r="Y1016" s="137"/>
      <c r="Z1016" s="137"/>
      <c r="AA1016" s="137"/>
      <c r="AB1016" s="137"/>
      <c r="AC1016" s="137"/>
      <c r="AD1016" s="137"/>
      <c r="AE1016" s="137"/>
      <c r="AF1016" s="137"/>
      <c r="AG1016" s="137"/>
      <c r="AH1016" s="137"/>
      <c r="AI1016" s="137"/>
      <c r="AJ1016" s="137"/>
      <c r="AK1016" s="137"/>
      <c r="AL1016" s="111"/>
      <c r="AM1016" s="137"/>
      <c r="AN1016" s="137"/>
      <c r="AO1016" s="137"/>
      <c r="AP1016" s="137"/>
      <c r="AQ1016" s="137"/>
      <c r="AR1016" s="137"/>
      <c r="AS1016" s="137"/>
      <c r="AT1016" s="137"/>
      <c r="AU1016" s="137"/>
      <c r="AV1016" s="137"/>
      <c r="AW1016" s="137"/>
      <c r="AX1016" s="137"/>
      <c r="AY1016" s="137"/>
      <c r="AZ1016" s="137"/>
      <c r="BA1016" s="137"/>
      <c r="BB1016" s="137"/>
      <c r="BC1016" s="137"/>
      <c r="BD1016" s="137"/>
      <c r="BE1016" s="137"/>
      <c r="BF1016" s="137"/>
      <c r="BG1016" s="137"/>
      <c r="BH1016" s="137"/>
      <c r="BI1016" s="137"/>
      <c r="BJ1016" s="137"/>
      <c r="BK1016" s="137"/>
      <c r="BL1016" s="137"/>
      <c r="BM1016" s="137"/>
      <c r="BN1016" s="137"/>
      <c r="BO1016" s="137"/>
      <c r="BP1016" s="137"/>
      <c r="BQ1016" s="137"/>
      <c r="BR1016" s="137"/>
      <c r="BS1016" s="137"/>
      <c r="BT1016" s="137"/>
      <c r="BU1016" s="137"/>
      <c r="BV1016" s="137"/>
    </row>
    <row r="1017" spans="1:74" s="96" customFormat="1" ht="15" hidden="1" customHeight="1">
      <c r="A1017" s="109">
        <v>1013</v>
      </c>
      <c r="B1017" s="154" t="s">
        <v>2033</v>
      </c>
      <c r="C1017" s="135" t="s">
        <v>2034</v>
      </c>
      <c r="D1017" s="160" t="s">
        <v>21</v>
      </c>
      <c r="E1017" s="160"/>
      <c r="F1017" s="160"/>
      <c r="G1017" s="168">
        <v>60</v>
      </c>
      <c r="H1017" s="3">
        <f t="shared" si="48"/>
        <v>0</v>
      </c>
      <c r="I1017" s="3">
        <f t="shared" si="49"/>
        <v>0</v>
      </c>
      <c r="J1017" s="33">
        <f t="shared" si="50"/>
        <v>60</v>
      </c>
      <c r="K1017" s="33"/>
      <c r="L1017" s="33"/>
      <c r="M1017" s="10"/>
      <c r="N1017" s="10"/>
      <c r="O1017" s="111"/>
      <c r="P1017" s="10"/>
      <c r="Q1017" s="10"/>
      <c r="R1017" s="10"/>
      <c r="S1017" s="10"/>
      <c r="T1017" s="10"/>
      <c r="U1017" s="10"/>
      <c r="V1017" s="111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11"/>
      <c r="AG1017" s="10"/>
      <c r="AH1017" s="111"/>
      <c r="AI1017" s="10"/>
      <c r="AJ1017" s="111"/>
      <c r="AK1017" s="10"/>
      <c r="AL1017" s="111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11"/>
      <c r="BP1017" s="10"/>
      <c r="BQ1017" s="10"/>
      <c r="BR1017" s="10"/>
      <c r="BS1017" s="10"/>
      <c r="BT1017" s="10"/>
      <c r="BU1017" s="10"/>
      <c r="BV1017" s="10"/>
    </row>
    <row r="1018" spans="1:74" s="96" customFormat="1" ht="15" hidden="1" customHeight="1">
      <c r="A1018" s="109">
        <v>1014</v>
      </c>
      <c r="B1018" s="154" t="s">
        <v>2035</v>
      </c>
      <c r="C1018" s="135" t="s">
        <v>2036</v>
      </c>
      <c r="D1018" s="160" t="s">
        <v>21</v>
      </c>
      <c r="E1018" s="160"/>
      <c r="F1018" s="160"/>
      <c r="G1018" s="168">
        <v>0</v>
      </c>
      <c r="H1018" s="3">
        <f t="shared" si="48"/>
        <v>0</v>
      </c>
      <c r="I1018" s="3">
        <f t="shared" si="49"/>
        <v>0</v>
      </c>
      <c r="J1018" s="33">
        <f t="shared" si="50"/>
        <v>0</v>
      </c>
      <c r="K1018" s="33"/>
      <c r="L1018" s="33"/>
      <c r="M1018" s="10"/>
      <c r="N1018" s="10"/>
      <c r="O1018" s="111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</row>
    <row r="1019" spans="1:74" s="96" customFormat="1" ht="15" hidden="1" customHeight="1">
      <c r="A1019" s="109">
        <v>1015</v>
      </c>
      <c r="B1019" s="154" t="s">
        <v>2037</v>
      </c>
      <c r="C1019" s="135" t="s">
        <v>2038</v>
      </c>
      <c r="D1019" s="160" t="s">
        <v>14</v>
      </c>
      <c r="E1019" s="160"/>
      <c r="F1019" s="160"/>
      <c r="G1019" s="168">
        <v>1</v>
      </c>
      <c r="H1019" s="3">
        <f t="shared" si="48"/>
        <v>0</v>
      </c>
      <c r="I1019" s="3">
        <f t="shared" si="49"/>
        <v>0</v>
      </c>
      <c r="J1019" s="33">
        <f t="shared" si="50"/>
        <v>1</v>
      </c>
      <c r="K1019" s="33"/>
      <c r="L1019" s="33"/>
      <c r="M1019" s="10"/>
      <c r="N1019" s="10"/>
      <c r="O1019" s="111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</row>
    <row r="1020" spans="1:74" s="96" customFormat="1" ht="15" hidden="1" customHeight="1">
      <c r="A1020" s="109">
        <v>1016</v>
      </c>
      <c r="B1020" s="154" t="s">
        <v>2039</v>
      </c>
      <c r="C1020" s="135" t="s">
        <v>2040</v>
      </c>
      <c r="D1020" s="160" t="s">
        <v>14</v>
      </c>
      <c r="E1020" s="160"/>
      <c r="F1020" s="160"/>
      <c r="G1020" s="168">
        <v>1</v>
      </c>
      <c r="H1020" s="3">
        <f t="shared" si="48"/>
        <v>0</v>
      </c>
      <c r="I1020" s="3">
        <f t="shared" si="49"/>
        <v>0</v>
      </c>
      <c r="J1020" s="33">
        <f t="shared" si="50"/>
        <v>1</v>
      </c>
      <c r="K1020" s="33"/>
      <c r="L1020" s="33"/>
      <c r="M1020" s="10"/>
      <c r="N1020" s="10"/>
      <c r="O1020" s="111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  <c r="BR1020" s="10"/>
      <c r="BS1020" s="10"/>
      <c r="BT1020" s="10"/>
      <c r="BU1020" s="10"/>
      <c r="BV1020" s="10"/>
    </row>
    <row r="1021" spans="1:74" s="96" customFormat="1" ht="15" hidden="1" customHeight="1">
      <c r="A1021" s="109">
        <v>1017</v>
      </c>
      <c r="B1021" s="154" t="s">
        <v>2041</v>
      </c>
      <c r="C1021" s="135" t="s">
        <v>2042</v>
      </c>
      <c r="D1021" s="160" t="s">
        <v>14</v>
      </c>
      <c r="E1021" s="160"/>
      <c r="F1021" s="160"/>
      <c r="G1021" s="168">
        <v>0</v>
      </c>
      <c r="H1021" s="3">
        <f t="shared" si="48"/>
        <v>0</v>
      </c>
      <c r="I1021" s="3">
        <f t="shared" si="49"/>
        <v>0</v>
      </c>
      <c r="J1021" s="33">
        <f t="shared" si="50"/>
        <v>0</v>
      </c>
      <c r="K1021" s="33"/>
      <c r="L1021" s="33"/>
      <c r="M1021" s="10"/>
      <c r="N1021" s="10"/>
      <c r="O1021" s="111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</row>
    <row r="1022" spans="1:74" s="96" customFormat="1" ht="15" hidden="1" customHeight="1">
      <c r="A1022" s="109">
        <v>1018</v>
      </c>
      <c r="B1022" s="169" t="s">
        <v>2043</v>
      </c>
      <c r="C1022" s="170" t="s">
        <v>2044</v>
      </c>
      <c r="D1022" s="171" t="s">
        <v>14</v>
      </c>
      <c r="E1022" s="171"/>
      <c r="F1022" s="171"/>
      <c r="G1022" s="172">
        <v>1</v>
      </c>
      <c r="H1022" s="127">
        <f t="shared" si="48"/>
        <v>0</v>
      </c>
      <c r="I1022" s="127">
        <f t="shared" si="49"/>
        <v>0</v>
      </c>
      <c r="J1022" s="173">
        <f t="shared" si="50"/>
        <v>1</v>
      </c>
      <c r="K1022" s="173"/>
      <c r="L1022" s="173"/>
      <c r="M1022" s="174"/>
      <c r="N1022" s="174"/>
      <c r="O1022" s="111"/>
      <c r="P1022" s="174"/>
      <c r="Q1022" s="174"/>
      <c r="R1022" s="174"/>
      <c r="S1022" s="174"/>
      <c r="T1022" s="174"/>
      <c r="U1022" s="174"/>
      <c r="V1022" s="174"/>
      <c r="W1022" s="174"/>
      <c r="X1022" s="174"/>
      <c r="Y1022" s="174"/>
      <c r="Z1022" s="174"/>
      <c r="AA1022" s="174"/>
      <c r="AB1022" s="174"/>
      <c r="AC1022" s="174"/>
      <c r="AD1022" s="174"/>
      <c r="AE1022" s="174"/>
      <c r="AF1022" s="174"/>
      <c r="AG1022" s="174"/>
      <c r="AH1022" s="174"/>
      <c r="AI1022" s="174"/>
      <c r="AJ1022" s="174"/>
      <c r="AK1022" s="174"/>
      <c r="AL1022" s="174"/>
      <c r="AM1022" s="174"/>
      <c r="AN1022" s="174"/>
      <c r="AO1022" s="174"/>
      <c r="AP1022" s="174"/>
      <c r="AQ1022" s="174"/>
      <c r="AR1022" s="174"/>
      <c r="AS1022" s="174"/>
      <c r="AT1022" s="174"/>
      <c r="AU1022" s="174"/>
      <c r="AV1022" s="174"/>
      <c r="AW1022" s="174"/>
      <c r="AX1022" s="174"/>
      <c r="AY1022" s="174"/>
      <c r="AZ1022" s="174"/>
      <c r="BA1022" s="174"/>
      <c r="BB1022" s="174"/>
      <c r="BC1022" s="174"/>
      <c r="BD1022" s="174"/>
      <c r="BE1022" s="174"/>
      <c r="BF1022" s="174"/>
      <c r="BG1022" s="174"/>
      <c r="BH1022" s="174"/>
      <c r="BI1022" s="174"/>
      <c r="BJ1022" s="174"/>
      <c r="BK1022" s="174"/>
      <c r="BL1022" s="174"/>
      <c r="BM1022" s="174"/>
      <c r="BN1022" s="174"/>
      <c r="BO1022" s="174"/>
      <c r="BP1022" s="174"/>
      <c r="BQ1022" s="174"/>
      <c r="BR1022" s="174"/>
      <c r="BS1022" s="174"/>
      <c r="BT1022" s="174"/>
      <c r="BU1022" s="174"/>
      <c r="BV1022" s="174"/>
    </row>
    <row r="1023" spans="1:74" s="50" customFormat="1" ht="15" hidden="1" customHeight="1">
      <c r="A1023" s="109">
        <v>1019</v>
      </c>
      <c r="B1023" s="121" t="s">
        <v>2045</v>
      </c>
      <c r="C1023" s="135" t="s">
        <v>2046</v>
      </c>
      <c r="D1023" s="121" t="s">
        <v>14</v>
      </c>
      <c r="E1023" s="121"/>
      <c r="F1023" s="121"/>
      <c r="G1023" s="165">
        <v>6</v>
      </c>
      <c r="H1023" s="10">
        <f t="shared" si="48"/>
        <v>0</v>
      </c>
      <c r="I1023" s="3">
        <f t="shared" si="49"/>
        <v>0</v>
      </c>
      <c r="J1023" s="33">
        <f t="shared" si="50"/>
        <v>6</v>
      </c>
      <c r="K1023" s="33"/>
      <c r="L1023" s="3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88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88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88"/>
      <c r="BP1023" s="13"/>
      <c r="BQ1023" s="13"/>
      <c r="BR1023" s="13"/>
      <c r="BS1023" s="13"/>
      <c r="BT1023" s="13"/>
      <c r="BU1023" s="13"/>
      <c r="BV1023" s="13"/>
    </row>
    <row r="1024" spans="1:74" s="50" customFormat="1" ht="15" hidden="1" customHeight="1">
      <c r="A1024" s="109">
        <v>1020</v>
      </c>
      <c r="B1024" s="154" t="s">
        <v>2047</v>
      </c>
      <c r="C1024" s="156" t="s">
        <v>2048</v>
      </c>
      <c r="D1024" s="26" t="s">
        <v>21</v>
      </c>
      <c r="E1024" s="26"/>
      <c r="F1024" s="26"/>
      <c r="G1024" s="168">
        <v>4358</v>
      </c>
      <c r="H1024" s="3">
        <f t="shared" si="48"/>
        <v>0</v>
      </c>
      <c r="I1024" s="3">
        <f t="shared" si="49"/>
        <v>0</v>
      </c>
      <c r="J1024" s="33">
        <f t="shared" si="50"/>
        <v>4358</v>
      </c>
      <c r="K1024" s="33"/>
      <c r="L1024" s="33"/>
      <c r="M1024" s="10"/>
      <c r="N1024" s="10"/>
      <c r="O1024" s="10"/>
      <c r="P1024" s="10"/>
      <c r="Q1024" s="10"/>
      <c r="R1024" s="3"/>
      <c r="S1024" s="10"/>
      <c r="T1024" s="10"/>
      <c r="U1024" s="111"/>
      <c r="V1024" s="111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11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</row>
    <row r="1025" spans="1:74" s="50" customFormat="1" ht="15" hidden="1" customHeight="1">
      <c r="A1025" s="142">
        <v>1021</v>
      </c>
      <c r="B1025" s="265" t="s">
        <v>2049</v>
      </c>
      <c r="C1025" s="264" t="s">
        <v>2050</v>
      </c>
      <c r="D1025" s="143" t="s">
        <v>21</v>
      </c>
      <c r="E1025" s="26"/>
      <c r="F1025" s="26"/>
      <c r="G1025" s="168">
        <v>3</v>
      </c>
      <c r="H1025" s="3">
        <f t="shared" si="48"/>
        <v>0</v>
      </c>
      <c r="I1025" s="3">
        <f t="shared" si="49"/>
        <v>0</v>
      </c>
      <c r="J1025" s="33">
        <f t="shared" si="50"/>
        <v>3</v>
      </c>
      <c r="K1025" s="33"/>
      <c r="L1025" s="33"/>
      <c r="M1025" s="10"/>
      <c r="N1025" s="10"/>
      <c r="O1025" s="10"/>
      <c r="P1025" s="10"/>
      <c r="Q1025" s="10"/>
      <c r="R1025" s="10"/>
      <c r="S1025" s="10"/>
      <c r="T1025" s="10"/>
      <c r="U1025" s="111"/>
      <c r="V1025" s="111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11"/>
      <c r="BM1025" s="10"/>
      <c r="BN1025" s="10"/>
      <c r="BO1025" s="10"/>
      <c r="BP1025" s="10"/>
      <c r="BQ1025" s="10"/>
      <c r="BR1025" s="10"/>
      <c r="BS1025" s="10"/>
      <c r="BT1025" s="10"/>
      <c r="BU1025" s="10"/>
      <c r="BV1025" s="10"/>
    </row>
    <row r="1026" spans="1:74" s="50" customFormat="1" ht="30" hidden="1" customHeight="1">
      <c r="A1026" s="142">
        <v>1022</v>
      </c>
      <c r="B1026" s="265" t="s">
        <v>2051</v>
      </c>
      <c r="C1026" s="266" t="s">
        <v>2052</v>
      </c>
      <c r="D1026" s="267" t="s">
        <v>21</v>
      </c>
      <c r="E1026" s="160"/>
      <c r="F1026" s="160"/>
      <c r="G1026" s="168">
        <v>3</v>
      </c>
      <c r="H1026" s="3">
        <f t="shared" si="48"/>
        <v>0</v>
      </c>
      <c r="I1026" s="3">
        <f t="shared" si="49"/>
        <v>0</v>
      </c>
      <c r="J1026" s="33">
        <f t="shared" si="50"/>
        <v>3</v>
      </c>
      <c r="K1026" s="33"/>
      <c r="L1026" s="33"/>
      <c r="M1026" s="10"/>
      <c r="N1026" s="10"/>
      <c r="O1026" s="10"/>
      <c r="P1026" s="10"/>
      <c r="Q1026" s="10"/>
      <c r="R1026" s="10"/>
      <c r="S1026" s="10"/>
      <c r="T1026" s="10"/>
      <c r="U1026" s="111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11"/>
      <c r="AG1026" s="10"/>
      <c r="AH1026" s="111"/>
      <c r="AI1026" s="10"/>
      <c r="AJ1026" s="111"/>
      <c r="AK1026" s="10"/>
      <c r="AL1026" s="111"/>
      <c r="AM1026" s="10"/>
      <c r="AN1026" s="10"/>
      <c r="AO1026" s="10"/>
      <c r="AP1026" s="10"/>
      <c r="AQ1026" s="10"/>
      <c r="AR1026" s="10"/>
      <c r="AS1026" s="10"/>
      <c r="AT1026" s="111"/>
      <c r="AU1026" s="10"/>
      <c r="AV1026" s="111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  <c r="BU1026" s="10"/>
      <c r="BV1026" s="10"/>
    </row>
    <row r="1027" spans="1:74" s="50" customFormat="1" ht="15" hidden="1" customHeight="1">
      <c r="A1027" s="109">
        <v>1023</v>
      </c>
      <c r="B1027" s="154" t="s">
        <v>2053</v>
      </c>
      <c r="C1027" s="156" t="s">
        <v>2054</v>
      </c>
      <c r="D1027" s="26" t="s">
        <v>14</v>
      </c>
      <c r="E1027" s="26"/>
      <c r="F1027" s="26"/>
      <c r="G1027" s="168">
        <v>1</v>
      </c>
      <c r="H1027" s="3">
        <f t="shared" si="48"/>
        <v>0</v>
      </c>
      <c r="I1027" s="3">
        <f t="shared" si="49"/>
        <v>0</v>
      </c>
      <c r="J1027" s="33">
        <f t="shared" si="50"/>
        <v>1</v>
      </c>
      <c r="K1027" s="33"/>
      <c r="L1027" s="33"/>
      <c r="M1027" s="10"/>
      <c r="N1027" s="10"/>
      <c r="O1027" s="10"/>
      <c r="P1027" s="10"/>
      <c r="Q1027" s="10"/>
      <c r="R1027" s="10"/>
      <c r="S1027" s="10"/>
      <c r="T1027" s="10"/>
      <c r="U1027" s="111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11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11"/>
      <c r="BH1027" s="10"/>
      <c r="BI1027" s="10"/>
      <c r="BJ1027" s="111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  <c r="BU1027" s="10"/>
      <c r="BV1027" s="10"/>
    </row>
    <row r="1028" spans="1:74" s="50" customFormat="1" ht="15" hidden="1" customHeight="1">
      <c r="A1028" s="109">
        <v>1024</v>
      </c>
      <c r="B1028" s="154" t="s">
        <v>2055</v>
      </c>
      <c r="C1028" s="156" t="s">
        <v>2056</v>
      </c>
      <c r="D1028" s="26" t="s">
        <v>21</v>
      </c>
      <c r="E1028" s="26"/>
      <c r="F1028" s="26"/>
      <c r="G1028" s="168">
        <v>2</v>
      </c>
      <c r="H1028" s="3">
        <f t="shared" si="48"/>
        <v>0</v>
      </c>
      <c r="I1028" s="3">
        <f t="shared" si="49"/>
        <v>0</v>
      </c>
      <c r="J1028" s="33">
        <f t="shared" si="50"/>
        <v>2</v>
      </c>
      <c r="K1028" s="33"/>
      <c r="L1028" s="33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11"/>
      <c r="AI1028" s="10"/>
      <c r="AJ1028" s="111"/>
      <c r="AK1028" s="10"/>
      <c r="AL1028" s="111"/>
      <c r="AM1028" s="10"/>
      <c r="AN1028" s="10"/>
      <c r="AO1028" s="10"/>
      <c r="AP1028" s="10"/>
      <c r="AQ1028" s="10"/>
      <c r="AR1028" s="10"/>
      <c r="AS1028" s="10"/>
      <c r="AT1028" s="111"/>
      <c r="AU1028" s="10"/>
      <c r="AV1028" s="111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</row>
    <row r="1029" spans="1:74" s="50" customFormat="1" ht="15" hidden="1" customHeight="1">
      <c r="A1029" s="109">
        <v>1025</v>
      </c>
      <c r="B1029" s="154" t="s">
        <v>2057</v>
      </c>
      <c r="C1029" s="156" t="s">
        <v>2058</v>
      </c>
      <c r="D1029" s="26" t="s">
        <v>21</v>
      </c>
      <c r="E1029" s="26"/>
      <c r="F1029" s="26"/>
      <c r="G1029" s="168">
        <v>3</v>
      </c>
      <c r="H1029" s="3">
        <f t="shared" si="48"/>
        <v>0</v>
      </c>
      <c r="I1029" s="3">
        <f t="shared" si="49"/>
        <v>0</v>
      </c>
      <c r="J1029" s="33">
        <f t="shared" si="50"/>
        <v>3</v>
      </c>
      <c r="K1029" s="33"/>
      <c r="L1029" s="33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11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11"/>
      <c r="AY1029" s="10"/>
      <c r="AZ1029" s="10"/>
      <c r="BA1029" s="111"/>
      <c r="BB1029" s="10"/>
      <c r="BC1029" s="10"/>
      <c r="BD1029" s="10"/>
      <c r="BE1029" s="10"/>
      <c r="BF1029" s="10"/>
      <c r="BG1029" s="10"/>
      <c r="BH1029" s="111"/>
      <c r="BI1029" s="10"/>
      <c r="BJ1029" s="10"/>
      <c r="BK1029" s="10"/>
      <c r="BL1029" s="10"/>
      <c r="BM1029" s="10"/>
      <c r="BN1029" s="10"/>
      <c r="BO1029" s="10"/>
      <c r="BP1029" s="111"/>
      <c r="BQ1029" s="10"/>
      <c r="BR1029" s="10"/>
      <c r="BS1029" s="10"/>
      <c r="BT1029" s="10"/>
      <c r="BU1029" s="10"/>
      <c r="BV1029" s="10"/>
    </row>
    <row r="1030" spans="1:74" s="50" customFormat="1" ht="15" hidden="1" customHeight="1">
      <c r="A1030" s="109">
        <v>1026</v>
      </c>
      <c r="B1030" s="154" t="s">
        <v>2059</v>
      </c>
      <c r="C1030" s="176" t="s">
        <v>2060</v>
      </c>
      <c r="D1030" s="26" t="s">
        <v>21</v>
      </c>
      <c r="E1030" s="26"/>
      <c r="F1030" s="26"/>
      <c r="G1030" s="168">
        <v>127</v>
      </c>
      <c r="H1030" s="3">
        <f t="shared" si="48"/>
        <v>0</v>
      </c>
      <c r="I1030" s="3">
        <f t="shared" si="49"/>
        <v>0</v>
      </c>
      <c r="J1030" s="33">
        <f t="shared" si="50"/>
        <v>127</v>
      </c>
      <c r="K1030" s="33"/>
      <c r="L1030" s="33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11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11"/>
      <c r="AY1030" s="10"/>
      <c r="AZ1030" s="10"/>
      <c r="BA1030" s="111"/>
      <c r="BB1030" s="10"/>
      <c r="BC1030" s="10"/>
      <c r="BD1030" s="10"/>
      <c r="BE1030" s="10"/>
      <c r="BF1030" s="10"/>
      <c r="BG1030" s="10"/>
      <c r="BH1030" s="111"/>
      <c r="BI1030" s="10"/>
      <c r="BJ1030" s="10"/>
      <c r="BK1030" s="10"/>
      <c r="BL1030" s="10"/>
      <c r="BM1030" s="10"/>
      <c r="BN1030" s="10"/>
      <c r="BO1030" s="10"/>
      <c r="BP1030" s="111"/>
      <c r="BQ1030" s="10"/>
      <c r="BR1030" s="10"/>
      <c r="BS1030" s="10"/>
      <c r="BT1030" s="10"/>
      <c r="BU1030" s="10"/>
      <c r="BV1030" s="10"/>
    </row>
    <row r="1031" spans="1:74" s="50" customFormat="1" ht="30" hidden="1" customHeight="1">
      <c r="A1031" s="109">
        <v>1027</v>
      </c>
      <c r="B1031" s="154" t="s">
        <v>2061</v>
      </c>
      <c r="C1031" s="177" t="s">
        <v>2062</v>
      </c>
      <c r="D1031" s="160" t="s">
        <v>21</v>
      </c>
      <c r="E1031" s="160"/>
      <c r="F1031" s="160"/>
      <c r="G1031" s="168">
        <v>127</v>
      </c>
      <c r="H1031" s="3">
        <f t="shared" si="48"/>
        <v>0</v>
      </c>
      <c r="I1031" s="3">
        <f t="shared" si="49"/>
        <v>0</v>
      </c>
      <c r="J1031" s="33">
        <f t="shared" si="50"/>
        <v>127</v>
      </c>
      <c r="K1031" s="33"/>
      <c r="L1031" s="33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11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11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  <c r="BU1031" s="10"/>
      <c r="BV1031" s="10"/>
    </row>
    <row r="1032" spans="1:74" s="50" customFormat="1" ht="15" hidden="1" customHeight="1">
      <c r="A1032" s="109">
        <v>1028</v>
      </c>
      <c r="B1032" s="154" t="s">
        <v>2063</v>
      </c>
      <c r="C1032" s="156" t="s">
        <v>2064</v>
      </c>
      <c r="D1032" s="160" t="s">
        <v>14</v>
      </c>
      <c r="E1032" s="160"/>
      <c r="F1032" s="160"/>
      <c r="G1032" s="168">
        <v>0</v>
      </c>
      <c r="H1032" s="3">
        <f t="shared" si="48"/>
        <v>0</v>
      </c>
      <c r="I1032" s="3">
        <f t="shared" si="49"/>
        <v>0</v>
      </c>
      <c r="J1032" s="33">
        <f t="shared" si="50"/>
        <v>0</v>
      </c>
      <c r="K1032" s="33"/>
      <c r="L1032" s="33"/>
      <c r="M1032" s="10"/>
      <c r="N1032" s="10"/>
      <c r="O1032" s="10"/>
      <c r="P1032" s="10"/>
      <c r="Q1032" s="10"/>
      <c r="R1032" s="111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11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11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  <c r="BU1032" s="10"/>
      <c r="BV1032" s="10"/>
    </row>
    <row r="1033" spans="1:74" s="50" customFormat="1" ht="15" hidden="1" customHeight="1">
      <c r="A1033" s="109">
        <v>1029</v>
      </c>
      <c r="B1033" s="154" t="s">
        <v>2065</v>
      </c>
      <c r="C1033" s="156" t="s">
        <v>2066</v>
      </c>
      <c r="D1033" s="160" t="s">
        <v>14</v>
      </c>
      <c r="E1033" s="160"/>
      <c r="F1033" s="160"/>
      <c r="G1033" s="168">
        <v>0</v>
      </c>
      <c r="H1033" s="3">
        <f t="shared" si="48"/>
        <v>0</v>
      </c>
      <c r="I1033" s="3">
        <f t="shared" si="49"/>
        <v>0</v>
      </c>
      <c r="J1033" s="33">
        <f t="shared" si="50"/>
        <v>0</v>
      </c>
      <c r="K1033" s="33"/>
      <c r="L1033" s="33"/>
      <c r="M1033" s="10"/>
      <c r="N1033" s="10"/>
      <c r="O1033" s="10"/>
      <c r="P1033" s="10"/>
      <c r="Q1033" s="10"/>
      <c r="R1033" s="111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11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11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11"/>
      <c r="BI1033" s="10"/>
      <c r="BJ1033" s="10"/>
      <c r="BK1033" s="10"/>
      <c r="BL1033" s="10"/>
      <c r="BM1033" s="10"/>
      <c r="BN1033" s="10"/>
      <c r="BO1033" s="10"/>
      <c r="BP1033" s="111"/>
      <c r="BQ1033" s="10"/>
      <c r="BR1033" s="10"/>
      <c r="BS1033" s="10"/>
      <c r="BT1033" s="10"/>
      <c r="BU1033" s="10"/>
      <c r="BV1033" s="10"/>
    </row>
    <row r="1034" spans="1:74" s="50" customFormat="1" ht="15" hidden="1" customHeight="1">
      <c r="A1034" s="109">
        <v>1030</v>
      </c>
      <c r="B1034" s="154" t="s">
        <v>2067</v>
      </c>
      <c r="C1034" s="156" t="s">
        <v>2068</v>
      </c>
      <c r="D1034" s="26" t="s">
        <v>14</v>
      </c>
      <c r="E1034" s="26"/>
      <c r="F1034" s="26"/>
      <c r="G1034" s="168">
        <v>0</v>
      </c>
      <c r="H1034" s="3">
        <f t="shared" si="48"/>
        <v>0</v>
      </c>
      <c r="I1034" s="3">
        <f t="shared" si="49"/>
        <v>0</v>
      </c>
      <c r="J1034" s="33">
        <f t="shared" si="50"/>
        <v>0</v>
      </c>
      <c r="K1034" s="33"/>
      <c r="L1034" s="33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11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/>
      <c r="BQ1034" s="10"/>
      <c r="BR1034" s="10"/>
      <c r="BS1034" s="10"/>
      <c r="BT1034" s="10"/>
      <c r="BU1034" s="10"/>
      <c r="BV1034" s="10"/>
    </row>
    <row r="1035" spans="1:74" s="50" customFormat="1" ht="30" hidden="1" customHeight="1">
      <c r="A1035" s="109">
        <v>1031</v>
      </c>
      <c r="B1035" s="154" t="s">
        <v>2069</v>
      </c>
      <c r="C1035" s="175" t="s">
        <v>2070</v>
      </c>
      <c r="D1035" s="160" t="s">
        <v>21</v>
      </c>
      <c r="E1035" s="160"/>
      <c r="F1035" s="160"/>
      <c r="G1035" s="168">
        <v>0</v>
      </c>
      <c r="H1035" s="3">
        <f t="shared" si="48"/>
        <v>0</v>
      </c>
      <c r="I1035" s="3">
        <f t="shared" si="49"/>
        <v>0</v>
      </c>
      <c r="J1035" s="33">
        <f t="shared" si="50"/>
        <v>0</v>
      </c>
      <c r="K1035" s="33"/>
      <c r="L1035" s="33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11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11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  <c r="BU1035" s="10"/>
      <c r="BV1035" s="10"/>
    </row>
    <row r="1036" spans="1:74" s="50" customFormat="1" ht="15" hidden="1" customHeight="1">
      <c r="A1036" s="109">
        <v>1032</v>
      </c>
      <c r="B1036" s="154" t="s">
        <v>2071</v>
      </c>
      <c r="C1036" s="156" t="s">
        <v>2072</v>
      </c>
      <c r="D1036" s="160" t="s">
        <v>14</v>
      </c>
      <c r="E1036" s="160"/>
      <c r="F1036" s="160"/>
      <c r="G1036" s="168">
        <v>1</v>
      </c>
      <c r="H1036" s="3">
        <f t="shared" si="48"/>
        <v>0</v>
      </c>
      <c r="I1036" s="3">
        <f t="shared" si="49"/>
        <v>0</v>
      </c>
      <c r="J1036" s="33">
        <f t="shared" si="50"/>
        <v>1</v>
      </c>
      <c r="K1036" s="33"/>
      <c r="L1036" s="33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11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11"/>
      <c r="BH1036" s="10"/>
      <c r="BI1036" s="10"/>
      <c r="BJ1036" s="10"/>
      <c r="BK1036" s="10"/>
      <c r="BL1036" s="10"/>
      <c r="BM1036" s="10"/>
      <c r="BN1036" s="10"/>
      <c r="BO1036" s="10"/>
      <c r="BP1036" s="10"/>
      <c r="BQ1036" s="10"/>
      <c r="BR1036" s="10"/>
      <c r="BS1036" s="10"/>
      <c r="BT1036" s="10"/>
      <c r="BU1036" s="10"/>
      <c r="BV1036" s="10"/>
    </row>
    <row r="1037" spans="1:74" s="50" customFormat="1" ht="15" hidden="1" customHeight="1">
      <c r="A1037" s="109">
        <v>1033</v>
      </c>
      <c r="B1037" s="154" t="s">
        <v>2073</v>
      </c>
      <c r="C1037" s="156" t="s">
        <v>2074</v>
      </c>
      <c r="D1037" s="160" t="s">
        <v>14</v>
      </c>
      <c r="E1037" s="160"/>
      <c r="F1037" s="160"/>
      <c r="G1037" s="168">
        <v>2</v>
      </c>
      <c r="H1037" s="3">
        <f t="shared" si="48"/>
        <v>0</v>
      </c>
      <c r="I1037" s="3">
        <f t="shared" si="49"/>
        <v>0</v>
      </c>
      <c r="J1037" s="33">
        <f t="shared" si="50"/>
        <v>2</v>
      </c>
      <c r="K1037" s="33"/>
      <c r="L1037" s="33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11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11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</row>
    <row r="1038" spans="1:74" s="50" customFormat="1" ht="30" hidden="1" customHeight="1">
      <c r="A1038" s="109">
        <v>1034</v>
      </c>
      <c r="B1038" s="154" t="s">
        <v>2075</v>
      </c>
      <c r="C1038" s="175" t="s">
        <v>2076</v>
      </c>
      <c r="D1038" s="160" t="s">
        <v>14</v>
      </c>
      <c r="E1038" s="160"/>
      <c r="F1038" s="160"/>
      <c r="G1038" s="168">
        <v>2</v>
      </c>
      <c r="H1038" s="3">
        <f t="shared" si="48"/>
        <v>0</v>
      </c>
      <c r="I1038" s="3">
        <f t="shared" si="49"/>
        <v>0</v>
      </c>
      <c r="J1038" s="33">
        <f t="shared" si="50"/>
        <v>2</v>
      </c>
      <c r="K1038" s="33"/>
      <c r="L1038" s="33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11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11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</row>
    <row r="1039" spans="1:74" s="50" customFormat="1" ht="30" hidden="1" customHeight="1">
      <c r="A1039" s="109">
        <v>1035</v>
      </c>
      <c r="B1039" s="154" t="s">
        <v>2077</v>
      </c>
      <c r="C1039" s="175" t="s">
        <v>2078</v>
      </c>
      <c r="D1039" s="160" t="s">
        <v>14</v>
      </c>
      <c r="E1039" s="160"/>
      <c r="F1039" s="160"/>
      <c r="G1039" s="168">
        <v>1</v>
      </c>
      <c r="H1039" s="3">
        <f t="shared" si="48"/>
        <v>0</v>
      </c>
      <c r="I1039" s="3">
        <f t="shared" si="49"/>
        <v>0</v>
      </c>
      <c r="J1039" s="33">
        <f t="shared" si="50"/>
        <v>1</v>
      </c>
      <c r="K1039" s="33"/>
      <c r="L1039" s="33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11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11"/>
      <c r="BH1039" s="10"/>
      <c r="BI1039" s="10"/>
      <c r="BJ1039" s="10"/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/>
      <c r="BU1039" s="10"/>
      <c r="BV1039" s="10"/>
    </row>
    <row r="1040" spans="1:74" s="50" customFormat="1" ht="15" hidden="1" customHeight="1">
      <c r="A1040" s="109">
        <v>1036</v>
      </c>
      <c r="B1040" s="154" t="s">
        <v>2079</v>
      </c>
      <c r="C1040" s="176" t="s">
        <v>2080</v>
      </c>
      <c r="D1040" s="160" t="s">
        <v>14</v>
      </c>
      <c r="E1040" s="160"/>
      <c r="F1040" s="160"/>
      <c r="G1040" s="168">
        <v>1</v>
      </c>
      <c r="H1040" s="3">
        <f t="shared" si="48"/>
        <v>0</v>
      </c>
      <c r="I1040" s="3">
        <f t="shared" si="49"/>
        <v>0</v>
      </c>
      <c r="J1040" s="33">
        <f t="shared" si="50"/>
        <v>1</v>
      </c>
      <c r="K1040" s="33"/>
      <c r="L1040" s="33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11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11"/>
      <c r="BH1040" s="10"/>
      <c r="BI1040" s="10"/>
      <c r="BJ1040" s="10"/>
      <c r="BK1040" s="10"/>
      <c r="BL1040" s="10"/>
      <c r="BM1040" s="111"/>
      <c r="BN1040" s="10"/>
      <c r="BO1040" s="10"/>
      <c r="BP1040" s="10"/>
      <c r="BQ1040" s="10"/>
      <c r="BR1040" s="10"/>
      <c r="BS1040" s="10"/>
      <c r="BT1040" s="10"/>
      <c r="BU1040" s="10"/>
      <c r="BV1040" s="10"/>
    </row>
    <row r="1041" spans="1:74" s="50" customFormat="1" ht="15" hidden="1" customHeight="1">
      <c r="A1041" s="109">
        <v>1037</v>
      </c>
      <c r="B1041" s="154" t="s">
        <v>2081</v>
      </c>
      <c r="C1041" s="156" t="s">
        <v>2082</v>
      </c>
      <c r="D1041" s="160" t="s">
        <v>14</v>
      </c>
      <c r="E1041" s="160"/>
      <c r="F1041" s="160"/>
      <c r="G1041" s="168">
        <v>13</v>
      </c>
      <c r="H1041" s="3">
        <f t="shared" si="48"/>
        <v>0</v>
      </c>
      <c r="I1041" s="3">
        <f t="shared" si="49"/>
        <v>0</v>
      </c>
      <c r="J1041" s="33">
        <f t="shared" si="50"/>
        <v>13</v>
      </c>
      <c r="K1041" s="33"/>
      <c r="L1041" s="33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11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  <c r="BU1041" s="10"/>
      <c r="BV1041" s="10"/>
    </row>
    <row r="1042" spans="1:74" s="50" customFormat="1" ht="15" hidden="1" customHeight="1">
      <c r="A1042" s="109">
        <v>1038</v>
      </c>
      <c r="B1042" s="154" t="s">
        <v>2083</v>
      </c>
      <c r="C1042" s="156" t="s">
        <v>2084</v>
      </c>
      <c r="D1042" s="160" t="s">
        <v>14</v>
      </c>
      <c r="E1042" s="160"/>
      <c r="F1042" s="160"/>
      <c r="G1042" s="168">
        <v>0</v>
      </c>
      <c r="H1042" s="3">
        <f t="shared" si="48"/>
        <v>0</v>
      </c>
      <c r="I1042" s="3">
        <f t="shared" si="49"/>
        <v>0</v>
      </c>
      <c r="J1042" s="33">
        <f t="shared" si="50"/>
        <v>0</v>
      </c>
      <c r="K1042" s="33"/>
      <c r="L1042" s="33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11"/>
      <c r="BH1042" s="10"/>
      <c r="BI1042" s="10"/>
      <c r="BJ1042" s="10"/>
      <c r="BK1042" s="10"/>
      <c r="BL1042" s="10"/>
      <c r="BM1042" s="10"/>
      <c r="BN1042" s="10"/>
      <c r="BO1042" s="10"/>
      <c r="BP1042" s="10"/>
      <c r="BQ1042" s="10"/>
      <c r="BR1042" s="10"/>
      <c r="BS1042" s="10"/>
      <c r="BT1042" s="10"/>
      <c r="BU1042" s="10"/>
      <c r="BV1042" s="10"/>
    </row>
    <row r="1043" spans="1:74" s="50" customFormat="1" ht="15" hidden="1" customHeight="1">
      <c r="A1043" s="109">
        <v>1039</v>
      </c>
      <c r="B1043" s="154" t="s">
        <v>2085</v>
      </c>
      <c r="C1043" s="175" t="s">
        <v>2086</v>
      </c>
      <c r="D1043" s="160" t="s">
        <v>14</v>
      </c>
      <c r="E1043" s="160"/>
      <c r="F1043" s="160"/>
      <c r="G1043" s="168">
        <v>0</v>
      </c>
      <c r="H1043" s="3">
        <f t="shared" si="48"/>
        <v>0</v>
      </c>
      <c r="I1043" s="3">
        <f t="shared" si="49"/>
        <v>0</v>
      </c>
      <c r="J1043" s="33">
        <f t="shared" si="50"/>
        <v>0</v>
      </c>
      <c r="K1043" s="33"/>
      <c r="L1043" s="33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11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  <c r="BU1043" s="10"/>
      <c r="BV1043" s="10"/>
    </row>
    <row r="1044" spans="1:74" s="50" customFormat="1" ht="15" hidden="1" customHeight="1">
      <c r="A1044" s="109">
        <v>1040</v>
      </c>
      <c r="B1044" s="154" t="s">
        <v>2087</v>
      </c>
      <c r="C1044" s="156" t="s">
        <v>2088</v>
      </c>
      <c r="D1044" s="160" t="s">
        <v>14</v>
      </c>
      <c r="E1044" s="160"/>
      <c r="F1044" s="160"/>
      <c r="G1044" s="168">
        <v>0</v>
      </c>
      <c r="H1044" s="3">
        <f t="shared" si="48"/>
        <v>0</v>
      </c>
      <c r="I1044" s="3">
        <f t="shared" si="49"/>
        <v>0</v>
      </c>
      <c r="J1044" s="33">
        <f t="shared" si="50"/>
        <v>0</v>
      </c>
      <c r="K1044" s="33"/>
      <c r="L1044" s="33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11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</row>
    <row r="1045" spans="1:74" s="50" customFormat="1" ht="15" hidden="1" customHeight="1">
      <c r="A1045" s="109">
        <v>1041</v>
      </c>
      <c r="B1045" s="154" t="s">
        <v>2089</v>
      </c>
      <c r="C1045" s="156" t="s">
        <v>2090</v>
      </c>
      <c r="D1045" s="160" t="s">
        <v>14</v>
      </c>
      <c r="E1045" s="160"/>
      <c r="F1045" s="160"/>
      <c r="G1045" s="168">
        <v>1</v>
      </c>
      <c r="H1045" s="3">
        <f t="shared" si="48"/>
        <v>0</v>
      </c>
      <c r="I1045" s="3">
        <f t="shared" si="49"/>
        <v>0</v>
      </c>
      <c r="J1045" s="33">
        <f t="shared" si="50"/>
        <v>1</v>
      </c>
      <c r="K1045" s="33"/>
      <c r="L1045" s="33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11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11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</row>
    <row r="1046" spans="1:74" s="50" customFormat="1" ht="15" hidden="1" customHeight="1">
      <c r="A1046" s="109">
        <v>1042</v>
      </c>
      <c r="B1046" s="154" t="s">
        <v>2091</v>
      </c>
      <c r="C1046" s="156" t="s">
        <v>2092</v>
      </c>
      <c r="D1046" s="160" t="s">
        <v>14</v>
      </c>
      <c r="E1046" s="160"/>
      <c r="F1046" s="160"/>
      <c r="G1046" s="168">
        <v>2</v>
      </c>
      <c r="H1046" s="3">
        <f t="shared" si="48"/>
        <v>0</v>
      </c>
      <c r="I1046" s="3">
        <f t="shared" si="49"/>
        <v>0</v>
      </c>
      <c r="J1046" s="33">
        <f t="shared" si="50"/>
        <v>2</v>
      </c>
      <c r="K1046" s="33"/>
      <c r="L1046" s="33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11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11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</row>
    <row r="1047" spans="1:74" s="50" customFormat="1" ht="20.100000000000001" hidden="1" customHeight="1">
      <c r="A1047" s="109">
        <v>1043</v>
      </c>
      <c r="B1047" s="154" t="s">
        <v>2093</v>
      </c>
      <c r="C1047" s="175" t="s">
        <v>2094</v>
      </c>
      <c r="D1047" s="160" t="s">
        <v>14</v>
      </c>
      <c r="E1047" s="160"/>
      <c r="F1047" s="160"/>
      <c r="G1047" s="168">
        <v>2</v>
      </c>
      <c r="H1047" s="3">
        <f t="shared" si="48"/>
        <v>0</v>
      </c>
      <c r="I1047" s="3">
        <f t="shared" si="49"/>
        <v>0</v>
      </c>
      <c r="J1047" s="33">
        <f t="shared" si="50"/>
        <v>2</v>
      </c>
      <c r="K1047" s="33"/>
      <c r="L1047" s="33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11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11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</row>
    <row r="1048" spans="1:74" s="50" customFormat="1" ht="30" hidden="1" customHeight="1">
      <c r="A1048" s="109">
        <v>1044</v>
      </c>
      <c r="B1048" s="154" t="s">
        <v>2095</v>
      </c>
      <c r="C1048" s="175" t="s">
        <v>2096</v>
      </c>
      <c r="D1048" s="160" t="s">
        <v>14</v>
      </c>
      <c r="E1048" s="160"/>
      <c r="F1048" s="160"/>
      <c r="G1048" s="168">
        <v>1</v>
      </c>
      <c r="H1048" s="3">
        <f t="shared" si="48"/>
        <v>0</v>
      </c>
      <c r="I1048" s="3">
        <f t="shared" si="49"/>
        <v>0</v>
      </c>
      <c r="J1048" s="33">
        <f t="shared" si="50"/>
        <v>1</v>
      </c>
      <c r="K1048" s="33"/>
      <c r="L1048" s="33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11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11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  <c r="BU1048" s="10"/>
      <c r="BV1048" s="10"/>
    </row>
    <row r="1049" spans="1:74" s="50" customFormat="1" ht="30" hidden="1" customHeight="1">
      <c r="A1049" s="109">
        <v>1045</v>
      </c>
      <c r="B1049" s="154" t="s">
        <v>2097</v>
      </c>
      <c r="C1049" s="175" t="s">
        <v>2098</v>
      </c>
      <c r="D1049" s="160" t="s">
        <v>14</v>
      </c>
      <c r="E1049" s="160"/>
      <c r="F1049" s="160"/>
      <c r="G1049" s="168">
        <v>1</v>
      </c>
      <c r="H1049" s="3">
        <f t="shared" si="48"/>
        <v>0</v>
      </c>
      <c r="I1049" s="3">
        <f t="shared" si="49"/>
        <v>0</v>
      </c>
      <c r="J1049" s="33">
        <f t="shared" si="50"/>
        <v>1</v>
      </c>
      <c r="K1049" s="33"/>
      <c r="L1049" s="33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11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11"/>
      <c r="BH1049" s="10"/>
      <c r="BI1049" s="10"/>
      <c r="BJ1049" s="10"/>
      <c r="BK1049" s="10"/>
      <c r="BL1049" s="10"/>
      <c r="BM1049" s="10"/>
      <c r="BN1049" s="10"/>
      <c r="BO1049" s="10"/>
      <c r="BP1049" s="10"/>
      <c r="BQ1049" s="10"/>
      <c r="BR1049" s="10"/>
      <c r="BS1049" s="10"/>
      <c r="BT1049" s="10"/>
      <c r="BU1049" s="10"/>
      <c r="BV1049" s="10"/>
    </row>
    <row r="1050" spans="1:74" s="50" customFormat="1" ht="30" hidden="1" customHeight="1">
      <c r="A1050" s="109">
        <v>1046</v>
      </c>
      <c r="B1050" s="154" t="s">
        <v>2099</v>
      </c>
      <c r="C1050" s="175" t="s">
        <v>2100</v>
      </c>
      <c r="D1050" s="160" t="s">
        <v>14</v>
      </c>
      <c r="E1050" s="160"/>
      <c r="F1050" s="160"/>
      <c r="G1050" s="168">
        <v>1</v>
      </c>
      <c r="H1050" s="3">
        <f t="shared" si="48"/>
        <v>0</v>
      </c>
      <c r="I1050" s="3">
        <f t="shared" si="49"/>
        <v>0</v>
      </c>
      <c r="J1050" s="33">
        <f t="shared" si="50"/>
        <v>1</v>
      </c>
      <c r="K1050" s="33"/>
      <c r="L1050" s="33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11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11"/>
      <c r="BH1050" s="10"/>
      <c r="BI1050" s="10"/>
      <c r="BJ1050" s="10"/>
      <c r="BK1050" s="10"/>
      <c r="BL1050" s="10"/>
      <c r="BM1050" s="10"/>
      <c r="BN1050" s="10"/>
      <c r="BO1050" s="10"/>
      <c r="BP1050" s="10"/>
      <c r="BQ1050" s="10"/>
      <c r="BR1050" s="10"/>
      <c r="BS1050" s="10"/>
      <c r="BT1050" s="10"/>
      <c r="BU1050" s="10"/>
      <c r="BV1050" s="10"/>
    </row>
    <row r="1051" spans="1:74" s="50" customFormat="1" ht="30" hidden="1" customHeight="1">
      <c r="A1051" s="109">
        <v>1047</v>
      </c>
      <c r="B1051" s="154" t="s">
        <v>2101</v>
      </c>
      <c r="C1051" s="175" t="s">
        <v>2102</v>
      </c>
      <c r="D1051" s="160" t="s">
        <v>14</v>
      </c>
      <c r="E1051" s="160"/>
      <c r="F1051" s="160"/>
      <c r="G1051" s="168">
        <v>1</v>
      </c>
      <c r="H1051" s="3">
        <f t="shared" si="48"/>
        <v>0</v>
      </c>
      <c r="I1051" s="3">
        <f t="shared" si="49"/>
        <v>0</v>
      </c>
      <c r="J1051" s="33">
        <f t="shared" si="50"/>
        <v>1</v>
      </c>
      <c r="K1051" s="33"/>
      <c r="L1051" s="33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11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11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  <c r="BU1051" s="10"/>
      <c r="BV1051" s="10"/>
    </row>
    <row r="1052" spans="1:74" s="50" customFormat="1" ht="15" hidden="1" customHeight="1">
      <c r="A1052" s="109">
        <v>1048</v>
      </c>
      <c r="B1052" s="154" t="s">
        <v>2103</v>
      </c>
      <c r="C1052" s="156" t="s">
        <v>2104</v>
      </c>
      <c r="D1052" s="160" t="s">
        <v>14</v>
      </c>
      <c r="E1052" s="160"/>
      <c r="F1052" s="160"/>
      <c r="G1052" s="168">
        <v>2</v>
      </c>
      <c r="H1052" s="3">
        <f t="shared" si="48"/>
        <v>0</v>
      </c>
      <c r="I1052" s="3">
        <f t="shared" si="49"/>
        <v>0</v>
      </c>
      <c r="J1052" s="33">
        <f t="shared" si="50"/>
        <v>2</v>
      </c>
      <c r="K1052" s="33"/>
      <c r="L1052" s="33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11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11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  <c r="BU1052" s="10"/>
      <c r="BV1052" s="10"/>
    </row>
    <row r="1053" spans="1:74" s="50" customFormat="1" ht="15" hidden="1" customHeight="1">
      <c r="A1053" s="109">
        <v>1049</v>
      </c>
      <c r="B1053" s="154" t="s">
        <v>2105</v>
      </c>
      <c r="C1053" s="175" t="s">
        <v>2106</v>
      </c>
      <c r="D1053" s="160" t="s">
        <v>14</v>
      </c>
      <c r="E1053" s="160"/>
      <c r="F1053" s="160"/>
      <c r="G1053" s="168">
        <v>1</v>
      </c>
      <c r="H1053" s="3">
        <f t="shared" si="48"/>
        <v>0</v>
      </c>
      <c r="I1053" s="3">
        <f t="shared" si="49"/>
        <v>0</v>
      </c>
      <c r="J1053" s="33">
        <f t="shared" si="50"/>
        <v>1</v>
      </c>
      <c r="K1053" s="33"/>
      <c r="L1053" s="33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11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11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</row>
    <row r="1054" spans="1:74" s="50" customFormat="1" hidden="1">
      <c r="A1054" s="109">
        <v>1050</v>
      </c>
      <c r="B1054" s="154" t="s">
        <v>2107</v>
      </c>
      <c r="C1054" s="156" t="s">
        <v>2108</v>
      </c>
      <c r="D1054" s="160" t="s">
        <v>14</v>
      </c>
      <c r="E1054" s="160"/>
      <c r="F1054" s="160"/>
      <c r="G1054" s="168">
        <v>1</v>
      </c>
      <c r="H1054" s="3">
        <f t="shared" si="48"/>
        <v>0</v>
      </c>
      <c r="I1054" s="3">
        <f t="shared" si="49"/>
        <v>0</v>
      </c>
      <c r="J1054" s="33">
        <f t="shared" si="50"/>
        <v>1</v>
      </c>
      <c r="K1054" s="33"/>
      <c r="L1054" s="33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11"/>
      <c r="BL1054" s="10"/>
      <c r="BM1054" s="10"/>
      <c r="BN1054" s="10"/>
      <c r="BO1054" s="10"/>
      <c r="BP1054" s="10"/>
      <c r="BQ1054" s="10"/>
      <c r="BR1054" s="111"/>
      <c r="BS1054" s="10"/>
      <c r="BT1054" s="10"/>
      <c r="BU1054" s="10"/>
      <c r="BV1054" s="10"/>
    </row>
    <row r="1055" spans="1:74" s="50" customFormat="1" ht="15" hidden="1" customHeight="1">
      <c r="A1055" s="109">
        <v>1051</v>
      </c>
      <c r="B1055" s="154" t="s">
        <v>2109</v>
      </c>
      <c r="C1055" s="156" t="s">
        <v>2110</v>
      </c>
      <c r="D1055" s="160" t="s">
        <v>21</v>
      </c>
      <c r="E1055" s="160"/>
      <c r="F1055" s="160"/>
      <c r="G1055" s="168">
        <v>83</v>
      </c>
      <c r="H1055" s="3">
        <f t="shared" si="48"/>
        <v>0</v>
      </c>
      <c r="I1055" s="3">
        <f t="shared" si="49"/>
        <v>0</v>
      </c>
      <c r="J1055" s="33">
        <f t="shared" si="50"/>
        <v>83</v>
      </c>
      <c r="K1055" s="33"/>
      <c r="L1055" s="33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11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11"/>
      <c r="BL1055" s="10"/>
      <c r="BM1055" s="10"/>
      <c r="BN1055" s="10"/>
      <c r="BO1055" s="10"/>
      <c r="BP1055" s="10"/>
      <c r="BQ1055" s="10"/>
      <c r="BR1055" s="10"/>
      <c r="BS1055" s="10"/>
      <c r="BT1055" s="10"/>
      <c r="BU1055" s="10"/>
      <c r="BV1055" s="10"/>
    </row>
    <row r="1056" spans="1:74" s="50" customFormat="1" ht="15" hidden="1" customHeight="1">
      <c r="A1056" s="142">
        <v>1052</v>
      </c>
      <c r="B1056" s="265" t="s">
        <v>2111</v>
      </c>
      <c r="C1056" s="264" t="s">
        <v>2112</v>
      </c>
      <c r="D1056" s="267" t="s">
        <v>21</v>
      </c>
      <c r="E1056" s="160"/>
      <c r="F1056" s="160"/>
      <c r="G1056" s="168">
        <v>25</v>
      </c>
      <c r="H1056" s="3">
        <f t="shared" si="48"/>
        <v>0</v>
      </c>
      <c r="I1056" s="3">
        <f t="shared" si="49"/>
        <v>16</v>
      </c>
      <c r="J1056" s="33">
        <f t="shared" si="50"/>
        <v>9</v>
      </c>
      <c r="K1056" s="33"/>
      <c r="L1056" s="33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>
        <v>16</v>
      </c>
      <c r="AG1056" s="10"/>
      <c r="AH1056" s="10"/>
      <c r="AI1056" s="10"/>
      <c r="AJ1056" s="10"/>
      <c r="AK1056" s="10"/>
      <c r="AL1056" s="111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11"/>
      <c r="BL1056" s="10"/>
      <c r="BM1056" s="10"/>
      <c r="BN1056" s="10"/>
      <c r="BO1056" s="10"/>
      <c r="BP1056" s="10"/>
      <c r="BQ1056" s="10"/>
      <c r="BR1056" s="10"/>
      <c r="BS1056" s="10"/>
      <c r="BT1056" s="10"/>
      <c r="BU1056" s="10"/>
      <c r="BV1056" s="10"/>
    </row>
    <row r="1057" spans="1:74" s="50" customFormat="1" ht="15" hidden="1" customHeight="1">
      <c r="A1057" s="109">
        <v>1053</v>
      </c>
      <c r="B1057" s="121" t="s">
        <v>2113</v>
      </c>
      <c r="C1057" s="178" t="s">
        <v>2114</v>
      </c>
      <c r="D1057" s="160" t="s">
        <v>21</v>
      </c>
      <c r="E1057" s="160"/>
      <c r="F1057" s="160"/>
      <c r="G1057" s="168">
        <v>0</v>
      </c>
      <c r="H1057" s="3">
        <f t="shared" si="48"/>
        <v>0</v>
      </c>
      <c r="I1057" s="3">
        <f t="shared" si="49"/>
        <v>0</v>
      </c>
      <c r="J1057" s="33">
        <f t="shared" si="50"/>
        <v>0</v>
      </c>
      <c r="K1057" s="33"/>
      <c r="L1057" s="33"/>
      <c r="M1057" s="10"/>
      <c r="N1057" s="10"/>
      <c r="O1057" s="10"/>
      <c r="P1057" s="10"/>
      <c r="Q1057" s="10"/>
      <c r="R1057" s="10"/>
      <c r="S1057" s="10"/>
      <c r="T1057" s="10"/>
      <c r="U1057" s="3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3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3"/>
      <c r="BO1057" s="10"/>
      <c r="BP1057" s="10"/>
      <c r="BQ1057" s="10"/>
      <c r="BR1057" s="10"/>
      <c r="BS1057" s="10"/>
      <c r="BT1057" s="10"/>
      <c r="BU1057" s="10"/>
      <c r="BV1057" s="10"/>
    </row>
    <row r="1058" spans="1:74" s="50" customFormat="1" ht="15" hidden="1" customHeight="1">
      <c r="A1058" s="109">
        <v>1054</v>
      </c>
      <c r="B1058" s="121" t="s">
        <v>2115</v>
      </c>
      <c r="C1058" s="179" t="s">
        <v>2116</v>
      </c>
      <c r="D1058" s="160" t="s">
        <v>21</v>
      </c>
      <c r="E1058" s="160"/>
      <c r="F1058" s="160"/>
      <c r="G1058" s="168">
        <v>0</v>
      </c>
      <c r="H1058" s="3">
        <f t="shared" si="48"/>
        <v>0</v>
      </c>
      <c r="I1058" s="3">
        <f t="shared" si="49"/>
        <v>0</v>
      </c>
      <c r="J1058" s="33">
        <f t="shared" si="50"/>
        <v>0</v>
      </c>
      <c r="K1058" s="33"/>
      <c r="L1058" s="33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11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  <c r="BO1058" s="10"/>
      <c r="BP1058" s="10"/>
      <c r="BQ1058" s="10"/>
      <c r="BR1058" s="10"/>
      <c r="BS1058" s="10"/>
      <c r="BT1058" s="10"/>
      <c r="BU1058" s="10"/>
      <c r="BV1058" s="10"/>
    </row>
    <row r="1059" spans="1:74" s="50" customFormat="1" ht="15" hidden="1" customHeight="1">
      <c r="A1059" s="109">
        <v>1055</v>
      </c>
      <c r="B1059" s="121" t="s">
        <v>2117</v>
      </c>
      <c r="C1059" s="180" t="s">
        <v>2118</v>
      </c>
      <c r="D1059" s="160" t="s">
        <v>14</v>
      </c>
      <c r="E1059" s="160"/>
      <c r="F1059" s="160"/>
      <c r="G1059" s="168">
        <v>0</v>
      </c>
      <c r="H1059" s="3">
        <f t="shared" si="48"/>
        <v>0</v>
      </c>
      <c r="I1059" s="3">
        <f t="shared" si="49"/>
        <v>0</v>
      </c>
      <c r="J1059" s="33">
        <f t="shared" si="50"/>
        <v>0</v>
      </c>
      <c r="K1059" s="33"/>
      <c r="L1059" s="33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11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  <c r="BO1059" s="10"/>
      <c r="BP1059" s="10"/>
      <c r="BQ1059" s="10"/>
      <c r="BR1059" s="10"/>
      <c r="BS1059" s="10"/>
      <c r="BT1059" s="10"/>
      <c r="BU1059" s="10"/>
      <c r="BV1059" s="10"/>
    </row>
    <row r="1060" spans="1:74" s="50" customFormat="1" ht="15" hidden="1" customHeight="1">
      <c r="A1060" s="109">
        <v>1056</v>
      </c>
      <c r="B1060" s="121" t="s">
        <v>2119</v>
      </c>
      <c r="C1060" s="178" t="s">
        <v>2120</v>
      </c>
      <c r="D1060" s="160" t="s">
        <v>14</v>
      </c>
      <c r="E1060" s="160"/>
      <c r="F1060" s="160"/>
      <c r="G1060" s="168">
        <v>2</v>
      </c>
      <c r="H1060" s="3">
        <f t="shared" si="48"/>
        <v>0</v>
      </c>
      <c r="I1060" s="3">
        <f t="shared" si="49"/>
        <v>0</v>
      </c>
      <c r="J1060" s="33">
        <f t="shared" si="50"/>
        <v>2</v>
      </c>
      <c r="K1060" s="33"/>
      <c r="L1060" s="33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10"/>
      <c r="BL1060" s="10"/>
      <c r="BM1060" s="10"/>
      <c r="BN1060" s="10"/>
      <c r="BO1060" s="10"/>
      <c r="BP1060" s="10"/>
      <c r="BQ1060" s="10"/>
      <c r="BR1060" s="10"/>
      <c r="BS1060" s="10"/>
      <c r="BT1060" s="10"/>
      <c r="BU1060" s="10"/>
      <c r="BV1060" s="10"/>
    </row>
    <row r="1061" spans="1:74" s="50" customFormat="1" ht="15" hidden="1" customHeight="1">
      <c r="A1061" s="109">
        <v>1057</v>
      </c>
      <c r="B1061" s="121" t="s">
        <v>2121</v>
      </c>
      <c r="C1061" s="178" t="s">
        <v>2122</v>
      </c>
      <c r="D1061" s="160" t="s">
        <v>14</v>
      </c>
      <c r="E1061" s="160"/>
      <c r="F1061" s="160"/>
      <c r="G1061" s="168">
        <v>0</v>
      </c>
      <c r="H1061" s="3">
        <f t="shared" si="48"/>
        <v>0</v>
      </c>
      <c r="I1061" s="3">
        <f t="shared" si="49"/>
        <v>0</v>
      </c>
      <c r="J1061" s="33">
        <f t="shared" si="50"/>
        <v>0</v>
      </c>
      <c r="K1061" s="33"/>
      <c r="L1061" s="33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11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10"/>
      <c r="BP1061" s="10"/>
      <c r="BQ1061" s="10"/>
      <c r="BR1061" s="10"/>
      <c r="BS1061" s="10"/>
      <c r="BT1061" s="10"/>
      <c r="BU1061" s="10"/>
      <c r="BV1061" s="10"/>
    </row>
    <row r="1062" spans="1:74" s="50" customFormat="1" ht="15" hidden="1" customHeight="1">
      <c r="A1062" s="109">
        <v>1058</v>
      </c>
      <c r="B1062" s="121" t="s">
        <v>2123</v>
      </c>
      <c r="C1062" s="178" t="s">
        <v>2124</v>
      </c>
      <c r="D1062" s="160" t="s">
        <v>14</v>
      </c>
      <c r="E1062" s="160"/>
      <c r="F1062" s="160"/>
      <c r="G1062" s="168">
        <v>0</v>
      </c>
      <c r="H1062" s="3">
        <f t="shared" si="48"/>
        <v>0</v>
      </c>
      <c r="I1062" s="3">
        <f t="shared" si="49"/>
        <v>0</v>
      </c>
      <c r="J1062" s="33">
        <f t="shared" si="50"/>
        <v>0</v>
      </c>
      <c r="K1062" s="33"/>
      <c r="L1062" s="33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11"/>
      <c r="AO1062" s="10"/>
      <c r="AP1062" s="111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10"/>
      <c r="BP1062" s="10"/>
      <c r="BQ1062" s="10"/>
      <c r="BR1062" s="10"/>
      <c r="BS1062" s="10"/>
      <c r="BT1062" s="10"/>
      <c r="BU1062" s="10"/>
      <c r="BV1062" s="10"/>
    </row>
    <row r="1063" spans="1:74" s="50" customFormat="1" ht="30" hidden="1" customHeight="1">
      <c r="A1063" s="109">
        <v>1059</v>
      </c>
      <c r="B1063" s="112" t="s">
        <v>2125</v>
      </c>
      <c r="C1063" s="181" t="s">
        <v>2126</v>
      </c>
      <c r="D1063" s="26" t="s">
        <v>14</v>
      </c>
      <c r="E1063" s="26"/>
      <c r="F1063" s="26"/>
      <c r="G1063" s="33">
        <v>0</v>
      </c>
      <c r="H1063" s="3">
        <f t="shared" si="48"/>
        <v>0</v>
      </c>
      <c r="I1063" s="3">
        <f t="shared" si="49"/>
        <v>0</v>
      </c>
      <c r="J1063" s="33">
        <f t="shared" si="50"/>
        <v>0</v>
      </c>
      <c r="K1063" s="33"/>
      <c r="L1063" s="3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</row>
    <row r="1064" spans="1:74" s="50" customFormat="1" ht="15" hidden="1" customHeight="1">
      <c r="A1064" s="142">
        <v>1060</v>
      </c>
      <c r="B1064" s="265" t="s">
        <v>2127</v>
      </c>
      <c r="C1064" s="264" t="s">
        <v>2128</v>
      </c>
      <c r="D1064" s="267" t="s">
        <v>21</v>
      </c>
      <c r="E1064" s="160"/>
      <c r="F1064" s="160"/>
      <c r="G1064" s="168">
        <v>88</v>
      </c>
      <c r="H1064" s="3">
        <f t="shared" si="48"/>
        <v>0</v>
      </c>
      <c r="I1064" s="3">
        <f t="shared" si="49"/>
        <v>0</v>
      </c>
      <c r="J1064" s="33">
        <f t="shared" si="50"/>
        <v>88</v>
      </c>
      <c r="K1064" s="33"/>
      <c r="L1064" s="33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11"/>
      <c r="BG1064" s="10"/>
      <c r="BH1064" s="10"/>
      <c r="BI1064" s="10"/>
      <c r="BJ1064" s="10"/>
      <c r="BK1064" s="10"/>
      <c r="BL1064" s="10"/>
      <c r="BM1064" s="10"/>
      <c r="BN1064" s="10"/>
      <c r="BO1064" s="10"/>
      <c r="BP1064" s="10"/>
      <c r="BQ1064" s="10"/>
      <c r="BR1064" s="10"/>
      <c r="BS1064" s="10"/>
      <c r="BT1064" s="10"/>
      <c r="BU1064" s="10"/>
      <c r="BV1064" s="10"/>
    </row>
    <row r="1065" spans="1:74" s="50" customFormat="1" ht="15" hidden="1" customHeight="1">
      <c r="A1065" s="109">
        <v>1061</v>
      </c>
      <c r="B1065" s="154" t="s">
        <v>2129</v>
      </c>
      <c r="C1065" s="156" t="s">
        <v>2130</v>
      </c>
      <c r="D1065" s="160" t="s">
        <v>14</v>
      </c>
      <c r="E1065" s="160"/>
      <c r="F1065" s="160"/>
      <c r="G1065" s="168">
        <v>0</v>
      </c>
      <c r="H1065" s="3">
        <f t="shared" si="48"/>
        <v>0</v>
      </c>
      <c r="I1065" s="3">
        <f t="shared" si="49"/>
        <v>0</v>
      </c>
      <c r="J1065" s="33">
        <f t="shared" si="50"/>
        <v>0</v>
      </c>
      <c r="K1065" s="33"/>
      <c r="L1065" s="33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10"/>
      <c r="BE1065" s="10"/>
      <c r="BF1065" s="111"/>
      <c r="BG1065" s="10"/>
      <c r="BH1065" s="10"/>
      <c r="BI1065" s="10"/>
      <c r="BJ1065" s="10"/>
      <c r="BK1065" s="10"/>
      <c r="BL1065" s="10"/>
      <c r="BM1065" s="10"/>
      <c r="BN1065" s="10"/>
      <c r="BO1065" s="10"/>
      <c r="BP1065" s="10"/>
      <c r="BQ1065" s="10"/>
      <c r="BR1065" s="10"/>
      <c r="BS1065" s="10"/>
      <c r="BT1065" s="10"/>
      <c r="BU1065" s="10"/>
      <c r="BV1065" s="10"/>
    </row>
    <row r="1066" spans="1:74" s="50" customFormat="1" ht="15" hidden="1" customHeight="1">
      <c r="A1066" s="109">
        <v>1062</v>
      </c>
      <c r="B1066" s="182" t="s">
        <v>2131</v>
      </c>
      <c r="C1066" s="156" t="s">
        <v>2132</v>
      </c>
      <c r="D1066" s="121" t="s">
        <v>14</v>
      </c>
      <c r="E1066" s="121"/>
      <c r="F1066" s="121"/>
      <c r="G1066" s="168">
        <v>0</v>
      </c>
      <c r="H1066" s="3">
        <f t="shared" si="48"/>
        <v>0</v>
      </c>
      <c r="I1066" s="3">
        <f t="shared" si="49"/>
        <v>0</v>
      </c>
      <c r="J1066" s="33">
        <f t="shared" si="50"/>
        <v>0</v>
      </c>
      <c r="K1066" s="33"/>
      <c r="L1066" s="33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11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  <c r="BL1066" s="10"/>
      <c r="BM1066" s="10"/>
      <c r="BN1066" s="10"/>
      <c r="BO1066" s="10"/>
      <c r="BP1066" s="10"/>
      <c r="BQ1066" s="10"/>
      <c r="BR1066" s="10"/>
      <c r="BS1066" s="10"/>
      <c r="BT1066" s="10"/>
      <c r="BU1066" s="10"/>
      <c r="BV1066" s="10"/>
    </row>
    <row r="1067" spans="1:74" s="50" customFormat="1" ht="15" hidden="1" customHeight="1">
      <c r="A1067" s="109">
        <v>1063</v>
      </c>
      <c r="B1067" s="154" t="s">
        <v>2133</v>
      </c>
      <c r="C1067" s="156" t="s">
        <v>2134</v>
      </c>
      <c r="D1067" s="121" t="s">
        <v>21</v>
      </c>
      <c r="E1067" s="121"/>
      <c r="F1067" s="121"/>
      <c r="G1067" s="168">
        <v>0</v>
      </c>
      <c r="H1067" s="3">
        <f t="shared" si="48"/>
        <v>0</v>
      </c>
      <c r="I1067" s="3">
        <f t="shared" si="49"/>
        <v>0</v>
      </c>
      <c r="J1067" s="33">
        <f t="shared" si="50"/>
        <v>0</v>
      </c>
      <c r="K1067" s="33"/>
      <c r="L1067" s="33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11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  <c r="BL1067" s="10"/>
      <c r="BM1067" s="10"/>
      <c r="BN1067" s="10"/>
      <c r="BO1067" s="10"/>
      <c r="BP1067" s="10"/>
      <c r="BQ1067" s="10"/>
      <c r="BR1067" s="10"/>
      <c r="BS1067" s="10"/>
      <c r="BT1067" s="10"/>
      <c r="BU1067" s="10"/>
      <c r="BV1067" s="10"/>
    </row>
    <row r="1068" spans="1:74" s="50" customFormat="1" ht="15" hidden="1" customHeight="1">
      <c r="A1068" s="109">
        <v>1064</v>
      </c>
      <c r="B1068" s="154" t="s">
        <v>2135</v>
      </c>
      <c r="C1068" s="156" t="s">
        <v>2136</v>
      </c>
      <c r="D1068" s="121" t="s">
        <v>21</v>
      </c>
      <c r="E1068" s="121"/>
      <c r="F1068" s="121"/>
      <c r="G1068" s="168">
        <v>0</v>
      </c>
      <c r="H1068" s="3">
        <f t="shared" si="48"/>
        <v>0</v>
      </c>
      <c r="I1068" s="3">
        <f t="shared" si="49"/>
        <v>0</v>
      </c>
      <c r="J1068" s="33">
        <f t="shared" si="50"/>
        <v>0</v>
      </c>
      <c r="K1068" s="33"/>
      <c r="L1068" s="33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  <c r="BL1068" s="10"/>
      <c r="BM1068" s="10"/>
      <c r="BN1068" s="10"/>
      <c r="BO1068" s="10"/>
      <c r="BP1068" s="10"/>
      <c r="BQ1068" s="10"/>
      <c r="BR1068" s="10"/>
      <c r="BS1068" s="10"/>
      <c r="BT1068" s="10"/>
      <c r="BU1068" s="10"/>
      <c r="BV1068" s="10"/>
    </row>
    <row r="1069" spans="1:74" s="50" customFormat="1" ht="15" hidden="1" customHeight="1">
      <c r="A1069" s="142">
        <v>1065</v>
      </c>
      <c r="B1069" s="265" t="s">
        <v>2137</v>
      </c>
      <c r="C1069" s="264" t="s">
        <v>2138</v>
      </c>
      <c r="D1069" s="256" t="s">
        <v>21</v>
      </c>
      <c r="E1069" s="121"/>
      <c r="F1069" s="121"/>
      <c r="G1069" s="168">
        <v>1</v>
      </c>
      <c r="H1069" s="3">
        <f t="shared" si="48"/>
        <v>0</v>
      </c>
      <c r="I1069" s="3">
        <f t="shared" si="49"/>
        <v>0</v>
      </c>
      <c r="J1069" s="33">
        <f t="shared" si="50"/>
        <v>1</v>
      </c>
      <c r="K1069" s="33"/>
      <c r="L1069" s="33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  <c r="BO1069" s="10"/>
      <c r="BP1069" s="10"/>
      <c r="BQ1069" s="10"/>
      <c r="BR1069" s="10"/>
      <c r="BS1069" s="10"/>
      <c r="BT1069" s="10"/>
      <c r="BU1069" s="10"/>
      <c r="BV1069" s="10"/>
    </row>
    <row r="1070" spans="1:74" s="50" customFormat="1" ht="15" hidden="1" customHeight="1">
      <c r="A1070" s="142">
        <v>1066</v>
      </c>
      <c r="B1070" s="299" t="s">
        <v>2139</v>
      </c>
      <c r="C1070" s="300" t="s">
        <v>2140</v>
      </c>
      <c r="D1070" s="256" t="s">
        <v>21</v>
      </c>
      <c r="E1070" s="121"/>
      <c r="F1070" s="121"/>
      <c r="G1070" s="168">
        <v>1</v>
      </c>
      <c r="H1070" s="3">
        <f t="shared" si="48"/>
        <v>0</v>
      </c>
      <c r="I1070" s="3">
        <f t="shared" si="49"/>
        <v>0</v>
      </c>
      <c r="J1070" s="33">
        <f t="shared" si="50"/>
        <v>1</v>
      </c>
      <c r="K1070" s="33"/>
      <c r="L1070" s="33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11"/>
      <c r="AM1070" s="10"/>
      <c r="AN1070" s="10"/>
      <c r="AO1070" s="10"/>
      <c r="AP1070" s="10"/>
      <c r="AQ1070" s="111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  <c r="BL1070" s="10"/>
      <c r="BM1070" s="10"/>
      <c r="BN1070" s="10"/>
      <c r="BO1070" s="10"/>
      <c r="BP1070" s="10"/>
      <c r="BQ1070" s="10"/>
      <c r="BR1070" s="10"/>
      <c r="BS1070" s="10"/>
      <c r="BT1070" s="10"/>
      <c r="BU1070" s="10"/>
      <c r="BV1070" s="10"/>
    </row>
    <row r="1071" spans="1:74" s="50" customFormat="1" ht="15" hidden="1" customHeight="1">
      <c r="A1071" s="109">
        <v>1067</v>
      </c>
      <c r="B1071" s="163" t="s">
        <v>2141</v>
      </c>
      <c r="C1071" s="158" t="s">
        <v>2142</v>
      </c>
      <c r="D1071" s="121" t="s">
        <v>21</v>
      </c>
      <c r="E1071" s="121"/>
      <c r="F1071" s="121"/>
      <c r="G1071" s="168">
        <v>1</v>
      </c>
      <c r="H1071" s="3">
        <f t="shared" si="48"/>
        <v>0</v>
      </c>
      <c r="I1071" s="3">
        <f t="shared" si="49"/>
        <v>0</v>
      </c>
      <c r="J1071" s="33">
        <f t="shared" si="50"/>
        <v>1</v>
      </c>
      <c r="K1071" s="33"/>
      <c r="L1071" s="33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11"/>
      <c r="AM1071" s="10"/>
      <c r="AN1071" s="10"/>
      <c r="AO1071" s="10"/>
      <c r="AP1071" s="10"/>
      <c r="AQ1071" s="111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0"/>
      <c r="BC1071" s="10"/>
      <c r="BD1071" s="10"/>
      <c r="BE1071" s="10"/>
      <c r="BF1071" s="10"/>
      <c r="BG1071" s="10"/>
      <c r="BH1071" s="10"/>
      <c r="BI1071" s="10"/>
      <c r="BJ1071" s="10"/>
      <c r="BK1071" s="10"/>
      <c r="BL1071" s="10"/>
      <c r="BM1071" s="10"/>
      <c r="BN1071" s="10"/>
      <c r="BO1071" s="10"/>
      <c r="BP1071" s="10"/>
      <c r="BQ1071" s="10"/>
      <c r="BR1071" s="10"/>
      <c r="BS1071" s="10"/>
      <c r="BT1071" s="10"/>
      <c r="BU1071" s="10"/>
      <c r="BV1071" s="10"/>
    </row>
    <row r="1072" spans="1:74" s="50" customFormat="1" ht="15" hidden="1" customHeight="1">
      <c r="A1072" s="111">
        <v>1068</v>
      </c>
      <c r="B1072" s="347" t="s">
        <v>2143</v>
      </c>
      <c r="C1072" s="22" t="s">
        <v>2144</v>
      </c>
      <c r="D1072" s="10" t="s">
        <v>21</v>
      </c>
      <c r="E1072" s="121"/>
      <c r="F1072" s="10"/>
      <c r="G1072" s="168">
        <v>1</v>
      </c>
      <c r="H1072" s="3">
        <f t="shared" si="48"/>
        <v>0</v>
      </c>
      <c r="I1072" s="3">
        <f t="shared" si="49"/>
        <v>0</v>
      </c>
      <c r="J1072" s="33">
        <f t="shared" si="50"/>
        <v>1</v>
      </c>
      <c r="K1072" s="33"/>
      <c r="L1072" s="33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11"/>
      <c r="AM1072" s="10"/>
      <c r="AN1072" s="10"/>
      <c r="AO1072" s="10"/>
      <c r="AP1072" s="10"/>
      <c r="AQ1072" s="111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10"/>
      <c r="BL1072" s="10"/>
      <c r="BM1072" s="10"/>
      <c r="BN1072" s="10"/>
      <c r="BO1072" s="10"/>
      <c r="BP1072" s="10"/>
      <c r="BQ1072" s="10"/>
      <c r="BR1072" s="10"/>
      <c r="BS1072" s="10"/>
      <c r="BT1072" s="10"/>
      <c r="BU1072" s="10"/>
      <c r="BV1072" s="10"/>
    </row>
    <row r="1073" spans="1:74" s="50" customFormat="1" ht="15" hidden="1" customHeight="1">
      <c r="A1073" s="142">
        <v>1069</v>
      </c>
      <c r="B1073" s="299" t="s">
        <v>2145</v>
      </c>
      <c r="C1073" s="300" t="s">
        <v>2146</v>
      </c>
      <c r="D1073" s="256" t="s">
        <v>21</v>
      </c>
      <c r="E1073" s="121"/>
      <c r="F1073" s="121"/>
      <c r="G1073" s="183">
        <v>0</v>
      </c>
      <c r="H1073" s="26">
        <f t="shared" si="48"/>
        <v>0</v>
      </c>
      <c r="I1073" s="26">
        <f t="shared" si="49"/>
        <v>0</v>
      </c>
      <c r="J1073" s="30">
        <f t="shared" si="50"/>
        <v>0</v>
      </c>
      <c r="K1073" s="30"/>
      <c r="L1073" s="3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11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  <c r="BL1073" s="10"/>
      <c r="BM1073" s="10"/>
      <c r="BN1073" s="10"/>
      <c r="BO1073" s="10"/>
      <c r="BP1073" s="10"/>
      <c r="BQ1073" s="10"/>
      <c r="BR1073" s="10"/>
      <c r="BS1073" s="10"/>
      <c r="BT1073" s="10"/>
      <c r="BU1073" s="10"/>
      <c r="BV1073" s="10"/>
    </row>
    <row r="1074" spans="1:74" s="50" customFormat="1" ht="15" hidden="1" customHeight="1">
      <c r="A1074" s="142">
        <v>1070</v>
      </c>
      <c r="B1074" s="299" t="s">
        <v>2147</v>
      </c>
      <c r="C1074" s="300" t="s">
        <v>2148</v>
      </c>
      <c r="D1074" s="256" t="s">
        <v>21</v>
      </c>
      <c r="E1074" s="121"/>
      <c r="F1074" s="121"/>
      <c r="G1074" s="168">
        <v>36</v>
      </c>
      <c r="H1074" s="3">
        <f t="shared" si="48"/>
        <v>20</v>
      </c>
      <c r="I1074" s="3">
        <f t="shared" si="49"/>
        <v>0</v>
      </c>
      <c r="J1074" s="33">
        <f t="shared" si="50"/>
        <v>56</v>
      </c>
      <c r="K1074" s="33"/>
      <c r="L1074" s="33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>
        <v>20</v>
      </c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11"/>
      <c r="AM1074" s="10"/>
      <c r="AN1074" s="10"/>
      <c r="AO1074" s="10"/>
      <c r="AP1074" s="10"/>
      <c r="AQ1074" s="111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  <c r="BL1074" s="10"/>
      <c r="BM1074" s="10"/>
      <c r="BN1074" s="10"/>
      <c r="BO1074" s="10"/>
      <c r="BP1074" s="10"/>
      <c r="BQ1074" s="10"/>
      <c r="BR1074" s="10"/>
      <c r="BS1074" s="10"/>
      <c r="BT1074" s="10"/>
      <c r="BU1074" s="10"/>
      <c r="BV1074" s="10"/>
    </row>
    <row r="1075" spans="1:74" s="50" customFormat="1" ht="15" hidden="1" customHeight="1">
      <c r="A1075" s="142">
        <v>1071</v>
      </c>
      <c r="B1075" s="299" t="s">
        <v>2149</v>
      </c>
      <c r="C1075" s="300" t="s">
        <v>2150</v>
      </c>
      <c r="D1075" s="256" t="s">
        <v>21</v>
      </c>
      <c r="E1075" s="121"/>
      <c r="F1075" s="121"/>
      <c r="G1075" s="168">
        <v>0</v>
      </c>
      <c r="H1075" s="3">
        <f t="shared" si="48"/>
        <v>0</v>
      </c>
      <c r="I1075" s="3">
        <f t="shared" si="49"/>
        <v>0</v>
      </c>
      <c r="J1075" s="33">
        <f t="shared" si="50"/>
        <v>0</v>
      </c>
      <c r="K1075" s="33"/>
      <c r="L1075" s="33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11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10"/>
      <c r="BP1075" s="10"/>
      <c r="BQ1075" s="10"/>
      <c r="BR1075" s="10"/>
      <c r="BS1075" s="10"/>
      <c r="BT1075" s="10"/>
      <c r="BU1075" s="10"/>
      <c r="BV1075" s="10"/>
    </row>
    <row r="1076" spans="1:74" s="50" customFormat="1" ht="30" hidden="1" customHeight="1">
      <c r="A1076" s="111">
        <v>1072</v>
      </c>
      <c r="B1076" s="347" t="s">
        <v>2151</v>
      </c>
      <c r="C1076" s="348" t="s">
        <v>2152</v>
      </c>
      <c r="D1076" s="12" t="s">
        <v>21</v>
      </c>
      <c r="E1076" s="160"/>
      <c r="F1076" s="12"/>
      <c r="G1076" s="168">
        <v>0</v>
      </c>
      <c r="H1076" s="3">
        <f t="shared" si="48"/>
        <v>0</v>
      </c>
      <c r="I1076" s="3">
        <f t="shared" si="49"/>
        <v>0</v>
      </c>
      <c r="J1076" s="33">
        <f t="shared" si="50"/>
        <v>0</v>
      </c>
      <c r="K1076" s="33"/>
      <c r="L1076" s="33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11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10"/>
      <c r="BP1076" s="10"/>
      <c r="BQ1076" s="10"/>
      <c r="BR1076" s="10"/>
      <c r="BS1076" s="10"/>
      <c r="BT1076" s="10"/>
      <c r="BU1076" s="10"/>
      <c r="BV1076" s="10"/>
    </row>
    <row r="1077" spans="1:74" s="50" customFormat="1" ht="15" hidden="1" customHeight="1">
      <c r="A1077" s="111">
        <v>1073</v>
      </c>
      <c r="B1077" s="347" t="s">
        <v>2153</v>
      </c>
      <c r="C1077" s="349" t="s">
        <v>2154</v>
      </c>
      <c r="D1077" s="10" t="s">
        <v>14</v>
      </c>
      <c r="E1077" s="121"/>
      <c r="F1077" s="10"/>
      <c r="G1077" s="168">
        <v>0</v>
      </c>
      <c r="H1077" s="3">
        <f t="shared" si="48"/>
        <v>0</v>
      </c>
      <c r="I1077" s="3">
        <f t="shared" si="49"/>
        <v>0</v>
      </c>
      <c r="J1077" s="33">
        <f t="shared" si="50"/>
        <v>0</v>
      </c>
      <c r="K1077" s="33"/>
      <c r="L1077" s="33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  <c r="BO1077" s="10"/>
      <c r="BP1077" s="10"/>
      <c r="BQ1077" s="10"/>
      <c r="BR1077" s="10"/>
      <c r="BS1077" s="10"/>
      <c r="BT1077" s="10"/>
      <c r="BU1077" s="10"/>
      <c r="BV1077" s="10"/>
    </row>
    <row r="1078" spans="1:74" s="50" customFormat="1" ht="15" hidden="1" customHeight="1">
      <c r="A1078" s="109">
        <v>1074</v>
      </c>
      <c r="B1078" s="163" t="s">
        <v>2155</v>
      </c>
      <c r="C1078" s="158" t="s">
        <v>2156</v>
      </c>
      <c r="D1078" s="121" t="s">
        <v>21</v>
      </c>
      <c r="E1078" s="121"/>
      <c r="F1078" s="121"/>
      <c r="G1078" s="168">
        <v>4</v>
      </c>
      <c r="H1078" s="3">
        <f t="shared" si="48"/>
        <v>0</v>
      </c>
      <c r="I1078" s="3">
        <f t="shared" si="49"/>
        <v>0</v>
      </c>
      <c r="J1078" s="33">
        <f t="shared" si="50"/>
        <v>4</v>
      </c>
      <c r="K1078" s="33"/>
      <c r="L1078" s="33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11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0"/>
      <c r="BC1078" s="111"/>
      <c r="BD1078" s="10"/>
      <c r="BE1078" s="10"/>
      <c r="BF1078" s="10"/>
      <c r="BG1078" s="10"/>
      <c r="BH1078" s="10"/>
      <c r="BI1078" s="10"/>
      <c r="BJ1078" s="10"/>
      <c r="BK1078" s="10"/>
      <c r="BL1078" s="10"/>
      <c r="BM1078" s="10"/>
      <c r="BN1078" s="10"/>
      <c r="BO1078" s="10"/>
      <c r="BP1078" s="10"/>
      <c r="BQ1078" s="10"/>
      <c r="BR1078" s="10"/>
      <c r="BS1078" s="10"/>
      <c r="BT1078" s="10"/>
      <c r="BU1078" s="10"/>
      <c r="BV1078" s="10"/>
    </row>
    <row r="1079" spans="1:74" s="50" customFormat="1" ht="15" hidden="1" customHeight="1">
      <c r="A1079" s="109">
        <v>1075</v>
      </c>
      <c r="B1079" s="163" t="s">
        <v>2157</v>
      </c>
      <c r="C1079" s="158" t="s">
        <v>2158</v>
      </c>
      <c r="D1079" s="121" t="s">
        <v>21</v>
      </c>
      <c r="E1079" s="121"/>
      <c r="F1079" s="121"/>
      <c r="G1079" s="168">
        <v>7</v>
      </c>
      <c r="H1079" s="3">
        <f t="shared" ref="H1079:H1142" si="51">SUM(M1079+O1079+Q1079+S1079+U1079+W1079+Y1079+AA1079+AC1079+AE1079+AG1079+AI1079+AK1079+AM1079+AO1079+AQ1079+AS1079+AU1079+AW1079+AY1079+BA1079+BC1079+BE1079+BG1079+BI1079+BK1079+BM1079+BO1079+BQ1079+BS1079+BU1079)</f>
        <v>0</v>
      </c>
      <c r="I1079" s="3">
        <f t="shared" ref="I1079:I1142" si="52">SUM(N1079+P1079+R1079+T1079+V1079+X1079+Z1079+AB1079+AD1079+AF1079+AH1079+AJ1079+AL1079+AN1079+AP1079+AR1079+AT1079+AV1079+AX1079+AZ1079+BB1079+BD1079+BF1079+BH1079+BJ1079+BL1079+BN1079+BP1079+BR1079+BT1079+BV1079)</f>
        <v>0</v>
      </c>
      <c r="J1079" s="33">
        <f t="shared" ref="J1079:J1142" si="53">G1079+H1079-I1079</f>
        <v>7</v>
      </c>
      <c r="K1079" s="33"/>
      <c r="L1079" s="33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11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10"/>
      <c r="BL1079" s="10"/>
      <c r="BM1079" s="10"/>
      <c r="BN1079" s="10"/>
      <c r="BO1079" s="10"/>
      <c r="BP1079" s="10"/>
      <c r="BQ1079" s="10"/>
      <c r="BR1079" s="10"/>
      <c r="BS1079" s="10"/>
      <c r="BT1079" s="10"/>
      <c r="BU1079" s="10"/>
      <c r="BV1079" s="10"/>
    </row>
    <row r="1080" spans="1:74" s="50" customFormat="1" ht="15" hidden="1" customHeight="1">
      <c r="A1080" s="109">
        <v>1076</v>
      </c>
      <c r="B1080" s="163" t="s">
        <v>2159</v>
      </c>
      <c r="C1080" s="158" t="s">
        <v>2160</v>
      </c>
      <c r="D1080" s="121" t="s">
        <v>21</v>
      </c>
      <c r="E1080" s="121"/>
      <c r="F1080" s="121"/>
      <c r="G1080" s="168">
        <v>2</v>
      </c>
      <c r="H1080" s="3">
        <f t="shared" si="51"/>
        <v>0</v>
      </c>
      <c r="I1080" s="3">
        <f t="shared" si="52"/>
        <v>0</v>
      </c>
      <c r="J1080" s="33">
        <f t="shared" si="53"/>
        <v>2</v>
      </c>
      <c r="K1080" s="33"/>
      <c r="L1080" s="33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10"/>
      <c r="BE1080" s="10"/>
      <c r="BF1080" s="10"/>
      <c r="BG1080" s="10"/>
      <c r="BH1080" s="10"/>
      <c r="BI1080" s="10"/>
      <c r="BJ1080" s="10"/>
      <c r="BK1080" s="10"/>
      <c r="BL1080" s="10"/>
      <c r="BM1080" s="10"/>
      <c r="BN1080" s="10"/>
      <c r="BO1080" s="10"/>
      <c r="BP1080" s="10"/>
      <c r="BQ1080" s="10"/>
      <c r="BR1080" s="10"/>
      <c r="BS1080" s="10"/>
      <c r="BT1080" s="10"/>
      <c r="BU1080" s="10"/>
      <c r="BV1080" s="10"/>
    </row>
    <row r="1081" spans="1:74" s="50" customFormat="1" ht="15" hidden="1" customHeight="1">
      <c r="A1081" s="111">
        <v>1077</v>
      </c>
      <c r="B1081" s="347" t="s">
        <v>2161</v>
      </c>
      <c r="C1081" s="22" t="s">
        <v>2162</v>
      </c>
      <c r="D1081" s="10" t="s">
        <v>21</v>
      </c>
      <c r="E1081" s="121"/>
      <c r="F1081" s="10"/>
      <c r="G1081" s="168">
        <v>202</v>
      </c>
      <c r="H1081" s="3">
        <f t="shared" si="51"/>
        <v>0</v>
      </c>
      <c r="I1081" s="3">
        <f t="shared" si="52"/>
        <v>0</v>
      </c>
      <c r="J1081" s="33">
        <f t="shared" si="53"/>
        <v>202</v>
      </c>
      <c r="K1081" s="33"/>
      <c r="L1081" s="33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11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10"/>
      <c r="BL1081" s="10"/>
      <c r="BM1081" s="10"/>
      <c r="BN1081" s="10"/>
      <c r="BO1081" s="10"/>
      <c r="BP1081" s="10"/>
      <c r="BQ1081" s="10"/>
      <c r="BR1081" s="10"/>
      <c r="BS1081" s="10"/>
      <c r="BT1081" s="10"/>
      <c r="BU1081" s="10"/>
      <c r="BV1081" s="10"/>
    </row>
    <row r="1082" spans="1:74" s="50" customFormat="1" ht="15" hidden="1" customHeight="1">
      <c r="A1082" s="111">
        <v>1078</v>
      </c>
      <c r="B1082" s="347" t="s">
        <v>2163</v>
      </c>
      <c r="C1082" s="22" t="s">
        <v>2164</v>
      </c>
      <c r="D1082" s="10" t="s">
        <v>14</v>
      </c>
      <c r="E1082" s="121"/>
      <c r="F1082" s="10"/>
      <c r="G1082" s="168">
        <v>0</v>
      </c>
      <c r="H1082" s="3">
        <f t="shared" si="51"/>
        <v>0</v>
      </c>
      <c r="I1082" s="3">
        <f t="shared" si="52"/>
        <v>0</v>
      </c>
      <c r="J1082" s="33">
        <f t="shared" si="53"/>
        <v>0</v>
      </c>
      <c r="K1082" s="33"/>
      <c r="L1082" s="33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10"/>
      <c r="BL1082" s="10"/>
      <c r="BM1082" s="10"/>
      <c r="BN1082" s="10"/>
      <c r="BO1082" s="10"/>
      <c r="BP1082" s="10"/>
      <c r="BQ1082" s="10"/>
      <c r="BR1082" s="10"/>
      <c r="BS1082" s="10"/>
      <c r="BT1082" s="10"/>
      <c r="BU1082" s="10"/>
      <c r="BV1082" s="10"/>
    </row>
    <row r="1083" spans="1:74" s="50" customFormat="1" ht="15" hidden="1" customHeight="1">
      <c r="A1083" s="111">
        <v>1079</v>
      </c>
      <c r="B1083" s="347" t="s">
        <v>2165</v>
      </c>
      <c r="C1083" s="350" t="s">
        <v>2166</v>
      </c>
      <c r="D1083" s="12" t="s">
        <v>14</v>
      </c>
      <c r="E1083" s="160"/>
      <c r="F1083" s="12"/>
      <c r="G1083" s="168">
        <v>0</v>
      </c>
      <c r="H1083" s="3">
        <f t="shared" si="51"/>
        <v>0</v>
      </c>
      <c r="I1083" s="3">
        <f t="shared" si="52"/>
        <v>0</v>
      </c>
      <c r="J1083" s="33">
        <f t="shared" si="53"/>
        <v>0</v>
      </c>
      <c r="K1083" s="33"/>
      <c r="L1083" s="33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11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11"/>
      <c r="BJ1083" s="10"/>
      <c r="BK1083" s="10"/>
      <c r="BL1083" s="10"/>
      <c r="BM1083" s="10"/>
      <c r="BN1083" s="10"/>
      <c r="BO1083" s="10"/>
      <c r="BP1083" s="10"/>
      <c r="BQ1083" s="10"/>
      <c r="BR1083" s="10"/>
      <c r="BS1083" s="10"/>
      <c r="BT1083" s="10"/>
      <c r="BU1083" s="10"/>
      <c r="BV1083" s="10"/>
    </row>
    <row r="1084" spans="1:74" s="50" customFormat="1" ht="15" hidden="1" customHeight="1">
      <c r="A1084" s="111">
        <v>1080</v>
      </c>
      <c r="B1084" s="347" t="s">
        <v>2167</v>
      </c>
      <c r="C1084" s="350" t="s">
        <v>2168</v>
      </c>
      <c r="D1084" s="12" t="s">
        <v>21</v>
      </c>
      <c r="E1084" s="160"/>
      <c r="F1084" s="12"/>
      <c r="G1084" s="168">
        <v>0</v>
      </c>
      <c r="H1084" s="3">
        <f t="shared" si="51"/>
        <v>0</v>
      </c>
      <c r="I1084" s="3">
        <f t="shared" si="52"/>
        <v>0</v>
      </c>
      <c r="J1084" s="33">
        <f t="shared" si="53"/>
        <v>0</v>
      </c>
      <c r="K1084" s="33"/>
      <c r="L1084" s="33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11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11"/>
      <c r="BJ1084" s="10"/>
      <c r="BK1084" s="10"/>
      <c r="BL1084" s="10"/>
      <c r="BM1084" s="10"/>
      <c r="BN1084" s="10"/>
      <c r="BO1084" s="10"/>
      <c r="BP1084" s="10"/>
      <c r="BQ1084" s="10"/>
      <c r="BR1084" s="10"/>
      <c r="BS1084" s="10"/>
      <c r="BT1084" s="10"/>
      <c r="BU1084" s="10"/>
      <c r="BV1084" s="10"/>
    </row>
    <row r="1085" spans="1:74" s="50" customFormat="1" ht="15" hidden="1" customHeight="1">
      <c r="A1085" s="111">
        <v>1081</v>
      </c>
      <c r="B1085" s="347" t="s">
        <v>2169</v>
      </c>
      <c r="C1085" s="22" t="s">
        <v>2170</v>
      </c>
      <c r="D1085" s="12" t="s">
        <v>21</v>
      </c>
      <c r="E1085" s="160"/>
      <c r="F1085" s="12"/>
      <c r="G1085" s="168">
        <v>0</v>
      </c>
      <c r="H1085" s="3">
        <f t="shared" si="51"/>
        <v>0</v>
      </c>
      <c r="I1085" s="3">
        <f t="shared" si="52"/>
        <v>0</v>
      </c>
      <c r="J1085" s="33">
        <f t="shared" si="53"/>
        <v>0</v>
      </c>
      <c r="K1085" s="33"/>
      <c r="L1085" s="33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11"/>
      <c r="BJ1085" s="10"/>
      <c r="BK1085" s="10"/>
      <c r="BL1085" s="10"/>
      <c r="BM1085" s="10"/>
      <c r="BN1085" s="10"/>
      <c r="BO1085" s="10"/>
      <c r="BP1085" s="10"/>
      <c r="BQ1085" s="10"/>
      <c r="BR1085" s="10"/>
      <c r="BS1085" s="10"/>
      <c r="BT1085" s="10"/>
      <c r="BU1085" s="10"/>
      <c r="BV1085" s="10"/>
    </row>
    <row r="1086" spans="1:74" s="50" customFormat="1" ht="15" hidden="1" customHeight="1">
      <c r="A1086" s="109">
        <v>1082</v>
      </c>
      <c r="B1086" s="163" t="s">
        <v>2171</v>
      </c>
      <c r="C1086" s="158" t="s">
        <v>2172</v>
      </c>
      <c r="D1086" s="160" t="s">
        <v>21</v>
      </c>
      <c r="E1086" s="160"/>
      <c r="F1086" s="160"/>
      <c r="G1086" s="168">
        <v>0</v>
      </c>
      <c r="H1086" s="3">
        <f t="shared" si="51"/>
        <v>0</v>
      </c>
      <c r="I1086" s="3">
        <f t="shared" si="52"/>
        <v>0</v>
      </c>
      <c r="J1086" s="33">
        <f t="shared" si="53"/>
        <v>0</v>
      </c>
      <c r="K1086" s="33"/>
      <c r="L1086" s="33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11"/>
      <c r="BJ1086" s="10"/>
      <c r="BK1086" s="10"/>
      <c r="BL1086" s="10"/>
      <c r="BM1086" s="10"/>
      <c r="BN1086" s="10"/>
      <c r="BO1086" s="10"/>
      <c r="BP1086" s="10"/>
      <c r="BQ1086" s="10"/>
      <c r="BR1086" s="10"/>
      <c r="BS1086" s="10"/>
      <c r="BT1086" s="10"/>
      <c r="BU1086" s="10"/>
      <c r="BV1086" s="10"/>
    </row>
    <row r="1087" spans="1:74" s="50" customFormat="1" ht="15" hidden="1" customHeight="1">
      <c r="A1087" s="109">
        <v>1083</v>
      </c>
      <c r="B1087" s="163" t="s">
        <v>2173</v>
      </c>
      <c r="C1087" s="158" t="s">
        <v>2174</v>
      </c>
      <c r="D1087" s="160" t="s">
        <v>21</v>
      </c>
      <c r="E1087" s="160"/>
      <c r="F1087" s="160"/>
      <c r="G1087" s="168">
        <v>0</v>
      </c>
      <c r="H1087" s="3">
        <f t="shared" si="51"/>
        <v>0</v>
      </c>
      <c r="I1087" s="3">
        <f t="shared" si="52"/>
        <v>0</v>
      </c>
      <c r="J1087" s="33">
        <f t="shared" si="53"/>
        <v>0</v>
      </c>
      <c r="K1087" s="33"/>
      <c r="L1087" s="33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0"/>
      <c r="BC1087" s="10"/>
      <c r="BD1087" s="10"/>
      <c r="BE1087" s="10"/>
      <c r="BF1087" s="10"/>
      <c r="BG1087" s="10"/>
      <c r="BH1087" s="10"/>
      <c r="BI1087" s="111"/>
      <c r="BJ1087" s="10"/>
      <c r="BK1087" s="10"/>
      <c r="BL1087" s="10"/>
      <c r="BM1087" s="10"/>
      <c r="BN1087" s="10"/>
      <c r="BO1087" s="10"/>
      <c r="BP1087" s="10"/>
      <c r="BQ1087" s="10"/>
      <c r="BR1087" s="10"/>
      <c r="BS1087" s="10"/>
      <c r="BT1087" s="10"/>
      <c r="BU1087" s="10"/>
      <c r="BV1087" s="10"/>
    </row>
    <row r="1088" spans="1:74" s="50" customFormat="1" ht="15" hidden="1" customHeight="1">
      <c r="A1088" s="109">
        <v>1084</v>
      </c>
      <c r="B1088" s="163" t="s">
        <v>2175</v>
      </c>
      <c r="C1088" s="158" t="s">
        <v>2176</v>
      </c>
      <c r="D1088" s="160" t="s">
        <v>21</v>
      </c>
      <c r="E1088" s="160"/>
      <c r="F1088" s="160"/>
      <c r="G1088" s="168">
        <v>0</v>
      </c>
      <c r="H1088" s="3">
        <f t="shared" si="51"/>
        <v>0</v>
      </c>
      <c r="I1088" s="3">
        <f t="shared" si="52"/>
        <v>0</v>
      </c>
      <c r="J1088" s="33">
        <f t="shared" si="53"/>
        <v>0</v>
      </c>
      <c r="K1088" s="33"/>
      <c r="L1088" s="33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0"/>
      <c r="BC1088" s="10"/>
      <c r="BD1088" s="10"/>
      <c r="BE1088" s="10"/>
      <c r="BF1088" s="10"/>
      <c r="BG1088" s="111"/>
      <c r="BH1088" s="10"/>
      <c r="BI1088" s="10"/>
      <c r="BJ1088" s="10"/>
      <c r="BK1088" s="10"/>
      <c r="BL1088" s="10"/>
      <c r="BM1088" s="10"/>
      <c r="BN1088" s="10"/>
      <c r="BO1088" s="10"/>
      <c r="BP1088" s="10"/>
      <c r="BQ1088" s="10"/>
      <c r="BR1088" s="10"/>
      <c r="BS1088" s="10"/>
      <c r="BT1088" s="10"/>
      <c r="BU1088" s="10"/>
      <c r="BV1088" s="10"/>
    </row>
    <row r="1089" spans="1:74" s="50" customFormat="1" ht="15" hidden="1" customHeight="1">
      <c r="A1089" s="109">
        <v>1085</v>
      </c>
      <c r="B1089" s="163" t="s">
        <v>2177</v>
      </c>
      <c r="C1089" s="184" t="s">
        <v>2178</v>
      </c>
      <c r="D1089" s="185" t="s">
        <v>14</v>
      </c>
      <c r="E1089" s="185"/>
      <c r="F1089" s="185"/>
      <c r="G1089" s="168">
        <v>1</v>
      </c>
      <c r="H1089" s="3">
        <f t="shared" si="51"/>
        <v>0</v>
      </c>
      <c r="I1089" s="3">
        <f t="shared" si="52"/>
        <v>0</v>
      </c>
      <c r="J1089" s="33">
        <f t="shared" si="53"/>
        <v>1</v>
      </c>
      <c r="K1089" s="33"/>
      <c r="L1089" s="33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0"/>
      <c r="BC1089" s="10"/>
      <c r="BD1089" s="10"/>
      <c r="BE1089" s="10"/>
      <c r="BF1089" s="10"/>
      <c r="BG1089" s="10"/>
      <c r="BH1089" s="10"/>
      <c r="BI1089" s="10"/>
      <c r="BJ1089" s="10"/>
      <c r="BK1089" s="10"/>
      <c r="BL1089" s="10"/>
      <c r="BM1089" s="10"/>
      <c r="BN1089" s="10"/>
      <c r="BO1089" s="111"/>
      <c r="BP1089" s="10"/>
      <c r="BQ1089" s="10"/>
      <c r="BR1089" s="10"/>
      <c r="BS1089" s="10"/>
      <c r="BT1089" s="10"/>
      <c r="BU1089" s="10"/>
      <c r="BV1089" s="10"/>
    </row>
    <row r="1090" spans="1:74" s="50" customFormat="1" ht="15" hidden="1" customHeight="1">
      <c r="A1090" s="109">
        <v>1086</v>
      </c>
      <c r="B1090" s="163" t="s">
        <v>2179</v>
      </c>
      <c r="C1090" s="158" t="s">
        <v>2180</v>
      </c>
      <c r="D1090" s="160" t="s">
        <v>14</v>
      </c>
      <c r="E1090" s="160"/>
      <c r="F1090" s="160"/>
      <c r="G1090" s="168">
        <v>1</v>
      </c>
      <c r="H1090" s="3">
        <f t="shared" si="51"/>
        <v>0</v>
      </c>
      <c r="I1090" s="3">
        <f t="shared" si="52"/>
        <v>0</v>
      </c>
      <c r="J1090" s="33">
        <f t="shared" si="53"/>
        <v>1</v>
      </c>
      <c r="K1090" s="33"/>
      <c r="L1090" s="33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0"/>
      <c r="BC1090" s="10"/>
      <c r="BD1090" s="10"/>
      <c r="BE1090" s="10"/>
      <c r="BF1090" s="10"/>
      <c r="BG1090" s="10"/>
      <c r="BH1090" s="10"/>
      <c r="BI1090" s="111"/>
      <c r="BJ1090" s="10"/>
      <c r="BK1090" s="10"/>
      <c r="BL1090" s="10"/>
      <c r="BM1090" s="10"/>
      <c r="BN1090" s="10"/>
      <c r="BO1090" s="10"/>
      <c r="BP1090" s="10"/>
      <c r="BQ1090" s="10"/>
      <c r="BR1090" s="10"/>
      <c r="BS1090" s="10"/>
      <c r="BT1090" s="10"/>
      <c r="BU1090" s="10"/>
      <c r="BV1090" s="10"/>
    </row>
    <row r="1091" spans="1:74" s="50" customFormat="1" ht="15" hidden="1" customHeight="1">
      <c r="A1091" s="109">
        <v>1087</v>
      </c>
      <c r="B1091" s="163" t="s">
        <v>2181</v>
      </c>
      <c r="C1091" s="158" t="s">
        <v>2182</v>
      </c>
      <c r="D1091" s="160" t="s">
        <v>21</v>
      </c>
      <c r="E1091" s="160"/>
      <c r="F1091" s="160"/>
      <c r="G1091" s="168">
        <v>62</v>
      </c>
      <c r="H1091" s="3">
        <f t="shared" si="51"/>
        <v>0</v>
      </c>
      <c r="I1091" s="3">
        <f t="shared" si="52"/>
        <v>0</v>
      </c>
      <c r="J1091" s="33">
        <f t="shared" si="53"/>
        <v>62</v>
      </c>
      <c r="K1091" s="33"/>
      <c r="L1091" s="33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0"/>
      <c r="BC1091" s="10"/>
      <c r="BD1091" s="10"/>
      <c r="BE1091" s="10"/>
      <c r="BF1091" s="10"/>
      <c r="BG1091" s="10"/>
      <c r="BH1091" s="10"/>
      <c r="BI1091" s="111"/>
      <c r="BJ1091" s="10"/>
      <c r="BK1091" s="10"/>
      <c r="BL1091" s="10"/>
      <c r="BM1091" s="10"/>
      <c r="BN1091" s="10"/>
      <c r="BO1091" s="10"/>
      <c r="BP1091" s="10"/>
      <c r="BQ1091" s="10"/>
      <c r="BR1091" s="10"/>
      <c r="BS1091" s="10"/>
      <c r="BT1091" s="10"/>
      <c r="BU1091" s="10"/>
      <c r="BV1091" s="10"/>
    </row>
    <row r="1092" spans="1:74" s="50" customFormat="1" ht="15" hidden="1" customHeight="1">
      <c r="A1092" s="109">
        <v>1088</v>
      </c>
      <c r="B1092" s="163" t="s">
        <v>2183</v>
      </c>
      <c r="C1092" s="158" t="s">
        <v>2184</v>
      </c>
      <c r="D1092" s="160" t="s">
        <v>21</v>
      </c>
      <c r="E1092" s="160"/>
      <c r="F1092" s="160"/>
      <c r="G1092" s="168">
        <v>2</v>
      </c>
      <c r="H1092" s="3">
        <f t="shared" si="51"/>
        <v>0</v>
      </c>
      <c r="I1092" s="3">
        <f t="shared" si="52"/>
        <v>0</v>
      </c>
      <c r="J1092" s="33">
        <f t="shared" si="53"/>
        <v>2</v>
      </c>
      <c r="K1092" s="33"/>
      <c r="L1092" s="33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11"/>
      <c r="BJ1092" s="10"/>
      <c r="BK1092" s="10"/>
      <c r="BL1092" s="10"/>
      <c r="BM1092" s="10"/>
      <c r="BN1092" s="10"/>
      <c r="BO1092" s="10"/>
      <c r="BP1092" s="10"/>
      <c r="BQ1092" s="10"/>
      <c r="BR1092" s="10"/>
      <c r="BS1092" s="10"/>
      <c r="BT1092" s="10"/>
      <c r="BU1092" s="10"/>
      <c r="BV1092" s="10"/>
    </row>
    <row r="1093" spans="1:74" s="50" customFormat="1" ht="15" hidden="1" customHeight="1">
      <c r="A1093" s="142">
        <v>1089</v>
      </c>
      <c r="B1093" s="299" t="s">
        <v>2185</v>
      </c>
      <c r="C1093" s="300" t="s">
        <v>2186</v>
      </c>
      <c r="D1093" s="267" t="s">
        <v>21</v>
      </c>
      <c r="E1093" s="160"/>
      <c r="F1093" s="160"/>
      <c r="G1093" s="168">
        <v>9</v>
      </c>
      <c r="H1093" s="3">
        <f t="shared" si="51"/>
        <v>0</v>
      </c>
      <c r="I1093" s="3">
        <f t="shared" si="52"/>
        <v>0</v>
      </c>
      <c r="J1093" s="33">
        <f t="shared" si="53"/>
        <v>9</v>
      </c>
      <c r="K1093" s="33"/>
      <c r="L1093" s="33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11"/>
      <c r="BJ1093" s="10"/>
      <c r="BK1093" s="10"/>
      <c r="BL1093" s="10"/>
      <c r="BM1093" s="10"/>
      <c r="BN1093" s="10"/>
      <c r="BO1093" s="10"/>
      <c r="BP1093" s="10"/>
      <c r="BQ1093" s="10"/>
      <c r="BR1093" s="10"/>
      <c r="BS1093" s="10"/>
      <c r="BT1093" s="10"/>
      <c r="BU1093" s="10"/>
      <c r="BV1093" s="10"/>
    </row>
    <row r="1094" spans="1:74" s="50" customFormat="1" ht="15" hidden="1" customHeight="1">
      <c r="A1094" s="109">
        <v>1090</v>
      </c>
      <c r="B1094" s="163" t="s">
        <v>2187</v>
      </c>
      <c r="C1094" s="158" t="s">
        <v>2188</v>
      </c>
      <c r="D1094" s="160" t="s">
        <v>21</v>
      </c>
      <c r="E1094" s="160"/>
      <c r="F1094" s="160"/>
      <c r="G1094" s="168">
        <v>0</v>
      </c>
      <c r="H1094" s="3">
        <f t="shared" si="51"/>
        <v>0</v>
      </c>
      <c r="I1094" s="3">
        <f t="shared" si="52"/>
        <v>0</v>
      </c>
      <c r="J1094" s="33">
        <f t="shared" si="53"/>
        <v>0</v>
      </c>
      <c r="K1094" s="33"/>
      <c r="L1094" s="33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11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0"/>
      <c r="BC1094" s="10"/>
      <c r="BD1094" s="10"/>
      <c r="BE1094" s="10"/>
      <c r="BF1094" s="10"/>
      <c r="BG1094" s="10"/>
      <c r="BH1094" s="10"/>
      <c r="BI1094" s="111"/>
      <c r="BJ1094" s="10"/>
      <c r="BK1094" s="10"/>
      <c r="BL1094" s="10"/>
      <c r="BM1094" s="10"/>
      <c r="BN1094" s="10"/>
      <c r="BO1094" s="10"/>
      <c r="BP1094" s="10"/>
      <c r="BQ1094" s="10"/>
      <c r="BR1094" s="10"/>
      <c r="BS1094" s="10"/>
      <c r="BT1094" s="10"/>
      <c r="BU1094" s="10"/>
      <c r="BV1094" s="10"/>
    </row>
    <row r="1095" spans="1:74" s="50" customFormat="1" ht="30" hidden="1" customHeight="1">
      <c r="A1095" s="109">
        <v>1091</v>
      </c>
      <c r="B1095" s="163" t="s">
        <v>2189</v>
      </c>
      <c r="C1095" s="186" t="s">
        <v>2190</v>
      </c>
      <c r="D1095" s="160" t="s">
        <v>21</v>
      </c>
      <c r="E1095" s="160"/>
      <c r="F1095" s="160"/>
      <c r="G1095" s="168">
        <v>4</v>
      </c>
      <c r="H1095" s="3">
        <f t="shared" si="51"/>
        <v>0</v>
      </c>
      <c r="I1095" s="3">
        <f t="shared" si="52"/>
        <v>0</v>
      </c>
      <c r="J1095" s="33">
        <f t="shared" si="53"/>
        <v>4</v>
      </c>
      <c r="K1095" s="33"/>
      <c r="L1095" s="33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11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0"/>
      <c r="BC1095" s="10"/>
      <c r="BD1095" s="10"/>
      <c r="BE1095" s="10"/>
      <c r="BF1095" s="10"/>
      <c r="BG1095" s="10"/>
      <c r="BH1095" s="10"/>
      <c r="BI1095" s="111"/>
      <c r="BJ1095" s="10"/>
      <c r="BK1095" s="10"/>
      <c r="BL1095" s="10"/>
      <c r="BM1095" s="10"/>
      <c r="BN1095" s="10"/>
      <c r="BO1095" s="10"/>
      <c r="BP1095" s="10"/>
      <c r="BQ1095" s="10"/>
      <c r="BR1095" s="10"/>
      <c r="BS1095" s="10"/>
      <c r="BT1095" s="10"/>
      <c r="BU1095" s="10"/>
      <c r="BV1095" s="10"/>
    </row>
    <row r="1096" spans="1:74" s="50" customFormat="1" ht="15" hidden="1" customHeight="1">
      <c r="A1096" s="109">
        <v>1092</v>
      </c>
      <c r="B1096" s="163" t="s">
        <v>2191</v>
      </c>
      <c r="C1096" s="158" t="s">
        <v>2192</v>
      </c>
      <c r="D1096" s="160" t="s">
        <v>21</v>
      </c>
      <c r="E1096" s="160"/>
      <c r="F1096" s="160"/>
      <c r="G1096" s="168">
        <v>3</v>
      </c>
      <c r="H1096" s="3">
        <f t="shared" si="51"/>
        <v>0</v>
      </c>
      <c r="I1096" s="3">
        <f t="shared" si="52"/>
        <v>0</v>
      </c>
      <c r="J1096" s="33">
        <f t="shared" si="53"/>
        <v>3</v>
      </c>
      <c r="K1096" s="33"/>
      <c r="L1096" s="33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11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0"/>
      <c r="BC1096" s="10"/>
      <c r="BD1096" s="10"/>
      <c r="BE1096" s="10"/>
      <c r="BF1096" s="10"/>
      <c r="BG1096" s="10"/>
      <c r="BH1096" s="10"/>
      <c r="BI1096" s="111"/>
      <c r="BJ1096" s="10"/>
      <c r="BK1096" s="10"/>
      <c r="BL1096" s="10"/>
      <c r="BM1096" s="10"/>
      <c r="BN1096" s="10"/>
      <c r="BO1096" s="10"/>
      <c r="BP1096" s="10"/>
      <c r="BQ1096" s="10"/>
      <c r="BR1096" s="10"/>
      <c r="BS1096" s="10"/>
      <c r="BT1096" s="10"/>
      <c r="BU1096" s="10"/>
      <c r="BV1096" s="10"/>
    </row>
    <row r="1097" spans="1:74" s="50" customFormat="1" ht="15" hidden="1" customHeight="1">
      <c r="A1097" s="109">
        <v>1093</v>
      </c>
      <c r="B1097" s="163" t="s">
        <v>2193</v>
      </c>
      <c r="C1097" s="158" t="s">
        <v>2194</v>
      </c>
      <c r="D1097" s="160" t="s">
        <v>21</v>
      </c>
      <c r="E1097" s="160"/>
      <c r="F1097" s="160"/>
      <c r="G1097" s="168">
        <v>2</v>
      </c>
      <c r="H1097" s="3">
        <f t="shared" si="51"/>
        <v>0</v>
      </c>
      <c r="I1097" s="3">
        <f t="shared" si="52"/>
        <v>0</v>
      </c>
      <c r="J1097" s="33">
        <f t="shared" si="53"/>
        <v>2</v>
      </c>
      <c r="K1097" s="33"/>
      <c r="L1097" s="33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11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11"/>
      <c r="BJ1097" s="10"/>
      <c r="BK1097" s="10"/>
      <c r="BL1097" s="10"/>
      <c r="BM1097" s="10"/>
      <c r="BN1097" s="10"/>
      <c r="BO1097" s="10"/>
      <c r="BP1097" s="10"/>
      <c r="BQ1097" s="10"/>
      <c r="BR1097" s="10"/>
      <c r="BS1097" s="10"/>
      <c r="BT1097" s="10"/>
      <c r="BU1097" s="10"/>
      <c r="BV1097" s="10"/>
    </row>
    <row r="1098" spans="1:74" s="50" customFormat="1" ht="15" hidden="1" customHeight="1">
      <c r="A1098" s="109">
        <v>1094</v>
      </c>
      <c r="B1098" s="163" t="s">
        <v>2195</v>
      </c>
      <c r="C1098" s="158" t="s">
        <v>2196</v>
      </c>
      <c r="D1098" s="160" t="s">
        <v>21</v>
      </c>
      <c r="E1098" s="160"/>
      <c r="F1098" s="160"/>
      <c r="G1098" s="168">
        <v>0</v>
      </c>
      <c r="H1098" s="3">
        <f t="shared" si="51"/>
        <v>0</v>
      </c>
      <c r="I1098" s="3">
        <f t="shared" si="52"/>
        <v>0</v>
      </c>
      <c r="J1098" s="33">
        <f t="shared" si="53"/>
        <v>0</v>
      </c>
      <c r="K1098" s="33"/>
      <c r="L1098" s="33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11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0"/>
      <c r="BC1098" s="10"/>
      <c r="BD1098" s="10"/>
      <c r="BE1098" s="10"/>
      <c r="BF1098" s="10"/>
      <c r="BG1098" s="10"/>
      <c r="BH1098" s="10"/>
      <c r="BI1098" s="111"/>
      <c r="BJ1098" s="10"/>
      <c r="BK1098" s="10"/>
      <c r="BL1098" s="10"/>
      <c r="BM1098" s="10"/>
      <c r="BN1098" s="10"/>
      <c r="BO1098" s="10"/>
      <c r="BP1098" s="10"/>
      <c r="BQ1098" s="10"/>
      <c r="BR1098" s="10"/>
      <c r="BS1098" s="10"/>
      <c r="BT1098" s="10"/>
      <c r="BU1098" s="10"/>
      <c r="BV1098" s="10"/>
    </row>
    <row r="1099" spans="1:74" s="50" customFormat="1" ht="15.95" hidden="1" customHeight="1">
      <c r="A1099" s="109">
        <v>1095</v>
      </c>
      <c r="B1099" s="163" t="s">
        <v>2197</v>
      </c>
      <c r="C1099" s="186" t="s">
        <v>2198</v>
      </c>
      <c r="D1099" s="160" t="s">
        <v>21</v>
      </c>
      <c r="E1099" s="160"/>
      <c r="F1099" s="160"/>
      <c r="G1099" s="168">
        <v>0</v>
      </c>
      <c r="H1099" s="3">
        <f t="shared" si="51"/>
        <v>0</v>
      </c>
      <c r="I1099" s="3">
        <f t="shared" si="52"/>
        <v>0</v>
      </c>
      <c r="J1099" s="33">
        <f t="shared" si="53"/>
        <v>0</v>
      </c>
      <c r="K1099" s="33"/>
      <c r="L1099" s="33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11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11"/>
      <c r="BJ1099" s="10"/>
      <c r="BK1099" s="10"/>
      <c r="BL1099" s="10"/>
      <c r="BM1099" s="10"/>
      <c r="BN1099" s="10"/>
      <c r="BO1099" s="10"/>
      <c r="BP1099" s="10"/>
      <c r="BQ1099" s="10"/>
      <c r="BR1099" s="10"/>
      <c r="BS1099" s="10"/>
      <c r="BT1099" s="10"/>
      <c r="BU1099" s="10"/>
      <c r="BV1099" s="10"/>
    </row>
    <row r="1100" spans="1:74" s="50" customFormat="1" ht="15" hidden="1" customHeight="1">
      <c r="A1100" s="109">
        <v>1096</v>
      </c>
      <c r="B1100" s="163" t="s">
        <v>2199</v>
      </c>
      <c r="C1100" s="158" t="s">
        <v>2200</v>
      </c>
      <c r="D1100" s="160" t="s">
        <v>21</v>
      </c>
      <c r="E1100" s="160"/>
      <c r="F1100" s="160"/>
      <c r="G1100" s="168">
        <v>0</v>
      </c>
      <c r="H1100" s="3">
        <f t="shared" si="51"/>
        <v>0</v>
      </c>
      <c r="I1100" s="3">
        <f t="shared" si="52"/>
        <v>0</v>
      </c>
      <c r="J1100" s="33">
        <f t="shared" si="53"/>
        <v>0</v>
      </c>
      <c r="K1100" s="33"/>
      <c r="L1100" s="33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11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  <c r="BF1100" s="10"/>
      <c r="BG1100" s="10"/>
      <c r="BH1100" s="10"/>
      <c r="BI1100" s="111"/>
      <c r="BJ1100" s="10"/>
      <c r="BK1100" s="10"/>
      <c r="BL1100" s="10"/>
      <c r="BM1100" s="10"/>
      <c r="BN1100" s="10"/>
      <c r="BO1100" s="10"/>
      <c r="BP1100" s="10"/>
      <c r="BQ1100" s="10"/>
      <c r="BR1100" s="10"/>
      <c r="BS1100" s="10"/>
      <c r="BT1100" s="10"/>
      <c r="BU1100" s="10"/>
      <c r="BV1100" s="10"/>
    </row>
    <row r="1101" spans="1:74" s="50" customFormat="1" ht="15" hidden="1" customHeight="1">
      <c r="A1101" s="109">
        <v>1097</v>
      </c>
      <c r="B1101" s="163" t="s">
        <v>2201</v>
      </c>
      <c r="C1101" s="158" t="s">
        <v>2202</v>
      </c>
      <c r="D1101" s="160" t="s">
        <v>21</v>
      </c>
      <c r="E1101" s="160"/>
      <c r="F1101" s="160"/>
      <c r="G1101" s="168">
        <v>0</v>
      </c>
      <c r="H1101" s="3">
        <f t="shared" si="51"/>
        <v>0</v>
      </c>
      <c r="I1101" s="3">
        <f t="shared" si="52"/>
        <v>0</v>
      </c>
      <c r="J1101" s="33">
        <f t="shared" si="53"/>
        <v>0</v>
      </c>
      <c r="K1101" s="33"/>
      <c r="L1101" s="33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11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11"/>
      <c r="BJ1101" s="10"/>
      <c r="BK1101" s="10"/>
      <c r="BL1101" s="10"/>
      <c r="BM1101" s="10"/>
      <c r="BN1101" s="10"/>
      <c r="BO1101" s="10"/>
      <c r="BP1101" s="10"/>
      <c r="BQ1101" s="10"/>
      <c r="BR1101" s="10"/>
      <c r="BS1101" s="10"/>
      <c r="BT1101" s="10"/>
      <c r="BU1101" s="10"/>
      <c r="BV1101" s="10"/>
    </row>
    <row r="1102" spans="1:74" s="50" customFormat="1" ht="15" hidden="1" customHeight="1">
      <c r="A1102" s="109">
        <v>1098</v>
      </c>
      <c r="B1102" s="163" t="s">
        <v>2203</v>
      </c>
      <c r="C1102" s="158" t="s">
        <v>2204</v>
      </c>
      <c r="D1102" s="160" t="s">
        <v>21</v>
      </c>
      <c r="E1102" s="160"/>
      <c r="F1102" s="160"/>
      <c r="G1102" s="168">
        <v>0</v>
      </c>
      <c r="H1102" s="3">
        <f t="shared" si="51"/>
        <v>0</v>
      </c>
      <c r="I1102" s="3">
        <f t="shared" si="52"/>
        <v>0</v>
      </c>
      <c r="J1102" s="33">
        <f t="shared" si="53"/>
        <v>0</v>
      </c>
      <c r="K1102" s="33"/>
      <c r="L1102" s="33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11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11"/>
      <c r="BJ1102" s="10"/>
      <c r="BK1102" s="10"/>
      <c r="BL1102" s="10"/>
      <c r="BM1102" s="10"/>
      <c r="BN1102" s="10"/>
      <c r="BO1102" s="10"/>
      <c r="BP1102" s="10"/>
      <c r="BQ1102" s="10"/>
      <c r="BR1102" s="10"/>
      <c r="BS1102" s="10"/>
      <c r="BT1102" s="10"/>
      <c r="BU1102" s="10"/>
      <c r="BV1102" s="10"/>
    </row>
    <row r="1103" spans="1:74" s="50" customFormat="1" ht="15" hidden="1" customHeight="1">
      <c r="A1103" s="109">
        <v>1099</v>
      </c>
      <c r="B1103" s="163" t="s">
        <v>2205</v>
      </c>
      <c r="C1103" s="158" t="s">
        <v>2206</v>
      </c>
      <c r="D1103" s="160" t="s">
        <v>21</v>
      </c>
      <c r="E1103" s="160"/>
      <c r="F1103" s="160"/>
      <c r="G1103" s="168">
        <v>0</v>
      </c>
      <c r="H1103" s="3">
        <f t="shared" si="51"/>
        <v>0</v>
      </c>
      <c r="I1103" s="3">
        <f t="shared" si="52"/>
        <v>0</v>
      </c>
      <c r="J1103" s="33">
        <f t="shared" si="53"/>
        <v>0</v>
      </c>
      <c r="K1103" s="33"/>
      <c r="L1103" s="33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11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  <c r="BC1103" s="10"/>
      <c r="BD1103" s="10"/>
      <c r="BE1103" s="10"/>
      <c r="BF1103" s="10"/>
      <c r="BG1103" s="10"/>
      <c r="BH1103" s="10"/>
      <c r="BI1103" s="111"/>
      <c r="BJ1103" s="10"/>
      <c r="BK1103" s="10"/>
      <c r="BL1103" s="10"/>
      <c r="BM1103" s="10"/>
      <c r="BN1103" s="10"/>
      <c r="BO1103" s="10"/>
      <c r="BP1103" s="10"/>
      <c r="BQ1103" s="10"/>
      <c r="BR1103" s="10"/>
      <c r="BS1103" s="10"/>
      <c r="BT1103" s="10"/>
      <c r="BU1103" s="10"/>
      <c r="BV1103" s="10"/>
    </row>
    <row r="1104" spans="1:74" s="50" customFormat="1" ht="15" hidden="1" customHeight="1">
      <c r="A1104" s="109">
        <v>1100</v>
      </c>
      <c r="B1104" s="163" t="s">
        <v>2207</v>
      </c>
      <c r="C1104" s="158" t="s">
        <v>2208</v>
      </c>
      <c r="D1104" s="160" t="s">
        <v>21</v>
      </c>
      <c r="E1104" s="160"/>
      <c r="F1104" s="160"/>
      <c r="G1104" s="168">
        <v>0</v>
      </c>
      <c r="H1104" s="3">
        <f t="shared" si="51"/>
        <v>0</v>
      </c>
      <c r="I1104" s="3">
        <f t="shared" si="52"/>
        <v>0</v>
      </c>
      <c r="J1104" s="33">
        <f t="shared" si="53"/>
        <v>0</v>
      </c>
      <c r="K1104" s="33"/>
      <c r="L1104" s="33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0"/>
      <c r="BC1104" s="10"/>
      <c r="BD1104" s="10"/>
      <c r="BE1104" s="10"/>
      <c r="BF1104" s="10"/>
      <c r="BG1104" s="10"/>
      <c r="BH1104" s="10"/>
      <c r="BI1104" s="111"/>
      <c r="BJ1104" s="10"/>
      <c r="BK1104" s="10"/>
      <c r="BL1104" s="10"/>
      <c r="BM1104" s="10"/>
      <c r="BN1104" s="10"/>
      <c r="BO1104" s="10"/>
      <c r="BP1104" s="10"/>
      <c r="BQ1104" s="10"/>
      <c r="BR1104" s="111"/>
      <c r="BS1104" s="10"/>
      <c r="BT1104" s="10"/>
      <c r="BU1104" s="10"/>
      <c r="BV1104" s="10"/>
    </row>
    <row r="1105" spans="1:74" s="50" customFormat="1" ht="15" hidden="1" customHeight="1">
      <c r="A1105" s="109">
        <v>1101</v>
      </c>
      <c r="B1105" s="187" t="s">
        <v>2209</v>
      </c>
      <c r="C1105" s="188" t="s">
        <v>2210</v>
      </c>
      <c r="D1105" s="171" t="s">
        <v>21</v>
      </c>
      <c r="E1105" s="171"/>
      <c r="F1105" s="171"/>
      <c r="G1105" s="172">
        <v>148</v>
      </c>
      <c r="H1105" s="127">
        <f t="shared" si="51"/>
        <v>0</v>
      </c>
      <c r="I1105" s="127">
        <f t="shared" si="52"/>
        <v>0</v>
      </c>
      <c r="J1105" s="173">
        <f t="shared" si="53"/>
        <v>148</v>
      </c>
      <c r="K1105" s="173"/>
      <c r="L1105" s="173"/>
      <c r="M1105" s="174"/>
      <c r="N1105" s="174"/>
      <c r="O1105" s="174"/>
      <c r="P1105" s="174"/>
      <c r="Q1105" s="174"/>
      <c r="R1105" s="174"/>
      <c r="S1105" s="174"/>
      <c r="T1105" s="174"/>
      <c r="U1105" s="174"/>
      <c r="V1105" s="174"/>
      <c r="W1105" s="174"/>
      <c r="X1105" s="174"/>
      <c r="Y1105" s="174"/>
      <c r="Z1105" s="174"/>
      <c r="AA1105" s="174"/>
      <c r="AB1105" s="174"/>
      <c r="AC1105" s="174"/>
      <c r="AD1105" s="174"/>
      <c r="AE1105" s="174"/>
      <c r="AF1105" s="174"/>
      <c r="AG1105" s="174"/>
      <c r="AH1105" s="10"/>
      <c r="AI1105" s="174"/>
      <c r="AJ1105" s="174"/>
      <c r="AK1105" s="174"/>
      <c r="AL1105" s="174"/>
      <c r="AM1105" s="174"/>
      <c r="AN1105" s="174"/>
      <c r="AO1105" s="174"/>
      <c r="AP1105" s="174"/>
      <c r="AQ1105" s="174"/>
      <c r="AR1105" s="174"/>
      <c r="AS1105" s="174"/>
      <c r="AT1105" s="174"/>
      <c r="AU1105" s="174"/>
      <c r="AV1105" s="174"/>
      <c r="AW1105" s="174"/>
      <c r="AX1105" s="174"/>
      <c r="AY1105" s="174"/>
      <c r="AZ1105" s="174"/>
      <c r="BA1105" s="174"/>
      <c r="BB1105" s="174"/>
      <c r="BC1105" s="174"/>
      <c r="BD1105" s="174"/>
      <c r="BE1105" s="174"/>
      <c r="BF1105" s="174"/>
      <c r="BG1105" s="174"/>
      <c r="BH1105" s="174"/>
      <c r="BI1105" s="189"/>
      <c r="BJ1105" s="174"/>
      <c r="BK1105" s="174"/>
      <c r="BL1105" s="174"/>
      <c r="BM1105" s="174"/>
      <c r="BN1105" s="174"/>
      <c r="BO1105" s="174"/>
      <c r="BP1105" s="174"/>
      <c r="BQ1105" s="174"/>
      <c r="BR1105" s="189"/>
      <c r="BS1105" s="174"/>
      <c r="BT1105" s="174"/>
      <c r="BU1105" s="174"/>
      <c r="BV1105" s="174"/>
    </row>
    <row r="1106" spans="1:74" s="50" customFormat="1" hidden="1">
      <c r="A1106" s="142">
        <v>1102</v>
      </c>
      <c r="B1106" s="333" t="s">
        <v>2211</v>
      </c>
      <c r="C1106" s="421" t="s">
        <v>2212</v>
      </c>
      <c r="D1106" s="267" t="s">
        <v>21</v>
      </c>
      <c r="E1106" s="160"/>
      <c r="F1106" s="160"/>
      <c r="G1106" s="168">
        <v>20</v>
      </c>
      <c r="H1106" s="3">
        <f t="shared" si="51"/>
        <v>0</v>
      </c>
      <c r="I1106" s="3">
        <f t="shared" si="52"/>
        <v>0</v>
      </c>
      <c r="J1106" s="33">
        <f t="shared" si="53"/>
        <v>20</v>
      </c>
      <c r="K1106" s="33"/>
      <c r="L1106" s="33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11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11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3"/>
      <c r="BC1106" s="10"/>
      <c r="BD1106" s="10"/>
      <c r="BE1106" s="10"/>
      <c r="BF1106" s="10"/>
      <c r="BG1106" s="3"/>
      <c r="BH1106" s="10"/>
      <c r="BI1106" s="3"/>
      <c r="BJ1106" s="10"/>
      <c r="BK1106" s="10"/>
      <c r="BL1106" s="3"/>
      <c r="BM1106" s="10"/>
      <c r="BN1106" s="10"/>
      <c r="BO1106" s="10"/>
      <c r="BP1106" s="10"/>
      <c r="BQ1106" s="10"/>
      <c r="BR1106" s="10"/>
      <c r="BS1106" s="10"/>
      <c r="BT1106" s="10"/>
      <c r="BU1106" s="10"/>
      <c r="BV1106" s="10"/>
    </row>
    <row r="1107" spans="1:74" s="50" customFormat="1" ht="15" hidden="1" customHeight="1">
      <c r="A1107" s="109">
        <v>1103</v>
      </c>
      <c r="B1107" s="121" t="s">
        <v>2213</v>
      </c>
      <c r="C1107" s="135" t="s">
        <v>2214</v>
      </c>
      <c r="D1107" s="121" t="s">
        <v>14</v>
      </c>
      <c r="E1107" s="121"/>
      <c r="F1107" s="121"/>
      <c r="G1107" s="168">
        <v>3</v>
      </c>
      <c r="H1107" s="3">
        <f t="shared" si="51"/>
        <v>0</v>
      </c>
      <c r="I1107" s="3">
        <f t="shared" si="52"/>
        <v>0</v>
      </c>
      <c r="J1107" s="33">
        <f t="shared" si="53"/>
        <v>3</v>
      </c>
      <c r="K1107" s="33"/>
      <c r="L1107" s="33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11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11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0"/>
      <c r="BC1107" s="10"/>
      <c r="BD1107" s="10"/>
      <c r="BE1107" s="10"/>
      <c r="BF1107" s="10"/>
      <c r="BG1107" s="10"/>
      <c r="BH1107" s="10"/>
      <c r="BI1107" s="10"/>
      <c r="BJ1107" s="10"/>
      <c r="BK1107" s="10"/>
      <c r="BL1107" s="10"/>
      <c r="BM1107" s="10"/>
      <c r="BN1107" s="10"/>
      <c r="BO1107" s="10"/>
      <c r="BP1107" s="10"/>
      <c r="BQ1107" s="10"/>
      <c r="BR1107" s="10"/>
      <c r="BS1107" s="10"/>
      <c r="BT1107" s="10"/>
      <c r="BU1107" s="10"/>
      <c r="BV1107" s="10"/>
    </row>
    <row r="1108" spans="1:74" s="50" customFormat="1" hidden="1">
      <c r="A1108" s="109">
        <v>1104</v>
      </c>
      <c r="B1108" s="121" t="s">
        <v>2215</v>
      </c>
      <c r="C1108" s="135" t="s">
        <v>2216</v>
      </c>
      <c r="D1108" s="121" t="s">
        <v>21</v>
      </c>
      <c r="E1108" s="121"/>
      <c r="F1108" s="121"/>
      <c r="G1108" s="168">
        <v>0</v>
      </c>
      <c r="H1108" s="127">
        <f t="shared" si="51"/>
        <v>0</v>
      </c>
      <c r="I1108" s="127">
        <f t="shared" si="52"/>
        <v>0</v>
      </c>
      <c r="J1108" s="173">
        <f t="shared" si="53"/>
        <v>0</v>
      </c>
      <c r="K1108" s="173"/>
      <c r="L1108" s="173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11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11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0"/>
      <c r="BC1108" s="10"/>
      <c r="BD1108" s="10"/>
      <c r="BE1108" s="10"/>
      <c r="BF1108" s="10"/>
      <c r="BG1108" s="10"/>
      <c r="BH1108" s="10"/>
      <c r="BI1108" s="10"/>
      <c r="BJ1108" s="10"/>
      <c r="BK1108" s="10"/>
      <c r="BL1108" s="10"/>
      <c r="BM1108" s="10"/>
      <c r="BN1108" s="10"/>
      <c r="BO1108" s="10"/>
      <c r="BP1108" s="10"/>
      <c r="BQ1108" s="10"/>
      <c r="BR1108" s="10"/>
      <c r="BS1108" s="10"/>
      <c r="BT1108" s="10"/>
      <c r="BU1108" s="10"/>
      <c r="BV1108" s="10"/>
    </row>
    <row r="1109" spans="1:74" s="50" customFormat="1" hidden="1">
      <c r="A1109" s="111">
        <v>1105</v>
      </c>
      <c r="B1109" s="10" t="s">
        <v>2217</v>
      </c>
      <c r="C1109" s="351" t="s">
        <v>2218</v>
      </c>
      <c r="D1109" s="10" t="s">
        <v>21</v>
      </c>
      <c r="E1109" s="121"/>
      <c r="F1109" s="10"/>
      <c r="G1109" s="168">
        <v>0</v>
      </c>
      <c r="H1109" s="127">
        <f t="shared" si="51"/>
        <v>0</v>
      </c>
      <c r="I1109" s="127">
        <f t="shared" si="52"/>
        <v>0</v>
      </c>
      <c r="J1109" s="173">
        <f t="shared" si="53"/>
        <v>0</v>
      </c>
      <c r="K1109" s="173"/>
      <c r="L1109" s="173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11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11"/>
      <c r="AO1109" s="10"/>
      <c r="AP1109" s="111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0"/>
      <c r="BC1109" s="10"/>
      <c r="BD1109" s="10"/>
      <c r="BE1109" s="10"/>
      <c r="BF1109" s="10"/>
      <c r="BG1109" s="10"/>
      <c r="BH1109" s="10"/>
      <c r="BI1109" s="10"/>
      <c r="BJ1109" s="10"/>
      <c r="BK1109" s="10"/>
      <c r="BL1109" s="10"/>
      <c r="BM1109" s="10"/>
      <c r="BN1109" s="10"/>
      <c r="BO1109" s="10"/>
      <c r="BP1109" s="10"/>
      <c r="BQ1109" s="10"/>
      <c r="BR1109" s="10"/>
      <c r="BS1109" s="10"/>
      <c r="BT1109" s="10"/>
      <c r="BU1109" s="10"/>
      <c r="BV1109" s="10"/>
    </row>
    <row r="1110" spans="1:74" s="50" customFormat="1" hidden="1">
      <c r="A1110" s="111">
        <v>1106</v>
      </c>
      <c r="B1110" s="10" t="s">
        <v>2219</v>
      </c>
      <c r="C1110" s="351" t="s">
        <v>2220</v>
      </c>
      <c r="D1110" s="12" t="s">
        <v>21</v>
      </c>
      <c r="E1110" s="160"/>
      <c r="F1110" s="12"/>
      <c r="G1110" s="168">
        <v>1</v>
      </c>
      <c r="H1110" s="127">
        <f t="shared" si="51"/>
        <v>0</v>
      </c>
      <c r="I1110" s="127">
        <f t="shared" si="52"/>
        <v>0</v>
      </c>
      <c r="J1110" s="173">
        <f t="shared" si="53"/>
        <v>1</v>
      </c>
      <c r="K1110" s="173"/>
      <c r="L1110" s="173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11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0"/>
      <c r="BC1110" s="10"/>
      <c r="BD1110" s="10"/>
      <c r="BE1110" s="10"/>
      <c r="BF1110" s="10"/>
      <c r="BG1110" s="10"/>
      <c r="BH1110" s="10"/>
      <c r="BI1110" s="10"/>
      <c r="BJ1110" s="10"/>
      <c r="BK1110" s="10"/>
      <c r="BL1110" s="10"/>
      <c r="BM1110" s="10"/>
      <c r="BN1110" s="10"/>
      <c r="BO1110" s="10"/>
      <c r="BP1110" s="10"/>
      <c r="BQ1110" s="10"/>
      <c r="BR1110" s="10"/>
      <c r="BS1110" s="10"/>
      <c r="BT1110" s="10"/>
      <c r="BU1110" s="10"/>
      <c r="BV1110" s="10"/>
    </row>
    <row r="1111" spans="1:74" s="50" customFormat="1" hidden="1">
      <c r="A1111" s="111">
        <v>1107</v>
      </c>
      <c r="B1111" s="10" t="s">
        <v>2221</v>
      </c>
      <c r="C1111" s="351" t="s">
        <v>2222</v>
      </c>
      <c r="D1111" s="10" t="s">
        <v>14</v>
      </c>
      <c r="E1111" s="121"/>
      <c r="F1111" s="10"/>
      <c r="G1111" s="168">
        <v>1</v>
      </c>
      <c r="H1111" s="3">
        <f t="shared" si="51"/>
        <v>0</v>
      </c>
      <c r="I1111" s="3">
        <f t="shared" si="52"/>
        <v>0</v>
      </c>
      <c r="J1111" s="33">
        <f t="shared" si="53"/>
        <v>1</v>
      </c>
      <c r="K1111" s="33"/>
      <c r="L1111" s="33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11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0"/>
      <c r="BC1111" s="10"/>
      <c r="BD1111" s="10"/>
      <c r="BE1111" s="10"/>
      <c r="BF1111" s="10"/>
      <c r="BG1111" s="10"/>
      <c r="BH1111" s="10"/>
      <c r="BI1111" s="10"/>
      <c r="BJ1111" s="10"/>
      <c r="BK1111" s="111"/>
      <c r="BL1111" s="10"/>
      <c r="BM1111" s="10"/>
      <c r="BN1111" s="10"/>
      <c r="BO1111" s="10"/>
      <c r="BP1111" s="10"/>
      <c r="BQ1111" s="10"/>
      <c r="BR1111" s="10"/>
      <c r="BS1111" s="10"/>
      <c r="BT1111" s="10"/>
      <c r="BU1111" s="10"/>
      <c r="BV1111" s="10"/>
    </row>
    <row r="1112" spans="1:74" s="50" customFormat="1" hidden="1">
      <c r="A1112" s="109">
        <v>1108</v>
      </c>
      <c r="B1112" s="121" t="s">
        <v>2223</v>
      </c>
      <c r="C1112" s="135" t="s">
        <v>2224</v>
      </c>
      <c r="D1112" s="121" t="s">
        <v>21</v>
      </c>
      <c r="E1112" s="121"/>
      <c r="F1112" s="121"/>
      <c r="G1112" s="183">
        <v>4</v>
      </c>
      <c r="H1112" s="26">
        <f t="shared" si="51"/>
        <v>0</v>
      </c>
      <c r="I1112" s="26">
        <f t="shared" si="52"/>
        <v>0</v>
      </c>
      <c r="J1112" s="30">
        <f t="shared" si="53"/>
        <v>4</v>
      </c>
      <c r="K1112" s="30"/>
      <c r="L1112" s="3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11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0"/>
      <c r="BC1112" s="10"/>
      <c r="BD1112" s="10"/>
      <c r="BE1112" s="10"/>
      <c r="BF1112" s="10"/>
      <c r="BG1112" s="10"/>
      <c r="BH1112" s="10"/>
      <c r="BI1112" s="10"/>
      <c r="BJ1112" s="10"/>
      <c r="BK1112" s="10"/>
      <c r="BL1112" s="10"/>
      <c r="BM1112" s="10"/>
      <c r="BN1112" s="10"/>
      <c r="BO1112" s="10"/>
      <c r="BP1112" s="10"/>
      <c r="BQ1112" s="10"/>
      <c r="BR1112" s="10"/>
      <c r="BS1112" s="10"/>
      <c r="BT1112" s="10"/>
      <c r="BU1112" s="10"/>
      <c r="BV1112" s="10"/>
    </row>
    <row r="1113" spans="1:74" s="50" customFormat="1" hidden="1">
      <c r="A1113" s="142">
        <v>1109</v>
      </c>
      <c r="B1113" s="256" t="s">
        <v>2225</v>
      </c>
      <c r="C1113" s="290" t="s">
        <v>2226</v>
      </c>
      <c r="D1113" s="256" t="s">
        <v>21</v>
      </c>
      <c r="E1113" s="121"/>
      <c r="F1113" s="121"/>
      <c r="G1113" s="168">
        <v>64</v>
      </c>
      <c r="H1113" s="3">
        <f t="shared" si="51"/>
        <v>0</v>
      </c>
      <c r="I1113" s="3">
        <f t="shared" si="52"/>
        <v>0</v>
      </c>
      <c r="J1113" s="33">
        <f t="shared" si="53"/>
        <v>64</v>
      </c>
      <c r="K1113" s="33"/>
      <c r="L1113" s="33"/>
      <c r="M1113" s="10"/>
      <c r="N1113" s="10"/>
      <c r="O1113" s="10"/>
      <c r="P1113" s="10"/>
      <c r="Q1113" s="10"/>
      <c r="R1113" s="10"/>
      <c r="S1113" s="10"/>
      <c r="T1113" s="10"/>
      <c r="U1113" s="111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0"/>
      <c r="BC1113" s="10"/>
      <c r="BD1113" s="10"/>
      <c r="BE1113" s="10"/>
      <c r="BF1113" s="10"/>
      <c r="BG1113" s="10"/>
      <c r="BH1113" s="10"/>
      <c r="BI1113" s="10"/>
      <c r="BJ1113" s="10"/>
      <c r="BK1113" s="10"/>
      <c r="BL1113" s="10"/>
      <c r="BM1113" s="10"/>
      <c r="BN1113" s="10"/>
      <c r="BO1113" s="10"/>
      <c r="BP1113" s="10"/>
      <c r="BQ1113" s="10"/>
      <c r="BR1113" s="10"/>
      <c r="BS1113" s="10"/>
      <c r="BT1113" s="10"/>
      <c r="BU1113" s="10"/>
      <c r="BV1113" s="10"/>
    </row>
    <row r="1114" spans="1:74" s="50" customFormat="1" hidden="1">
      <c r="A1114" s="111">
        <v>1110</v>
      </c>
      <c r="B1114" s="10" t="s">
        <v>2227</v>
      </c>
      <c r="C1114" s="351" t="s">
        <v>2228</v>
      </c>
      <c r="D1114" s="10" t="s">
        <v>21</v>
      </c>
      <c r="E1114" s="121"/>
      <c r="F1114" s="10"/>
      <c r="G1114" s="168">
        <v>2</v>
      </c>
      <c r="H1114" s="3">
        <f t="shared" si="51"/>
        <v>0</v>
      </c>
      <c r="I1114" s="3">
        <f t="shared" si="52"/>
        <v>0</v>
      </c>
      <c r="J1114" s="33">
        <f t="shared" si="53"/>
        <v>2</v>
      </c>
      <c r="K1114" s="33"/>
      <c r="L1114" s="33"/>
      <c r="M1114" s="10"/>
      <c r="N1114" s="10"/>
      <c r="O1114" s="10"/>
      <c r="P1114" s="10"/>
      <c r="Q1114" s="10"/>
      <c r="R1114" s="10"/>
      <c r="S1114" s="10"/>
      <c r="T1114" s="10"/>
      <c r="U1114" s="111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0"/>
      <c r="BC1114" s="10"/>
      <c r="BD1114" s="10"/>
      <c r="BE1114" s="10"/>
      <c r="BF1114" s="10"/>
      <c r="BG1114" s="10"/>
      <c r="BH1114" s="10"/>
      <c r="BI1114" s="10"/>
      <c r="BJ1114" s="10"/>
      <c r="BK1114" s="10"/>
      <c r="BL1114" s="10"/>
      <c r="BM1114" s="10"/>
      <c r="BN1114" s="10"/>
      <c r="BO1114" s="10"/>
      <c r="BP1114" s="10"/>
      <c r="BQ1114" s="10"/>
      <c r="BR1114" s="10"/>
      <c r="BS1114" s="10"/>
      <c r="BT1114" s="10"/>
      <c r="BU1114" s="10"/>
      <c r="BV1114" s="10"/>
    </row>
    <row r="1115" spans="1:74" s="50" customFormat="1" hidden="1">
      <c r="A1115" s="142">
        <v>1111</v>
      </c>
      <c r="B1115" s="256" t="s">
        <v>2229</v>
      </c>
      <c r="C1115" s="290" t="s">
        <v>2230</v>
      </c>
      <c r="D1115" s="256" t="s">
        <v>21</v>
      </c>
      <c r="E1115" s="381" t="s">
        <v>3553</v>
      </c>
      <c r="F1115" s="10"/>
      <c r="G1115" s="168">
        <v>18</v>
      </c>
      <c r="H1115" s="3">
        <f t="shared" si="51"/>
        <v>0</v>
      </c>
      <c r="I1115" s="3">
        <f t="shared" si="52"/>
        <v>15</v>
      </c>
      <c r="J1115" s="33">
        <f t="shared" si="53"/>
        <v>3</v>
      </c>
      <c r="K1115" s="33"/>
      <c r="L1115" s="33"/>
      <c r="M1115" s="10"/>
      <c r="N1115" s="10"/>
      <c r="O1115" s="10"/>
      <c r="P1115" s="10"/>
      <c r="Q1115" s="10"/>
      <c r="R1115" s="10"/>
      <c r="S1115" s="10"/>
      <c r="T1115" s="10"/>
      <c r="U1115" s="111"/>
      <c r="V1115" s="10"/>
      <c r="W1115" s="10"/>
      <c r="X1115" s="10"/>
      <c r="Y1115" s="10"/>
      <c r="Z1115" s="10">
        <v>6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>
        <v>9</v>
      </c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0"/>
      <c r="BC1115" s="10"/>
      <c r="BD1115" s="10"/>
      <c r="BE1115" s="10"/>
      <c r="BF1115" s="10"/>
      <c r="BG1115" s="10"/>
      <c r="BH1115" s="10"/>
      <c r="BI1115" s="10"/>
      <c r="BJ1115" s="10"/>
      <c r="BK1115" s="10"/>
      <c r="BL1115" s="10"/>
      <c r="BM1115" s="10"/>
      <c r="BN1115" s="10"/>
      <c r="BO1115" s="10"/>
      <c r="BP1115" s="10"/>
      <c r="BQ1115" s="10"/>
      <c r="BR1115" s="10"/>
      <c r="BS1115" s="10"/>
      <c r="BT1115" s="10"/>
      <c r="BU1115" s="10"/>
      <c r="BV1115" s="10"/>
    </row>
    <row r="1116" spans="1:74" s="50" customFormat="1" hidden="1">
      <c r="A1116" s="111">
        <v>1112</v>
      </c>
      <c r="B1116" s="10" t="s">
        <v>2231</v>
      </c>
      <c r="C1116" s="351" t="s">
        <v>2232</v>
      </c>
      <c r="D1116" s="10" t="s">
        <v>21</v>
      </c>
      <c r="E1116" s="121"/>
      <c r="F1116" s="10"/>
      <c r="G1116" s="168">
        <v>2</v>
      </c>
      <c r="H1116" s="3">
        <f t="shared" si="51"/>
        <v>0</v>
      </c>
      <c r="I1116" s="3">
        <f t="shared" si="52"/>
        <v>0</v>
      </c>
      <c r="J1116" s="33">
        <f t="shared" si="53"/>
        <v>2</v>
      </c>
      <c r="K1116" s="33"/>
      <c r="L1116" s="33"/>
      <c r="M1116" s="10"/>
      <c r="N1116" s="10"/>
      <c r="O1116" s="10"/>
      <c r="P1116" s="10"/>
      <c r="Q1116" s="10"/>
      <c r="R1116" s="10"/>
      <c r="S1116" s="10"/>
      <c r="T1116" s="10"/>
      <c r="U1116" s="111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0"/>
      <c r="BC1116" s="10"/>
      <c r="BD1116" s="10"/>
      <c r="BE1116" s="10"/>
      <c r="BF1116" s="10"/>
      <c r="BG1116" s="10"/>
      <c r="BH1116" s="10"/>
      <c r="BI1116" s="10"/>
      <c r="BJ1116" s="10"/>
      <c r="BK1116" s="10"/>
      <c r="BL1116" s="10"/>
      <c r="BM1116" s="10"/>
      <c r="BN1116" s="10"/>
      <c r="BO1116" s="10"/>
      <c r="BP1116" s="10"/>
      <c r="BQ1116" s="10"/>
      <c r="BR1116" s="10"/>
      <c r="BS1116" s="10"/>
      <c r="BT1116" s="10"/>
      <c r="BU1116" s="10"/>
      <c r="BV1116" s="10"/>
    </row>
    <row r="1117" spans="1:74" s="50" customFormat="1" hidden="1">
      <c r="A1117" s="111">
        <v>1113</v>
      </c>
      <c r="B1117" s="10" t="s">
        <v>2233</v>
      </c>
      <c r="C1117" s="351" t="s">
        <v>2234</v>
      </c>
      <c r="D1117" s="10" t="s">
        <v>21</v>
      </c>
      <c r="E1117" s="121"/>
      <c r="F1117" s="10"/>
      <c r="G1117" s="168">
        <v>2</v>
      </c>
      <c r="H1117" s="3">
        <f t="shared" si="51"/>
        <v>0</v>
      </c>
      <c r="I1117" s="3">
        <f t="shared" si="52"/>
        <v>0</v>
      </c>
      <c r="J1117" s="33">
        <f t="shared" si="53"/>
        <v>2</v>
      </c>
      <c r="K1117" s="33"/>
      <c r="L1117" s="33"/>
      <c r="M1117" s="10"/>
      <c r="N1117" s="10"/>
      <c r="O1117" s="10"/>
      <c r="P1117" s="10"/>
      <c r="Q1117" s="10"/>
      <c r="R1117" s="10"/>
      <c r="S1117" s="10"/>
      <c r="T1117" s="10"/>
      <c r="U1117" s="111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0"/>
      <c r="BC1117" s="10"/>
      <c r="BD1117" s="10"/>
      <c r="BE1117" s="10"/>
      <c r="BF1117" s="10"/>
      <c r="BG1117" s="10"/>
      <c r="BH1117" s="10"/>
      <c r="BI1117" s="10"/>
      <c r="BJ1117" s="10"/>
      <c r="BK1117" s="10"/>
      <c r="BL1117" s="10"/>
      <c r="BM1117" s="10"/>
      <c r="BN1117" s="10"/>
      <c r="BO1117" s="10"/>
      <c r="BP1117" s="10"/>
      <c r="BQ1117" s="10"/>
      <c r="BR1117" s="10"/>
      <c r="BS1117" s="10"/>
      <c r="BT1117" s="10"/>
      <c r="BU1117" s="10"/>
      <c r="BV1117" s="10"/>
    </row>
    <row r="1118" spans="1:74" s="50" customFormat="1" hidden="1">
      <c r="A1118" s="111">
        <v>1114</v>
      </c>
      <c r="B1118" s="10" t="s">
        <v>2235</v>
      </c>
      <c r="C1118" s="351" t="s">
        <v>2236</v>
      </c>
      <c r="D1118" s="10" t="s">
        <v>21</v>
      </c>
      <c r="E1118" s="121"/>
      <c r="F1118" s="10"/>
      <c r="G1118" s="168">
        <v>1</v>
      </c>
      <c r="H1118" s="3">
        <f t="shared" si="51"/>
        <v>0</v>
      </c>
      <c r="I1118" s="3">
        <f t="shared" si="52"/>
        <v>0</v>
      </c>
      <c r="J1118" s="33">
        <f t="shared" si="53"/>
        <v>1</v>
      </c>
      <c r="K1118" s="33"/>
      <c r="L1118" s="33"/>
      <c r="M1118" s="10"/>
      <c r="N1118" s="10"/>
      <c r="O1118" s="10"/>
      <c r="P1118" s="10"/>
      <c r="Q1118" s="10"/>
      <c r="R1118" s="10"/>
      <c r="S1118" s="10"/>
      <c r="T1118" s="10"/>
      <c r="U1118" s="111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0"/>
      <c r="BC1118" s="10"/>
      <c r="BD1118" s="10"/>
      <c r="BE1118" s="10"/>
      <c r="BF1118" s="10"/>
      <c r="BG1118" s="10"/>
      <c r="BH1118" s="10"/>
      <c r="BI1118" s="10"/>
      <c r="BJ1118" s="10"/>
      <c r="BK1118" s="10"/>
      <c r="BL1118" s="10"/>
      <c r="BM1118" s="10"/>
      <c r="BN1118" s="10"/>
      <c r="BO1118" s="10"/>
      <c r="BP1118" s="10"/>
      <c r="BQ1118" s="10"/>
      <c r="BR1118" s="10"/>
      <c r="BS1118" s="10"/>
      <c r="BT1118" s="10"/>
      <c r="BU1118" s="10"/>
      <c r="BV1118" s="10"/>
    </row>
    <row r="1119" spans="1:74" s="50" customFormat="1" hidden="1">
      <c r="A1119" s="111">
        <v>1115</v>
      </c>
      <c r="B1119" s="10" t="s">
        <v>2237</v>
      </c>
      <c r="C1119" s="351" t="s">
        <v>2238</v>
      </c>
      <c r="D1119" s="10" t="s">
        <v>21</v>
      </c>
      <c r="E1119" s="121"/>
      <c r="F1119" s="10"/>
      <c r="G1119" s="168">
        <v>2</v>
      </c>
      <c r="H1119" s="3">
        <f t="shared" si="51"/>
        <v>0</v>
      </c>
      <c r="I1119" s="3">
        <f t="shared" si="52"/>
        <v>0</v>
      </c>
      <c r="J1119" s="33">
        <f t="shared" si="53"/>
        <v>2</v>
      </c>
      <c r="K1119" s="33"/>
      <c r="L1119" s="33"/>
      <c r="M1119" s="10"/>
      <c r="N1119" s="10"/>
      <c r="O1119" s="10"/>
      <c r="P1119" s="10"/>
      <c r="Q1119" s="10"/>
      <c r="R1119" s="10"/>
      <c r="S1119" s="10"/>
      <c r="T1119" s="10"/>
      <c r="U1119" s="111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0"/>
      <c r="BC1119" s="10"/>
      <c r="BD1119" s="10"/>
      <c r="BE1119" s="10"/>
      <c r="BF1119" s="10"/>
      <c r="BG1119" s="10"/>
      <c r="BH1119" s="10"/>
      <c r="BI1119" s="10"/>
      <c r="BJ1119" s="10"/>
      <c r="BK1119" s="10"/>
      <c r="BL1119" s="10"/>
      <c r="BM1119" s="10"/>
      <c r="BN1119" s="10"/>
      <c r="BO1119" s="10"/>
      <c r="BP1119" s="10"/>
      <c r="BQ1119" s="10"/>
      <c r="BR1119" s="10"/>
      <c r="BS1119" s="10"/>
      <c r="BT1119" s="10"/>
      <c r="BU1119" s="10"/>
      <c r="BV1119" s="10"/>
    </row>
    <row r="1120" spans="1:74" s="50" customFormat="1" hidden="1">
      <c r="A1120" s="111">
        <v>1116</v>
      </c>
      <c r="B1120" s="10" t="s">
        <v>2239</v>
      </c>
      <c r="C1120" s="351" t="s">
        <v>2240</v>
      </c>
      <c r="D1120" s="10" t="s">
        <v>21</v>
      </c>
      <c r="E1120" s="121"/>
      <c r="F1120" s="10"/>
      <c r="G1120" s="168">
        <v>2</v>
      </c>
      <c r="H1120" s="3">
        <f t="shared" si="51"/>
        <v>0</v>
      </c>
      <c r="I1120" s="3">
        <f t="shared" si="52"/>
        <v>0</v>
      </c>
      <c r="J1120" s="33">
        <f t="shared" si="53"/>
        <v>2</v>
      </c>
      <c r="K1120" s="33"/>
      <c r="L1120" s="33"/>
      <c r="M1120" s="10"/>
      <c r="N1120" s="10"/>
      <c r="O1120" s="10"/>
      <c r="P1120" s="10"/>
      <c r="Q1120" s="10"/>
      <c r="R1120" s="10"/>
      <c r="S1120" s="10"/>
      <c r="T1120" s="10"/>
      <c r="U1120" s="111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0"/>
      <c r="BC1120" s="10"/>
      <c r="BD1120" s="10"/>
      <c r="BE1120" s="10"/>
      <c r="BF1120" s="10"/>
      <c r="BG1120" s="10"/>
      <c r="BH1120" s="10"/>
      <c r="BI1120" s="10"/>
      <c r="BJ1120" s="10"/>
      <c r="BK1120" s="10"/>
      <c r="BL1120" s="10"/>
      <c r="BM1120" s="10"/>
      <c r="BN1120" s="10"/>
      <c r="BO1120" s="10"/>
      <c r="BP1120" s="10"/>
      <c r="BQ1120" s="10"/>
      <c r="BR1120" s="10"/>
      <c r="BS1120" s="10"/>
      <c r="BT1120" s="10"/>
      <c r="BU1120" s="10"/>
      <c r="BV1120" s="10"/>
    </row>
    <row r="1121" spans="1:74" s="50" customFormat="1" hidden="1">
      <c r="A1121" s="111">
        <v>1117</v>
      </c>
      <c r="B1121" s="10" t="s">
        <v>2241</v>
      </c>
      <c r="C1121" s="351" t="s">
        <v>2242</v>
      </c>
      <c r="D1121" s="12" t="s">
        <v>21</v>
      </c>
      <c r="E1121" s="160"/>
      <c r="F1121" s="12"/>
      <c r="G1121" s="168">
        <v>1</v>
      </c>
      <c r="H1121" s="10">
        <f t="shared" si="51"/>
        <v>0</v>
      </c>
      <c r="I1121" s="3">
        <f t="shared" si="52"/>
        <v>0</v>
      </c>
      <c r="J1121" s="33">
        <f t="shared" si="53"/>
        <v>1</v>
      </c>
      <c r="K1121" s="33"/>
      <c r="L1121" s="33"/>
      <c r="M1121" s="10"/>
      <c r="N1121" s="10"/>
      <c r="O1121" s="10"/>
      <c r="P1121" s="10"/>
      <c r="Q1121" s="10"/>
      <c r="R1121" s="10"/>
      <c r="S1121" s="10"/>
      <c r="T1121" s="10"/>
      <c r="U1121" s="111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0"/>
      <c r="BC1121" s="10"/>
      <c r="BD1121" s="10"/>
      <c r="BE1121" s="10"/>
      <c r="BF1121" s="10"/>
      <c r="BG1121" s="10"/>
      <c r="BH1121" s="10"/>
      <c r="BI1121" s="10"/>
      <c r="BJ1121" s="10"/>
      <c r="BK1121" s="10"/>
      <c r="BL1121" s="10"/>
      <c r="BM1121" s="10"/>
      <c r="BN1121" s="10"/>
      <c r="BO1121" s="10"/>
      <c r="BP1121" s="10"/>
      <c r="BQ1121" s="10"/>
      <c r="BR1121" s="10"/>
      <c r="BS1121" s="10"/>
      <c r="BT1121" s="10"/>
      <c r="BU1121" s="10"/>
      <c r="BV1121" s="10"/>
    </row>
    <row r="1122" spans="1:74" s="50" customFormat="1" hidden="1">
      <c r="A1122" s="109">
        <v>1118</v>
      </c>
      <c r="B1122" s="121" t="s">
        <v>2243</v>
      </c>
      <c r="C1122" s="135" t="s">
        <v>2244</v>
      </c>
      <c r="D1122" s="160" t="s">
        <v>14</v>
      </c>
      <c r="E1122" s="160"/>
      <c r="F1122" s="160"/>
      <c r="G1122" s="168">
        <v>0</v>
      </c>
      <c r="H1122" s="10">
        <f t="shared" si="51"/>
        <v>0</v>
      </c>
      <c r="I1122" s="3">
        <f t="shared" si="52"/>
        <v>0</v>
      </c>
      <c r="J1122" s="33">
        <f t="shared" si="53"/>
        <v>0</v>
      </c>
      <c r="K1122" s="33"/>
      <c r="L1122" s="33"/>
      <c r="M1122" s="10"/>
      <c r="N1122" s="10"/>
      <c r="O1122" s="10"/>
      <c r="P1122" s="10"/>
      <c r="Q1122" s="10"/>
      <c r="R1122" s="10"/>
      <c r="S1122" s="10"/>
      <c r="T1122" s="10"/>
      <c r="U1122" s="111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0"/>
      <c r="BC1122" s="10"/>
      <c r="BD1122" s="10"/>
      <c r="BE1122" s="10"/>
      <c r="BF1122" s="10"/>
      <c r="BG1122" s="10"/>
      <c r="BH1122" s="10"/>
      <c r="BI1122" s="10"/>
      <c r="BJ1122" s="10"/>
      <c r="BK1122" s="10"/>
      <c r="BL1122" s="10"/>
      <c r="BM1122" s="10"/>
      <c r="BN1122" s="10"/>
      <c r="BO1122" s="10"/>
      <c r="BP1122" s="10"/>
      <c r="BQ1122" s="10"/>
      <c r="BR1122" s="10"/>
      <c r="BS1122" s="10"/>
      <c r="BT1122" s="10"/>
      <c r="BU1122" s="10"/>
      <c r="BV1122" s="10"/>
    </row>
    <row r="1123" spans="1:74" s="50" customFormat="1" hidden="1">
      <c r="A1123" s="109">
        <v>1119</v>
      </c>
      <c r="B1123" s="121" t="s">
        <v>2245</v>
      </c>
      <c r="C1123" s="135" t="s">
        <v>2246</v>
      </c>
      <c r="D1123" s="160" t="s">
        <v>21</v>
      </c>
      <c r="E1123" s="160"/>
      <c r="F1123" s="160"/>
      <c r="G1123" s="168">
        <v>3</v>
      </c>
      <c r="H1123" s="10">
        <f t="shared" si="51"/>
        <v>0</v>
      </c>
      <c r="I1123" s="3">
        <f t="shared" si="52"/>
        <v>0</v>
      </c>
      <c r="J1123" s="33">
        <f t="shared" si="53"/>
        <v>3</v>
      </c>
      <c r="K1123" s="33"/>
      <c r="L1123" s="33"/>
      <c r="M1123" s="10"/>
      <c r="N1123" s="10"/>
      <c r="O1123" s="10"/>
      <c r="P1123" s="10"/>
      <c r="Q1123" s="10"/>
      <c r="R1123" s="10"/>
      <c r="S1123" s="10"/>
      <c r="T1123" s="10"/>
      <c r="U1123" s="111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0"/>
      <c r="BC1123" s="10"/>
      <c r="BD1123" s="10"/>
      <c r="BE1123" s="10"/>
      <c r="BF1123" s="10"/>
      <c r="BG1123" s="10"/>
      <c r="BH1123" s="10"/>
      <c r="BI1123" s="10"/>
      <c r="BJ1123" s="10"/>
      <c r="BK1123" s="10"/>
      <c r="BL1123" s="10"/>
      <c r="BM1123" s="10"/>
      <c r="BN1123" s="10"/>
      <c r="BO1123" s="10"/>
      <c r="BP1123" s="10"/>
      <c r="BQ1123" s="10"/>
      <c r="BR1123" s="10"/>
      <c r="BS1123" s="10"/>
      <c r="BT1123" s="10"/>
      <c r="BU1123" s="10"/>
      <c r="BV1123" s="10"/>
    </row>
    <row r="1124" spans="1:74" s="50" customFormat="1" hidden="1">
      <c r="A1124" s="109">
        <v>1120</v>
      </c>
      <c r="B1124" s="121" t="s">
        <v>2247</v>
      </c>
      <c r="C1124" s="135" t="s">
        <v>2248</v>
      </c>
      <c r="D1124" s="160" t="s">
        <v>21</v>
      </c>
      <c r="E1124" s="160"/>
      <c r="F1124" s="160"/>
      <c r="G1124" s="168">
        <v>2</v>
      </c>
      <c r="H1124" s="10">
        <f t="shared" si="51"/>
        <v>0</v>
      </c>
      <c r="I1124" s="3">
        <f t="shared" si="52"/>
        <v>0</v>
      </c>
      <c r="J1124" s="33">
        <f t="shared" si="53"/>
        <v>2</v>
      </c>
      <c r="K1124" s="33"/>
      <c r="L1124" s="33"/>
      <c r="M1124" s="10"/>
      <c r="N1124" s="10"/>
      <c r="O1124" s="10"/>
      <c r="P1124" s="10"/>
      <c r="Q1124" s="10"/>
      <c r="R1124" s="10"/>
      <c r="S1124" s="10"/>
      <c r="T1124" s="10"/>
      <c r="U1124" s="111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0"/>
      <c r="BC1124" s="10"/>
      <c r="BD1124" s="10"/>
      <c r="BE1124" s="10"/>
      <c r="BF1124" s="10"/>
      <c r="BG1124" s="10"/>
      <c r="BH1124" s="10"/>
      <c r="BI1124" s="10"/>
      <c r="BJ1124" s="10"/>
      <c r="BK1124" s="10"/>
      <c r="BL1124" s="10"/>
      <c r="BM1124" s="10"/>
      <c r="BN1124" s="10"/>
      <c r="BO1124" s="10"/>
      <c r="BP1124" s="10"/>
      <c r="BQ1124" s="10"/>
      <c r="BR1124" s="10"/>
      <c r="BS1124" s="10"/>
      <c r="BT1124" s="10"/>
      <c r="BU1124" s="10"/>
      <c r="BV1124" s="10"/>
    </row>
    <row r="1125" spans="1:74" s="50" customFormat="1" hidden="1">
      <c r="A1125" s="109">
        <v>1121</v>
      </c>
      <c r="B1125" s="121" t="s">
        <v>2249</v>
      </c>
      <c r="C1125" s="135" t="s">
        <v>2250</v>
      </c>
      <c r="D1125" s="121" t="s">
        <v>14</v>
      </c>
      <c r="E1125" s="121"/>
      <c r="F1125" s="121"/>
      <c r="G1125" s="168">
        <v>0</v>
      </c>
      <c r="H1125" s="10">
        <f t="shared" si="51"/>
        <v>0</v>
      </c>
      <c r="I1125" s="3">
        <f t="shared" si="52"/>
        <v>0</v>
      </c>
      <c r="J1125" s="33">
        <f t="shared" si="53"/>
        <v>0</v>
      </c>
      <c r="K1125" s="33"/>
      <c r="L1125" s="33"/>
      <c r="M1125" s="10"/>
      <c r="N1125" s="10"/>
      <c r="O1125" s="10"/>
      <c r="P1125" s="10"/>
      <c r="Q1125" s="10"/>
      <c r="R1125" s="10"/>
      <c r="S1125" s="10"/>
      <c r="T1125" s="10"/>
      <c r="U1125" s="111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0"/>
      <c r="BC1125" s="10"/>
      <c r="BD1125" s="10"/>
      <c r="BE1125" s="10"/>
      <c r="BF1125" s="10"/>
      <c r="BG1125" s="10"/>
      <c r="BH1125" s="10"/>
      <c r="BI1125" s="10"/>
      <c r="BJ1125" s="10"/>
      <c r="BK1125" s="10"/>
      <c r="BL1125" s="10"/>
      <c r="BM1125" s="10"/>
      <c r="BN1125" s="10"/>
      <c r="BO1125" s="10"/>
      <c r="BP1125" s="10"/>
      <c r="BQ1125" s="10"/>
      <c r="BR1125" s="10"/>
      <c r="BS1125" s="10"/>
      <c r="BT1125" s="10"/>
      <c r="BU1125" s="10"/>
      <c r="BV1125" s="10"/>
    </row>
    <row r="1126" spans="1:74" s="50" customFormat="1" hidden="1">
      <c r="A1126" s="109">
        <v>1122</v>
      </c>
      <c r="B1126" s="121" t="s">
        <v>2251</v>
      </c>
      <c r="C1126" s="135" t="s">
        <v>2252</v>
      </c>
      <c r="D1126" s="160" t="s">
        <v>21</v>
      </c>
      <c r="E1126" s="160"/>
      <c r="F1126" s="160"/>
      <c r="G1126" s="168">
        <v>1</v>
      </c>
      <c r="H1126" s="10">
        <f t="shared" si="51"/>
        <v>0</v>
      </c>
      <c r="I1126" s="3">
        <f t="shared" si="52"/>
        <v>0</v>
      </c>
      <c r="J1126" s="33">
        <f t="shared" si="53"/>
        <v>1</v>
      </c>
      <c r="K1126" s="33"/>
      <c r="L1126" s="33"/>
      <c r="M1126" s="10"/>
      <c r="N1126" s="10"/>
      <c r="O1126" s="10"/>
      <c r="P1126" s="10"/>
      <c r="Q1126" s="10"/>
      <c r="R1126" s="10"/>
      <c r="S1126" s="10"/>
      <c r="T1126" s="10"/>
      <c r="U1126" s="111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0"/>
      <c r="BC1126" s="10"/>
      <c r="BD1126" s="10"/>
      <c r="BE1126" s="10"/>
      <c r="BF1126" s="10"/>
      <c r="BG1126" s="10"/>
      <c r="BH1126" s="10"/>
      <c r="BI1126" s="10"/>
      <c r="BJ1126" s="10"/>
      <c r="BK1126" s="10"/>
      <c r="BL1126" s="10"/>
      <c r="BM1126" s="10"/>
      <c r="BN1126" s="10"/>
      <c r="BO1126" s="10"/>
      <c r="BP1126" s="10"/>
      <c r="BQ1126" s="10"/>
      <c r="BR1126" s="10"/>
      <c r="BS1126" s="10"/>
      <c r="BT1126" s="10"/>
      <c r="BU1126" s="10"/>
      <c r="BV1126" s="10"/>
    </row>
    <row r="1127" spans="1:74" s="50" customFormat="1" hidden="1">
      <c r="A1127" s="109">
        <v>1123</v>
      </c>
      <c r="B1127" s="121" t="s">
        <v>2253</v>
      </c>
      <c r="C1127" s="135" t="s">
        <v>2254</v>
      </c>
      <c r="D1127" s="160" t="s">
        <v>21</v>
      </c>
      <c r="E1127" s="160"/>
      <c r="F1127" s="160"/>
      <c r="G1127" s="168">
        <v>1</v>
      </c>
      <c r="H1127" s="10">
        <f t="shared" si="51"/>
        <v>0</v>
      </c>
      <c r="I1127" s="3">
        <f t="shared" si="52"/>
        <v>0</v>
      </c>
      <c r="J1127" s="33">
        <f t="shared" si="53"/>
        <v>1</v>
      </c>
      <c r="K1127" s="33"/>
      <c r="L1127" s="33"/>
      <c r="M1127" s="10"/>
      <c r="N1127" s="10"/>
      <c r="O1127" s="10"/>
      <c r="P1127" s="10"/>
      <c r="Q1127" s="10"/>
      <c r="R1127" s="10"/>
      <c r="S1127" s="10"/>
      <c r="T1127" s="10"/>
      <c r="U1127" s="111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0"/>
      <c r="BC1127" s="10"/>
      <c r="BD1127" s="10"/>
      <c r="BE1127" s="10"/>
      <c r="BF1127" s="10"/>
      <c r="BG1127" s="10"/>
      <c r="BH1127" s="10"/>
      <c r="BI1127" s="10"/>
      <c r="BJ1127" s="10"/>
      <c r="BK1127" s="10"/>
      <c r="BL1127" s="10"/>
      <c r="BM1127" s="10"/>
      <c r="BN1127" s="10"/>
      <c r="BO1127" s="10"/>
      <c r="BP1127" s="10"/>
      <c r="BQ1127" s="10"/>
      <c r="BR1127" s="10"/>
      <c r="BS1127" s="10"/>
      <c r="BT1127" s="10"/>
      <c r="BU1127" s="10"/>
      <c r="BV1127" s="10"/>
    </row>
    <row r="1128" spans="1:74" s="50" customFormat="1" hidden="1">
      <c r="A1128" s="109">
        <v>1124</v>
      </c>
      <c r="B1128" s="121" t="s">
        <v>2255</v>
      </c>
      <c r="C1128" s="135" t="s">
        <v>2256</v>
      </c>
      <c r="D1128" s="160" t="s">
        <v>21</v>
      </c>
      <c r="E1128" s="160"/>
      <c r="F1128" s="160"/>
      <c r="G1128" s="168">
        <v>0</v>
      </c>
      <c r="H1128" s="10">
        <f t="shared" si="51"/>
        <v>0</v>
      </c>
      <c r="I1128" s="3">
        <f t="shared" si="52"/>
        <v>0</v>
      </c>
      <c r="J1128" s="33">
        <f t="shared" si="53"/>
        <v>0</v>
      </c>
      <c r="K1128" s="33"/>
      <c r="L1128" s="33"/>
      <c r="M1128" s="10"/>
      <c r="N1128" s="10"/>
      <c r="O1128" s="10"/>
      <c r="P1128" s="10"/>
      <c r="Q1128" s="10"/>
      <c r="R1128" s="10"/>
      <c r="S1128" s="10"/>
      <c r="T1128" s="10"/>
      <c r="U1128" s="111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0"/>
      <c r="BC1128" s="10"/>
      <c r="BD1128" s="10"/>
      <c r="BE1128" s="10"/>
      <c r="BF1128" s="10"/>
      <c r="BG1128" s="10"/>
      <c r="BH1128" s="10"/>
      <c r="BI1128" s="10"/>
      <c r="BJ1128" s="10"/>
      <c r="BK1128" s="10"/>
      <c r="BL1128" s="10"/>
      <c r="BM1128" s="10"/>
      <c r="BN1128" s="10"/>
      <c r="BO1128" s="10"/>
      <c r="BP1128" s="10"/>
      <c r="BQ1128" s="10"/>
      <c r="BR1128" s="10"/>
      <c r="BS1128" s="10"/>
      <c r="BT1128" s="10"/>
      <c r="BU1128" s="10"/>
      <c r="BV1128" s="10"/>
    </row>
    <row r="1129" spans="1:74" s="50" customFormat="1" hidden="1">
      <c r="A1129" s="109">
        <v>1125</v>
      </c>
      <c r="B1129" s="121" t="s">
        <v>2257</v>
      </c>
      <c r="C1129" s="135" t="s">
        <v>2258</v>
      </c>
      <c r="D1129" s="160" t="s">
        <v>21</v>
      </c>
      <c r="E1129" s="160"/>
      <c r="F1129" s="160"/>
      <c r="G1129" s="168">
        <v>1</v>
      </c>
      <c r="H1129" s="10">
        <f t="shared" si="51"/>
        <v>0</v>
      </c>
      <c r="I1129" s="3">
        <f t="shared" si="52"/>
        <v>0</v>
      </c>
      <c r="J1129" s="33">
        <f t="shared" si="53"/>
        <v>1</v>
      </c>
      <c r="K1129" s="33"/>
      <c r="L1129" s="33"/>
      <c r="M1129" s="10"/>
      <c r="N1129" s="10"/>
      <c r="O1129" s="10"/>
      <c r="P1129" s="10"/>
      <c r="Q1129" s="10"/>
      <c r="R1129" s="10"/>
      <c r="S1129" s="10"/>
      <c r="T1129" s="10"/>
      <c r="U1129" s="111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0"/>
      <c r="BC1129" s="10"/>
      <c r="BD1129" s="10"/>
      <c r="BE1129" s="10"/>
      <c r="BF1129" s="10"/>
      <c r="BG1129" s="10"/>
      <c r="BH1129" s="10"/>
      <c r="BI1129" s="10"/>
      <c r="BJ1129" s="10"/>
      <c r="BK1129" s="10"/>
      <c r="BL1129" s="10"/>
      <c r="BM1129" s="10"/>
      <c r="BN1129" s="10"/>
      <c r="BO1129" s="10"/>
      <c r="BP1129" s="10"/>
      <c r="BQ1129" s="10"/>
      <c r="BR1129" s="10"/>
      <c r="BS1129" s="10"/>
      <c r="BT1129" s="10"/>
      <c r="BU1129" s="10"/>
      <c r="BV1129" s="10"/>
    </row>
    <row r="1130" spans="1:74" s="50" customFormat="1" hidden="1">
      <c r="A1130" s="109">
        <v>1126</v>
      </c>
      <c r="B1130" s="121" t="s">
        <v>2259</v>
      </c>
      <c r="C1130" s="135" t="s">
        <v>2260</v>
      </c>
      <c r="D1130" s="160" t="s">
        <v>21</v>
      </c>
      <c r="E1130" s="160"/>
      <c r="F1130" s="160"/>
      <c r="G1130" s="168">
        <v>0</v>
      </c>
      <c r="H1130" s="10">
        <f t="shared" si="51"/>
        <v>0</v>
      </c>
      <c r="I1130" s="3">
        <f t="shared" si="52"/>
        <v>0</v>
      </c>
      <c r="J1130" s="33">
        <f t="shared" si="53"/>
        <v>0</v>
      </c>
      <c r="K1130" s="33"/>
      <c r="L1130" s="33"/>
      <c r="M1130" s="10"/>
      <c r="N1130" s="10"/>
      <c r="O1130" s="10"/>
      <c r="P1130" s="10"/>
      <c r="Q1130" s="10"/>
      <c r="R1130" s="10"/>
      <c r="S1130" s="10"/>
      <c r="T1130" s="10"/>
      <c r="U1130" s="111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10"/>
      <c r="BE1130" s="10"/>
      <c r="BF1130" s="10"/>
      <c r="BG1130" s="10"/>
      <c r="BH1130" s="10"/>
      <c r="BI1130" s="10"/>
      <c r="BJ1130" s="10"/>
      <c r="BK1130" s="10"/>
      <c r="BL1130" s="10"/>
      <c r="BM1130" s="10"/>
      <c r="BN1130" s="10"/>
      <c r="BO1130" s="10"/>
      <c r="BP1130" s="10"/>
      <c r="BQ1130" s="10"/>
      <c r="BR1130" s="10"/>
      <c r="BS1130" s="10"/>
      <c r="BT1130" s="10"/>
      <c r="BU1130" s="10"/>
      <c r="BV1130" s="10"/>
    </row>
    <row r="1131" spans="1:74" s="50" customFormat="1" ht="15.75" hidden="1" customHeight="1">
      <c r="A1131" s="109">
        <v>1127</v>
      </c>
      <c r="B1131" s="121" t="s">
        <v>2261</v>
      </c>
      <c r="C1131" s="190" t="s">
        <v>2262</v>
      </c>
      <c r="D1131" s="160" t="s">
        <v>14</v>
      </c>
      <c r="E1131" s="160"/>
      <c r="F1131" s="160"/>
      <c r="G1131" s="168">
        <v>1</v>
      </c>
      <c r="H1131" s="10">
        <f t="shared" si="51"/>
        <v>0</v>
      </c>
      <c r="I1131" s="3">
        <f t="shared" si="52"/>
        <v>0</v>
      </c>
      <c r="J1131" s="33">
        <f t="shared" si="53"/>
        <v>1</v>
      </c>
      <c r="K1131" s="33"/>
      <c r="L1131" s="33"/>
      <c r="M1131" s="10"/>
      <c r="N1131" s="10"/>
      <c r="O1131" s="10"/>
      <c r="P1131" s="10"/>
      <c r="Q1131" s="10"/>
      <c r="R1131" s="10"/>
      <c r="S1131" s="10"/>
      <c r="T1131" s="10"/>
      <c r="U1131" s="111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10"/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</row>
    <row r="1132" spans="1:74" s="50" customFormat="1" ht="15.75" hidden="1" customHeight="1">
      <c r="A1132" s="109">
        <v>1128</v>
      </c>
      <c r="B1132" s="121" t="s">
        <v>2263</v>
      </c>
      <c r="C1132" s="135" t="s">
        <v>2264</v>
      </c>
      <c r="D1132" s="160" t="s">
        <v>14</v>
      </c>
      <c r="E1132" s="160"/>
      <c r="F1132" s="160"/>
      <c r="G1132" s="168">
        <v>0</v>
      </c>
      <c r="H1132" s="10">
        <f t="shared" si="51"/>
        <v>0</v>
      </c>
      <c r="I1132" s="3">
        <f t="shared" si="52"/>
        <v>0</v>
      </c>
      <c r="J1132" s="33">
        <f t="shared" si="53"/>
        <v>0</v>
      </c>
      <c r="K1132" s="33"/>
      <c r="L1132" s="33"/>
      <c r="M1132" s="10"/>
      <c r="N1132" s="10"/>
      <c r="O1132" s="10"/>
      <c r="P1132" s="10"/>
      <c r="Q1132" s="10"/>
      <c r="R1132" s="10"/>
      <c r="S1132" s="10"/>
      <c r="T1132" s="10"/>
      <c r="U1132" s="111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0"/>
      <c r="BC1132" s="10"/>
      <c r="BD1132" s="10"/>
      <c r="BE1132" s="10"/>
      <c r="BF1132" s="10"/>
      <c r="BG1132" s="10"/>
      <c r="BH1132" s="10"/>
      <c r="BI1132" s="10"/>
      <c r="BJ1132" s="10"/>
      <c r="BK1132" s="10"/>
      <c r="BL1132" s="10"/>
      <c r="BM1132" s="10"/>
      <c r="BN1132" s="10"/>
      <c r="BO1132" s="10"/>
      <c r="BP1132" s="10"/>
      <c r="BQ1132" s="10"/>
      <c r="BR1132" s="10"/>
      <c r="BS1132" s="10"/>
      <c r="BT1132" s="10"/>
      <c r="BU1132" s="10"/>
      <c r="BV1132" s="10"/>
    </row>
    <row r="1133" spans="1:74" s="50" customFormat="1" hidden="1">
      <c r="A1133" s="109">
        <v>1129</v>
      </c>
      <c r="B1133" s="121" t="s">
        <v>2265</v>
      </c>
      <c r="C1133" s="135" t="s">
        <v>2266</v>
      </c>
      <c r="D1133" s="160" t="s">
        <v>14</v>
      </c>
      <c r="E1133" s="160"/>
      <c r="F1133" s="160"/>
      <c r="G1133" s="168">
        <v>1</v>
      </c>
      <c r="H1133" s="10">
        <f t="shared" si="51"/>
        <v>0</v>
      </c>
      <c r="I1133" s="3">
        <f t="shared" si="52"/>
        <v>0</v>
      </c>
      <c r="J1133" s="33">
        <f t="shared" si="53"/>
        <v>1</v>
      </c>
      <c r="K1133" s="33"/>
      <c r="L1133" s="33"/>
      <c r="M1133" s="10"/>
      <c r="N1133" s="10"/>
      <c r="O1133" s="10"/>
      <c r="P1133" s="10"/>
      <c r="Q1133" s="10"/>
      <c r="R1133" s="10"/>
      <c r="S1133" s="10"/>
      <c r="T1133" s="10"/>
      <c r="U1133" s="111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0"/>
      <c r="BC1133" s="10"/>
      <c r="BD1133" s="10"/>
      <c r="BE1133" s="10"/>
      <c r="BF1133" s="10"/>
      <c r="BG1133" s="10"/>
      <c r="BH1133" s="10"/>
      <c r="BI1133" s="10"/>
      <c r="BJ1133" s="10"/>
      <c r="BK1133" s="10"/>
      <c r="BL1133" s="10"/>
      <c r="BM1133" s="10"/>
      <c r="BN1133" s="10"/>
      <c r="BO1133" s="10"/>
      <c r="BP1133" s="10"/>
      <c r="BQ1133" s="10"/>
      <c r="BR1133" s="10"/>
      <c r="BS1133" s="10"/>
      <c r="BT1133" s="10"/>
      <c r="BU1133" s="10"/>
      <c r="BV1133" s="10"/>
    </row>
    <row r="1134" spans="1:74" s="50" customFormat="1" hidden="1">
      <c r="A1134" s="109">
        <v>1130</v>
      </c>
      <c r="B1134" s="121" t="s">
        <v>2267</v>
      </c>
      <c r="C1134" s="135" t="s">
        <v>2268</v>
      </c>
      <c r="D1134" s="160" t="s">
        <v>21</v>
      </c>
      <c r="E1134" s="160"/>
      <c r="F1134" s="160"/>
      <c r="G1134" s="168">
        <v>1</v>
      </c>
      <c r="H1134" s="10">
        <f t="shared" si="51"/>
        <v>0</v>
      </c>
      <c r="I1134" s="3">
        <f t="shared" si="52"/>
        <v>0</v>
      </c>
      <c r="J1134" s="33">
        <f t="shared" si="53"/>
        <v>1</v>
      </c>
      <c r="K1134" s="33"/>
      <c r="L1134" s="33"/>
      <c r="M1134" s="10"/>
      <c r="N1134" s="10"/>
      <c r="O1134" s="10"/>
      <c r="P1134" s="10"/>
      <c r="Q1134" s="10"/>
      <c r="R1134" s="10"/>
      <c r="S1134" s="10"/>
      <c r="T1134" s="10"/>
      <c r="U1134" s="111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0"/>
      <c r="BC1134" s="10"/>
      <c r="BD1134" s="10"/>
      <c r="BE1134" s="10"/>
      <c r="BF1134" s="10"/>
      <c r="BG1134" s="10"/>
      <c r="BH1134" s="10"/>
      <c r="BI1134" s="10"/>
      <c r="BJ1134" s="10"/>
      <c r="BK1134" s="10"/>
      <c r="BL1134" s="10"/>
      <c r="BM1134" s="10"/>
      <c r="BN1134" s="10"/>
      <c r="BO1134" s="10"/>
      <c r="BP1134" s="10"/>
      <c r="BQ1134" s="10"/>
      <c r="BR1134" s="10"/>
      <c r="BS1134" s="10"/>
      <c r="BT1134" s="10"/>
      <c r="BU1134" s="10"/>
      <c r="BV1134" s="10"/>
    </row>
    <row r="1135" spans="1:74" s="50" customFormat="1" hidden="1">
      <c r="A1135" s="109">
        <v>1131</v>
      </c>
      <c r="B1135" s="121" t="s">
        <v>2269</v>
      </c>
      <c r="C1135" s="135" t="s">
        <v>2270</v>
      </c>
      <c r="D1135" s="160" t="s">
        <v>21</v>
      </c>
      <c r="E1135" s="160"/>
      <c r="F1135" s="160"/>
      <c r="G1135" s="168">
        <v>1</v>
      </c>
      <c r="H1135" s="10">
        <f t="shared" si="51"/>
        <v>0</v>
      </c>
      <c r="I1135" s="3">
        <f t="shared" si="52"/>
        <v>0</v>
      </c>
      <c r="J1135" s="33">
        <f t="shared" si="53"/>
        <v>1</v>
      </c>
      <c r="K1135" s="33"/>
      <c r="L1135" s="33"/>
      <c r="M1135" s="10"/>
      <c r="N1135" s="10"/>
      <c r="O1135" s="10"/>
      <c r="P1135" s="10"/>
      <c r="Q1135" s="10"/>
      <c r="R1135" s="10"/>
      <c r="S1135" s="10"/>
      <c r="T1135" s="10"/>
      <c r="U1135" s="111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0"/>
      <c r="BC1135" s="10"/>
      <c r="BD1135" s="10"/>
      <c r="BE1135" s="10"/>
      <c r="BF1135" s="10"/>
      <c r="BG1135" s="10"/>
      <c r="BH1135" s="10"/>
      <c r="BI1135" s="10"/>
      <c r="BJ1135" s="10"/>
      <c r="BK1135" s="10"/>
      <c r="BL1135" s="10"/>
      <c r="BM1135" s="10"/>
      <c r="BN1135" s="10"/>
      <c r="BO1135" s="10"/>
      <c r="BP1135" s="10"/>
      <c r="BQ1135" s="10"/>
      <c r="BR1135" s="10"/>
      <c r="BS1135" s="10"/>
      <c r="BT1135" s="10"/>
      <c r="BU1135" s="10"/>
      <c r="BV1135" s="10"/>
    </row>
    <row r="1136" spans="1:74" s="50" customFormat="1" hidden="1">
      <c r="A1136" s="109">
        <v>1132</v>
      </c>
      <c r="B1136" s="121" t="s">
        <v>2271</v>
      </c>
      <c r="C1136" s="135" t="s">
        <v>2272</v>
      </c>
      <c r="D1136" s="160" t="s">
        <v>21</v>
      </c>
      <c r="E1136" s="160"/>
      <c r="F1136" s="160"/>
      <c r="G1136" s="168">
        <v>0</v>
      </c>
      <c r="H1136" s="10">
        <f t="shared" si="51"/>
        <v>0</v>
      </c>
      <c r="I1136" s="3">
        <f t="shared" si="52"/>
        <v>0</v>
      </c>
      <c r="J1136" s="33">
        <f t="shared" si="53"/>
        <v>0</v>
      </c>
      <c r="K1136" s="33"/>
      <c r="L1136" s="33"/>
      <c r="M1136" s="10"/>
      <c r="N1136" s="10"/>
      <c r="O1136" s="10"/>
      <c r="P1136" s="10"/>
      <c r="Q1136" s="10"/>
      <c r="R1136" s="10"/>
      <c r="S1136" s="10"/>
      <c r="T1136" s="10"/>
      <c r="U1136" s="111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0"/>
      <c r="BC1136" s="10"/>
      <c r="BD1136" s="10"/>
      <c r="BE1136" s="10"/>
      <c r="BF1136" s="10"/>
      <c r="BG1136" s="10"/>
      <c r="BH1136" s="10"/>
      <c r="BI1136" s="10"/>
      <c r="BJ1136" s="10"/>
      <c r="BK1136" s="10"/>
      <c r="BL1136" s="10"/>
      <c r="BM1136" s="10"/>
      <c r="BN1136" s="10"/>
      <c r="BO1136" s="10"/>
      <c r="BP1136" s="10"/>
      <c r="BQ1136" s="10"/>
      <c r="BR1136" s="10"/>
      <c r="BS1136" s="10"/>
      <c r="BT1136" s="10"/>
      <c r="BU1136" s="10"/>
      <c r="BV1136" s="10"/>
    </row>
    <row r="1137" spans="1:74" s="50" customFormat="1" hidden="1">
      <c r="A1137" s="109">
        <v>1133</v>
      </c>
      <c r="B1137" s="121" t="s">
        <v>2273</v>
      </c>
      <c r="C1137" s="135" t="s">
        <v>2274</v>
      </c>
      <c r="D1137" s="160" t="s">
        <v>21</v>
      </c>
      <c r="E1137" s="160"/>
      <c r="F1137" s="160"/>
      <c r="G1137" s="168">
        <v>1</v>
      </c>
      <c r="H1137" s="10">
        <f t="shared" si="51"/>
        <v>0</v>
      </c>
      <c r="I1137" s="3">
        <f t="shared" si="52"/>
        <v>0</v>
      </c>
      <c r="J1137" s="33">
        <f t="shared" si="53"/>
        <v>1</v>
      </c>
      <c r="K1137" s="33"/>
      <c r="L1137" s="33"/>
      <c r="M1137" s="10"/>
      <c r="N1137" s="10"/>
      <c r="O1137" s="10"/>
      <c r="P1137" s="10"/>
      <c r="Q1137" s="10"/>
      <c r="R1137" s="10"/>
      <c r="S1137" s="10"/>
      <c r="T1137" s="10"/>
      <c r="U1137" s="111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0"/>
      <c r="BC1137" s="10"/>
      <c r="BD1137" s="10"/>
      <c r="BE1137" s="10"/>
      <c r="BF1137" s="10"/>
      <c r="BG1137" s="10"/>
      <c r="BH1137" s="10"/>
      <c r="BI1137" s="10"/>
      <c r="BJ1137" s="10"/>
      <c r="BK1137" s="10"/>
      <c r="BL1137" s="10"/>
      <c r="BM1137" s="10"/>
      <c r="BN1137" s="10"/>
      <c r="BO1137" s="10"/>
      <c r="BP1137" s="10"/>
      <c r="BQ1137" s="10"/>
      <c r="BR1137" s="10"/>
      <c r="BS1137" s="10"/>
      <c r="BT1137" s="10"/>
      <c r="BU1137" s="10"/>
      <c r="BV1137" s="10"/>
    </row>
    <row r="1138" spans="1:74" s="50" customFormat="1" hidden="1">
      <c r="A1138" s="109">
        <v>1134</v>
      </c>
      <c r="B1138" s="121" t="s">
        <v>2275</v>
      </c>
      <c r="C1138" s="135" t="s">
        <v>2276</v>
      </c>
      <c r="D1138" s="160" t="s">
        <v>21</v>
      </c>
      <c r="E1138" s="160"/>
      <c r="F1138" s="160"/>
      <c r="G1138" s="168">
        <v>0</v>
      </c>
      <c r="H1138" s="10">
        <f t="shared" si="51"/>
        <v>0</v>
      </c>
      <c r="I1138" s="3">
        <f t="shared" si="52"/>
        <v>0</v>
      </c>
      <c r="J1138" s="33">
        <f t="shared" si="53"/>
        <v>0</v>
      </c>
      <c r="K1138" s="33"/>
      <c r="L1138" s="33"/>
      <c r="M1138" s="10"/>
      <c r="N1138" s="10"/>
      <c r="O1138" s="10"/>
      <c r="P1138" s="10"/>
      <c r="Q1138" s="10"/>
      <c r="R1138" s="10"/>
      <c r="S1138" s="10"/>
      <c r="T1138" s="10"/>
      <c r="U1138" s="111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10"/>
      <c r="BE1138" s="10"/>
      <c r="BF1138" s="10"/>
      <c r="BG1138" s="10"/>
      <c r="BH1138" s="10"/>
      <c r="BI1138" s="10"/>
      <c r="BJ1138" s="10"/>
      <c r="BK1138" s="10"/>
      <c r="BL1138" s="10"/>
      <c r="BM1138" s="10"/>
      <c r="BN1138" s="10"/>
      <c r="BO1138" s="10"/>
      <c r="BP1138" s="10"/>
      <c r="BQ1138" s="10"/>
      <c r="BR1138" s="10"/>
      <c r="BS1138" s="10"/>
      <c r="BT1138" s="10"/>
      <c r="BU1138" s="10"/>
      <c r="BV1138" s="10"/>
    </row>
    <row r="1139" spans="1:74" s="50" customFormat="1" hidden="1">
      <c r="A1139" s="109">
        <v>1135</v>
      </c>
      <c r="B1139" s="121" t="s">
        <v>2277</v>
      </c>
      <c r="C1139" s="135" t="s">
        <v>2278</v>
      </c>
      <c r="D1139" s="160" t="s">
        <v>21</v>
      </c>
      <c r="E1139" s="160"/>
      <c r="F1139" s="160"/>
      <c r="G1139" s="168">
        <v>1</v>
      </c>
      <c r="H1139" s="10">
        <f t="shared" si="51"/>
        <v>0</v>
      </c>
      <c r="I1139" s="3">
        <f t="shared" si="52"/>
        <v>0</v>
      </c>
      <c r="J1139" s="33">
        <f t="shared" si="53"/>
        <v>1</v>
      </c>
      <c r="K1139" s="33"/>
      <c r="L1139" s="33"/>
      <c r="M1139" s="10"/>
      <c r="N1139" s="10"/>
      <c r="O1139" s="10"/>
      <c r="P1139" s="10"/>
      <c r="Q1139" s="10"/>
      <c r="R1139" s="10"/>
      <c r="S1139" s="10"/>
      <c r="T1139" s="10"/>
      <c r="U1139" s="111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0"/>
      <c r="BC1139" s="10"/>
      <c r="BD1139" s="10"/>
      <c r="BE1139" s="10"/>
      <c r="BF1139" s="10"/>
      <c r="BG1139" s="10"/>
      <c r="BH1139" s="10"/>
      <c r="BI1139" s="10"/>
      <c r="BJ1139" s="10"/>
      <c r="BK1139" s="10"/>
      <c r="BL1139" s="10"/>
      <c r="BM1139" s="10"/>
      <c r="BN1139" s="10"/>
      <c r="BO1139" s="10"/>
      <c r="BP1139" s="10"/>
      <c r="BQ1139" s="10"/>
      <c r="BR1139" s="10"/>
      <c r="BS1139" s="10"/>
      <c r="BT1139" s="10"/>
      <c r="BU1139" s="10"/>
      <c r="BV1139" s="10"/>
    </row>
    <row r="1140" spans="1:74" s="50" customFormat="1" hidden="1">
      <c r="A1140" s="109">
        <v>1136</v>
      </c>
      <c r="B1140" s="121" t="s">
        <v>2279</v>
      </c>
      <c r="C1140" s="135" t="s">
        <v>2280</v>
      </c>
      <c r="D1140" s="160" t="s">
        <v>21</v>
      </c>
      <c r="E1140" s="160"/>
      <c r="F1140" s="160"/>
      <c r="G1140" s="168">
        <v>1</v>
      </c>
      <c r="H1140" s="10">
        <f t="shared" si="51"/>
        <v>0</v>
      </c>
      <c r="I1140" s="3">
        <f t="shared" si="52"/>
        <v>0</v>
      </c>
      <c r="J1140" s="33">
        <f t="shared" si="53"/>
        <v>1</v>
      </c>
      <c r="K1140" s="33"/>
      <c r="L1140" s="33"/>
      <c r="M1140" s="10"/>
      <c r="N1140" s="10"/>
      <c r="O1140" s="10"/>
      <c r="P1140" s="10"/>
      <c r="Q1140" s="10"/>
      <c r="R1140" s="10"/>
      <c r="S1140" s="10"/>
      <c r="T1140" s="10"/>
      <c r="U1140" s="111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  <c r="BF1140" s="10"/>
      <c r="BG1140" s="10"/>
      <c r="BH1140" s="10"/>
      <c r="BI1140" s="10"/>
      <c r="BJ1140" s="10"/>
      <c r="BK1140" s="10"/>
      <c r="BL1140" s="10"/>
      <c r="BM1140" s="10"/>
      <c r="BN1140" s="10"/>
      <c r="BO1140" s="10"/>
      <c r="BP1140" s="10"/>
      <c r="BQ1140" s="10"/>
      <c r="BR1140" s="10"/>
      <c r="BS1140" s="10"/>
      <c r="BT1140" s="10"/>
      <c r="BU1140" s="10"/>
      <c r="BV1140" s="10"/>
    </row>
    <row r="1141" spans="1:74" s="50" customFormat="1" hidden="1">
      <c r="A1141" s="109">
        <v>1137</v>
      </c>
      <c r="B1141" s="121" t="s">
        <v>2281</v>
      </c>
      <c r="C1141" s="135" t="s">
        <v>2282</v>
      </c>
      <c r="D1141" s="160" t="s">
        <v>21</v>
      </c>
      <c r="E1141" s="160"/>
      <c r="F1141" s="160"/>
      <c r="G1141" s="168">
        <v>0</v>
      </c>
      <c r="H1141" s="10">
        <f t="shared" si="51"/>
        <v>0</v>
      </c>
      <c r="I1141" s="3">
        <f t="shared" si="52"/>
        <v>0</v>
      </c>
      <c r="J1141" s="33">
        <f t="shared" si="53"/>
        <v>0</v>
      </c>
      <c r="K1141" s="33"/>
      <c r="L1141" s="33"/>
      <c r="M1141" s="10"/>
      <c r="N1141" s="10"/>
      <c r="O1141" s="10"/>
      <c r="P1141" s="10"/>
      <c r="Q1141" s="10"/>
      <c r="R1141" s="10"/>
      <c r="S1141" s="10"/>
      <c r="T1141" s="10"/>
      <c r="U1141" s="111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0"/>
      <c r="BC1141" s="10"/>
      <c r="BD1141" s="10"/>
      <c r="BE1141" s="10"/>
      <c r="BF1141" s="10"/>
      <c r="BG1141" s="10"/>
      <c r="BH1141" s="10"/>
      <c r="BI1141" s="10"/>
      <c r="BJ1141" s="10"/>
      <c r="BK1141" s="10"/>
      <c r="BL1141" s="10"/>
      <c r="BM1141" s="10"/>
      <c r="BN1141" s="10"/>
      <c r="BO1141" s="10"/>
      <c r="BP1141" s="10"/>
      <c r="BQ1141" s="10"/>
      <c r="BR1141" s="10"/>
      <c r="BS1141" s="10"/>
      <c r="BT1141" s="10"/>
      <c r="BU1141" s="10"/>
      <c r="BV1141" s="10"/>
    </row>
    <row r="1142" spans="1:74" s="50" customFormat="1" hidden="1">
      <c r="A1142" s="109">
        <v>1138</v>
      </c>
      <c r="B1142" s="121" t="s">
        <v>2283</v>
      </c>
      <c r="C1142" s="135" t="s">
        <v>2284</v>
      </c>
      <c r="D1142" s="160" t="s">
        <v>21</v>
      </c>
      <c r="E1142" s="160"/>
      <c r="F1142" s="160"/>
      <c r="G1142" s="168">
        <v>0</v>
      </c>
      <c r="H1142" s="10">
        <f t="shared" si="51"/>
        <v>0</v>
      </c>
      <c r="I1142" s="3">
        <f t="shared" si="52"/>
        <v>0</v>
      </c>
      <c r="J1142" s="33">
        <f t="shared" si="53"/>
        <v>0</v>
      </c>
      <c r="K1142" s="33"/>
      <c r="L1142" s="33"/>
      <c r="M1142" s="10"/>
      <c r="N1142" s="10"/>
      <c r="O1142" s="10"/>
      <c r="P1142" s="10"/>
      <c r="Q1142" s="10"/>
      <c r="R1142" s="10"/>
      <c r="S1142" s="10"/>
      <c r="T1142" s="10"/>
      <c r="U1142" s="111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0"/>
      <c r="BC1142" s="10"/>
      <c r="BD1142" s="10"/>
      <c r="BE1142" s="10"/>
      <c r="BF1142" s="10"/>
      <c r="BG1142" s="10"/>
      <c r="BH1142" s="10"/>
      <c r="BI1142" s="10"/>
      <c r="BJ1142" s="10"/>
      <c r="BK1142" s="10"/>
      <c r="BL1142" s="10"/>
      <c r="BM1142" s="10"/>
      <c r="BN1142" s="10"/>
      <c r="BO1142" s="10"/>
      <c r="BP1142" s="10"/>
      <c r="BQ1142" s="10"/>
      <c r="BR1142" s="10"/>
      <c r="BS1142" s="10"/>
      <c r="BT1142" s="10"/>
      <c r="BU1142" s="10"/>
      <c r="BV1142" s="10"/>
    </row>
    <row r="1143" spans="1:74" s="50" customFormat="1" hidden="1">
      <c r="A1143" s="109">
        <v>1139</v>
      </c>
      <c r="B1143" s="191" t="s">
        <v>2285</v>
      </c>
      <c r="C1143" s="170" t="s">
        <v>2286</v>
      </c>
      <c r="D1143" s="171" t="s">
        <v>21</v>
      </c>
      <c r="E1143" s="171"/>
      <c r="F1143" s="171"/>
      <c r="G1143" s="172">
        <v>3</v>
      </c>
      <c r="H1143" s="174">
        <f t="shared" ref="H1143:H1206" si="54">SUM(M1143+O1143+Q1143+S1143+U1143+W1143+Y1143+AA1143+AC1143+AE1143+AG1143+AI1143+AK1143+AM1143+AO1143+AQ1143+AS1143+AU1143+AW1143+AY1143+BA1143+BC1143+BE1143+BG1143+BI1143+BK1143+BM1143+BO1143+BQ1143+BS1143+BU1143)</f>
        <v>0</v>
      </c>
      <c r="I1143" s="127">
        <f t="shared" ref="I1143:I1206" si="55">SUM(N1143+P1143+R1143+T1143+V1143+X1143+Z1143+AB1143+AD1143+AF1143+AH1143+AJ1143+AL1143+AN1143+AP1143+AR1143+AT1143+AV1143+AX1143+AZ1143+BB1143+BD1143+BF1143+BH1143+BJ1143+BL1143+BN1143+BP1143+BR1143+BT1143+BV1143)</f>
        <v>0</v>
      </c>
      <c r="J1143" s="173">
        <f t="shared" ref="J1143:J1206" si="56">G1143+H1143-I1143</f>
        <v>3</v>
      </c>
      <c r="K1143" s="173"/>
      <c r="L1143" s="173"/>
      <c r="M1143" s="174"/>
      <c r="N1143" s="174"/>
      <c r="O1143" s="174"/>
      <c r="P1143" s="174"/>
      <c r="Q1143" s="174"/>
      <c r="R1143" s="174"/>
      <c r="S1143" s="174"/>
      <c r="T1143" s="174"/>
      <c r="U1143" s="111"/>
      <c r="V1143" s="174"/>
      <c r="W1143" s="174"/>
      <c r="X1143" s="174"/>
      <c r="Y1143" s="174"/>
      <c r="Z1143" s="174"/>
      <c r="AA1143" s="174"/>
      <c r="AB1143" s="174"/>
      <c r="AC1143" s="174"/>
      <c r="AD1143" s="174"/>
      <c r="AE1143" s="174"/>
      <c r="AF1143" s="174"/>
      <c r="AG1143" s="174"/>
      <c r="AH1143" s="174"/>
      <c r="AI1143" s="174"/>
      <c r="AJ1143" s="174"/>
      <c r="AK1143" s="174"/>
      <c r="AL1143" s="174"/>
      <c r="AM1143" s="174"/>
      <c r="AN1143" s="174"/>
      <c r="AO1143" s="174"/>
      <c r="AP1143" s="174"/>
      <c r="AQ1143" s="174"/>
      <c r="AR1143" s="174"/>
      <c r="AS1143" s="174"/>
      <c r="AT1143" s="174"/>
      <c r="AU1143" s="174"/>
      <c r="AV1143" s="174"/>
      <c r="AW1143" s="174"/>
      <c r="AX1143" s="174"/>
      <c r="AY1143" s="174"/>
      <c r="AZ1143" s="174"/>
      <c r="BA1143" s="174"/>
      <c r="BB1143" s="174"/>
      <c r="BC1143" s="174"/>
      <c r="BD1143" s="174"/>
      <c r="BE1143" s="174"/>
      <c r="BF1143" s="174"/>
      <c r="BG1143" s="174"/>
      <c r="BH1143" s="174"/>
      <c r="BI1143" s="174"/>
      <c r="BJ1143" s="174"/>
      <c r="BK1143" s="174"/>
      <c r="BL1143" s="174"/>
      <c r="BM1143" s="174"/>
      <c r="BN1143" s="174"/>
      <c r="BO1143" s="174"/>
      <c r="BP1143" s="174"/>
      <c r="BQ1143" s="174"/>
      <c r="BR1143" s="174"/>
      <c r="BS1143" s="174"/>
      <c r="BT1143" s="174"/>
      <c r="BU1143" s="174"/>
      <c r="BV1143" s="10"/>
    </row>
    <row r="1144" spans="1:74" s="50" customFormat="1" hidden="1">
      <c r="A1144" s="109">
        <v>1140</v>
      </c>
      <c r="B1144" s="182" t="s">
        <v>2287</v>
      </c>
      <c r="C1144" s="156" t="s">
        <v>2288</v>
      </c>
      <c r="D1144" s="160" t="s">
        <v>21</v>
      </c>
      <c r="E1144" s="160"/>
      <c r="F1144" s="160"/>
      <c r="G1144" s="168">
        <v>1</v>
      </c>
      <c r="H1144" s="10">
        <f t="shared" si="54"/>
        <v>0</v>
      </c>
      <c r="I1144" s="3">
        <f t="shared" si="55"/>
        <v>0</v>
      </c>
      <c r="J1144" s="33">
        <f t="shared" si="56"/>
        <v>1</v>
      </c>
      <c r="K1144" s="33"/>
      <c r="L1144" s="33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11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0"/>
      <c r="BC1144" s="10"/>
      <c r="BD1144" s="10"/>
      <c r="BE1144" s="10"/>
      <c r="BF1144" s="10"/>
      <c r="BG1144" s="10"/>
      <c r="BH1144" s="10"/>
      <c r="BI1144" s="10"/>
      <c r="BJ1144" s="10"/>
      <c r="BK1144" s="10"/>
      <c r="BL1144" s="10"/>
      <c r="BM1144" s="10"/>
      <c r="BN1144" s="10"/>
      <c r="BO1144" s="10"/>
      <c r="BP1144" s="10"/>
      <c r="BQ1144" s="10"/>
      <c r="BR1144" s="10"/>
      <c r="BS1144" s="10"/>
      <c r="BT1144" s="10"/>
      <c r="BU1144" s="10"/>
      <c r="BV1144" s="10"/>
    </row>
    <row r="1145" spans="1:74" s="50" customFormat="1" hidden="1">
      <c r="A1145" s="142">
        <v>1141</v>
      </c>
      <c r="B1145" s="316" t="s">
        <v>2289</v>
      </c>
      <c r="C1145" s="300" t="s">
        <v>2290</v>
      </c>
      <c r="D1145" s="256" t="s">
        <v>21</v>
      </c>
      <c r="E1145" s="121"/>
      <c r="F1145" s="121"/>
      <c r="G1145" s="168">
        <v>24</v>
      </c>
      <c r="H1145" s="10">
        <f t="shared" si="54"/>
        <v>0</v>
      </c>
      <c r="I1145" s="3">
        <f t="shared" si="55"/>
        <v>0</v>
      </c>
      <c r="J1145" s="33">
        <f t="shared" si="56"/>
        <v>24</v>
      </c>
      <c r="K1145" s="33"/>
      <c r="L1145" s="33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11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0"/>
      <c r="BC1145" s="10"/>
      <c r="BD1145" s="10"/>
      <c r="BE1145" s="10"/>
      <c r="BF1145" s="10"/>
      <c r="BG1145" s="10"/>
      <c r="BH1145" s="10"/>
      <c r="BI1145" s="10"/>
      <c r="BJ1145" s="10"/>
      <c r="BK1145" s="10"/>
      <c r="BL1145" s="10"/>
      <c r="BM1145" s="10"/>
      <c r="BN1145" s="10"/>
      <c r="BO1145" s="10"/>
      <c r="BP1145" s="10"/>
      <c r="BQ1145" s="10"/>
      <c r="BR1145" s="10"/>
      <c r="BS1145" s="10"/>
      <c r="BT1145" s="10"/>
      <c r="BU1145" s="10"/>
      <c r="BV1145" s="10"/>
    </row>
    <row r="1146" spans="1:74" s="50" customFormat="1" hidden="1">
      <c r="A1146" s="109">
        <v>1142</v>
      </c>
      <c r="B1146" s="163" t="s">
        <v>2291</v>
      </c>
      <c r="C1146" s="158" t="s">
        <v>2292</v>
      </c>
      <c r="D1146" s="121" t="s">
        <v>14</v>
      </c>
      <c r="E1146" s="121"/>
      <c r="F1146" s="121"/>
      <c r="G1146" s="168">
        <v>0</v>
      </c>
      <c r="H1146" s="10">
        <f t="shared" si="54"/>
        <v>0</v>
      </c>
      <c r="I1146" s="3">
        <f t="shared" si="55"/>
        <v>0</v>
      </c>
      <c r="J1146" s="33">
        <f t="shared" si="56"/>
        <v>0</v>
      </c>
      <c r="K1146" s="33"/>
      <c r="L1146" s="33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11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0"/>
      <c r="BC1146" s="10"/>
      <c r="BD1146" s="10"/>
      <c r="BE1146" s="10"/>
      <c r="BF1146" s="10"/>
      <c r="BG1146" s="10"/>
      <c r="BH1146" s="10"/>
      <c r="BI1146" s="10"/>
      <c r="BJ1146" s="10"/>
      <c r="BK1146" s="10"/>
      <c r="BL1146" s="111"/>
      <c r="BM1146" s="10"/>
      <c r="BN1146" s="10"/>
      <c r="BO1146" s="10"/>
      <c r="BP1146" s="10"/>
      <c r="BQ1146" s="10"/>
      <c r="BR1146" s="10"/>
      <c r="BS1146" s="10"/>
      <c r="BT1146" s="10"/>
      <c r="BU1146" s="10"/>
      <c r="BV1146" s="10"/>
    </row>
    <row r="1147" spans="1:74" s="50" customFormat="1" hidden="1">
      <c r="A1147" s="109">
        <v>1143</v>
      </c>
      <c r="B1147" s="121" t="s">
        <v>2293</v>
      </c>
      <c r="C1147" s="135" t="s">
        <v>2294</v>
      </c>
      <c r="D1147" s="121" t="s">
        <v>14</v>
      </c>
      <c r="E1147" s="121"/>
      <c r="F1147" s="121"/>
      <c r="G1147" s="168">
        <v>1</v>
      </c>
      <c r="H1147" s="10">
        <f t="shared" si="54"/>
        <v>0</v>
      </c>
      <c r="I1147" s="3">
        <f t="shared" si="55"/>
        <v>0</v>
      </c>
      <c r="J1147" s="33">
        <f t="shared" si="56"/>
        <v>1</v>
      </c>
      <c r="K1147" s="33"/>
      <c r="L1147" s="33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11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10"/>
      <c r="BL1147" s="10"/>
      <c r="BM1147" s="10"/>
      <c r="BN1147" s="10"/>
      <c r="BO1147" s="10"/>
      <c r="BP1147" s="10"/>
      <c r="BQ1147" s="10"/>
      <c r="BR1147" s="10"/>
      <c r="BS1147" s="10"/>
      <c r="BT1147" s="10"/>
      <c r="BU1147" s="10"/>
      <c r="BV1147" s="10"/>
    </row>
    <row r="1148" spans="1:74" s="50" customFormat="1" ht="15" hidden="1" customHeight="1">
      <c r="A1148" s="109">
        <v>1144</v>
      </c>
      <c r="B1148" s="121" t="s">
        <v>2295</v>
      </c>
      <c r="C1148" s="135" t="s">
        <v>2296</v>
      </c>
      <c r="D1148" s="121" t="s">
        <v>21</v>
      </c>
      <c r="E1148" s="121"/>
      <c r="F1148" s="121"/>
      <c r="G1148" s="168">
        <v>0</v>
      </c>
      <c r="H1148" s="10">
        <f t="shared" si="54"/>
        <v>0</v>
      </c>
      <c r="I1148" s="3">
        <f t="shared" si="55"/>
        <v>0</v>
      </c>
      <c r="J1148" s="33">
        <f t="shared" si="56"/>
        <v>0</v>
      </c>
      <c r="K1148" s="33"/>
      <c r="L1148" s="33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11"/>
      <c r="AR1148" s="111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10"/>
      <c r="BL1148" s="111"/>
      <c r="BM1148" s="10"/>
      <c r="BN1148" s="10"/>
      <c r="BO1148" s="10"/>
      <c r="BP1148" s="10"/>
      <c r="BQ1148" s="10"/>
      <c r="BR1148" s="10"/>
      <c r="BS1148" s="10"/>
      <c r="BT1148" s="10"/>
      <c r="BU1148" s="10"/>
      <c r="BV1148" s="10"/>
    </row>
    <row r="1149" spans="1:74" s="50" customFormat="1" ht="30" hidden="1" customHeight="1">
      <c r="A1149" s="403">
        <v>1145</v>
      </c>
      <c r="B1149" s="462" t="s">
        <v>2297</v>
      </c>
      <c r="C1149" s="463" t="s">
        <v>2298</v>
      </c>
      <c r="D1149" s="462" t="s">
        <v>21</v>
      </c>
      <c r="E1149" s="121"/>
      <c r="F1149" s="10"/>
      <c r="G1149" s="168">
        <v>0</v>
      </c>
      <c r="H1149" s="10">
        <f t="shared" si="54"/>
        <v>500</v>
      </c>
      <c r="I1149" s="3">
        <f t="shared" si="55"/>
        <v>30</v>
      </c>
      <c r="J1149" s="33">
        <f t="shared" si="56"/>
        <v>470</v>
      </c>
      <c r="K1149" s="33"/>
      <c r="L1149" s="33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>
        <v>500</v>
      </c>
      <c r="AP1149" s="10">
        <v>30</v>
      </c>
      <c r="AQ1149" s="111"/>
      <c r="AR1149" s="111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10"/>
      <c r="BL1149" s="111"/>
      <c r="BM1149" s="10"/>
      <c r="BN1149" s="10"/>
      <c r="BO1149" s="10"/>
      <c r="BP1149" s="10"/>
      <c r="BQ1149" s="10"/>
      <c r="BR1149" s="10"/>
      <c r="BS1149" s="10"/>
      <c r="BT1149" s="10"/>
      <c r="BU1149" s="10"/>
      <c r="BV1149" s="10"/>
    </row>
    <row r="1150" spans="1:74" s="92" customFormat="1" ht="15" hidden="1" customHeight="1">
      <c r="A1150" s="142">
        <v>1146</v>
      </c>
      <c r="B1150" s="256" t="s">
        <v>2299</v>
      </c>
      <c r="C1150" s="290" t="s">
        <v>2300</v>
      </c>
      <c r="D1150" s="256" t="s">
        <v>21</v>
      </c>
      <c r="E1150" s="121"/>
      <c r="F1150" s="121"/>
      <c r="G1150" s="183">
        <v>1281</v>
      </c>
      <c r="H1150" s="121">
        <f t="shared" si="54"/>
        <v>0</v>
      </c>
      <c r="I1150" s="26">
        <f t="shared" si="55"/>
        <v>110</v>
      </c>
      <c r="J1150" s="30">
        <f t="shared" si="56"/>
        <v>1171</v>
      </c>
      <c r="K1150" s="30"/>
      <c r="L1150" s="30"/>
      <c r="M1150" s="121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>
        <v>50</v>
      </c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>
        <v>30</v>
      </c>
      <c r="AM1150" s="121"/>
      <c r="AN1150" s="121"/>
      <c r="AO1150" s="121"/>
      <c r="AP1150" s="121">
        <v>30</v>
      </c>
      <c r="AQ1150" s="109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</row>
    <row r="1151" spans="1:74" s="50" customFormat="1" hidden="1">
      <c r="A1151" s="111">
        <v>1147</v>
      </c>
      <c r="B1151" s="10" t="s">
        <v>2301</v>
      </c>
      <c r="C1151" s="352" t="s">
        <v>2302</v>
      </c>
      <c r="D1151" s="10" t="s">
        <v>21</v>
      </c>
      <c r="E1151" s="121"/>
      <c r="F1151" s="10"/>
      <c r="G1151" s="168">
        <v>948</v>
      </c>
      <c r="H1151" s="10">
        <f t="shared" si="54"/>
        <v>0</v>
      </c>
      <c r="I1151" s="3">
        <f t="shared" si="55"/>
        <v>0</v>
      </c>
      <c r="J1151" s="33">
        <f t="shared" si="56"/>
        <v>948</v>
      </c>
      <c r="K1151" s="33"/>
      <c r="L1151" s="33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11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  <c r="BL1151" s="10"/>
      <c r="BM1151" s="10"/>
      <c r="BN1151" s="10"/>
      <c r="BO1151" s="10"/>
      <c r="BP1151" s="10"/>
      <c r="BQ1151" s="10"/>
      <c r="BR1151" s="10"/>
      <c r="BS1151" s="10"/>
      <c r="BT1151" s="10"/>
      <c r="BU1151" s="10"/>
      <c r="BV1151" s="10"/>
    </row>
    <row r="1152" spans="1:74" s="50" customFormat="1" hidden="1">
      <c r="A1152" s="111">
        <v>1148</v>
      </c>
      <c r="B1152" s="10" t="s">
        <v>2303</v>
      </c>
      <c r="C1152" s="353" t="s">
        <v>2304</v>
      </c>
      <c r="D1152" s="10" t="s">
        <v>21</v>
      </c>
      <c r="E1152" s="121"/>
      <c r="F1152" s="10"/>
      <c r="G1152" s="168">
        <v>1833</v>
      </c>
      <c r="H1152" s="10">
        <f t="shared" si="54"/>
        <v>0</v>
      </c>
      <c r="I1152" s="3">
        <f t="shared" si="55"/>
        <v>0</v>
      </c>
      <c r="J1152" s="33">
        <f t="shared" si="56"/>
        <v>1833</v>
      </c>
      <c r="K1152" s="33"/>
      <c r="L1152" s="33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  <c r="BL1152" s="10"/>
      <c r="BM1152" s="10"/>
      <c r="BN1152" s="10"/>
      <c r="BO1152" s="10"/>
      <c r="BP1152" s="10"/>
      <c r="BQ1152" s="10"/>
      <c r="BR1152" s="10"/>
      <c r="BS1152" s="10"/>
      <c r="BT1152" s="10"/>
      <c r="BU1152" s="10"/>
      <c r="BV1152" s="10"/>
    </row>
    <row r="1153" spans="1:74" s="50" customFormat="1" hidden="1">
      <c r="A1153" s="111">
        <v>1149</v>
      </c>
      <c r="B1153" s="10" t="s">
        <v>2305</v>
      </c>
      <c r="C1153" s="351" t="s">
        <v>2306</v>
      </c>
      <c r="D1153" s="10" t="s">
        <v>21</v>
      </c>
      <c r="E1153" s="121"/>
      <c r="F1153" s="10"/>
      <c r="G1153" s="168">
        <v>0</v>
      </c>
      <c r="H1153" s="10">
        <f t="shared" si="54"/>
        <v>0</v>
      </c>
      <c r="I1153" s="3">
        <f t="shared" si="55"/>
        <v>0</v>
      </c>
      <c r="J1153" s="33">
        <f t="shared" si="56"/>
        <v>0</v>
      </c>
      <c r="K1153" s="33"/>
      <c r="L1153" s="33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11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  <c r="BL1153" s="10"/>
      <c r="BM1153" s="10"/>
      <c r="BN1153" s="10"/>
      <c r="BO1153" s="10"/>
      <c r="BP1153" s="10"/>
      <c r="BQ1153" s="10"/>
      <c r="BR1153" s="10"/>
      <c r="BS1153" s="10"/>
      <c r="BT1153" s="10"/>
      <c r="BU1153" s="10"/>
      <c r="BV1153" s="10"/>
    </row>
    <row r="1154" spans="1:74" s="50" customFormat="1" hidden="1">
      <c r="A1154" s="111">
        <v>1150</v>
      </c>
      <c r="B1154" s="10" t="s">
        <v>2307</v>
      </c>
      <c r="C1154" s="351" t="s">
        <v>2308</v>
      </c>
      <c r="D1154" s="10" t="s">
        <v>21</v>
      </c>
      <c r="E1154" s="121"/>
      <c r="F1154" s="10"/>
      <c r="G1154" s="168">
        <v>0</v>
      </c>
      <c r="H1154" s="10">
        <f t="shared" si="54"/>
        <v>0</v>
      </c>
      <c r="I1154" s="3">
        <f t="shared" si="55"/>
        <v>0</v>
      </c>
      <c r="J1154" s="33">
        <f t="shared" si="56"/>
        <v>0</v>
      </c>
      <c r="K1154" s="33"/>
      <c r="L1154" s="33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11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  <c r="BU1154" s="10"/>
      <c r="BV1154" s="10"/>
    </row>
    <row r="1155" spans="1:74" s="50" customFormat="1" hidden="1">
      <c r="A1155" s="111">
        <v>1151</v>
      </c>
      <c r="B1155" s="10" t="s">
        <v>2309</v>
      </c>
      <c r="C1155" s="351" t="s">
        <v>2310</v>
      </c>
      <c r="D1155" s="10" t="s">
        <v>21</v>
      </c>
      <c r="E1155" s="121"/>
      <c r="F1155" s="10"/>
      <c r="G1155" s="168">
        <v>0</v>
      </c>
      <c r="H1155" s="10">
        <f t="shared" si="54"/>
        <v>0</v>
      </c>
      <c r="I1155" s="3">
        <f t="shared" si="55"/>
        <v>0</v>
      </c>
      <c r="J1155" s="33">
        <f t="shared" si="56"/>
        <v>0</v>
      </c>
      <c r="K1155" s="33"/>
      <c r="L1155" s="33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11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10"/>
      <c r="BQ1155" s="10"/>
      <c r="BR1155" s="10"/>
      <c r="BS1155" s="10"/>
      <c r="BT1155" s="10"/>
      <c r="BU1155" s="10"/>
      <c r="BV1155" s="10"/>
    </row>
    <row r="1156" spans="1:74" s="50" customFormat="1" hidden="1">
      <c r="A1156" s="111">
        <v>1152</v>
      </c>
      <c r="B1156" s="10" t="s">
        <v>2311</v>
      </c>
      <c r="C1156" s="351" t="s">
        <v>2312</v>
      </c>
      <c r="D1156" s="10" t="s">
        <v>21</v>
      </c>
      <c r="E1156" s="121"/>
      <c r="F1156" s="10"/>
      <c r="G1156" s="168">
        <v>1</v>
      </c>
      <c r="H1156" s="10">
        <f t="shared" si="54"/>
        <v>0</v>
      </c>
      <c r="I1156" s="3">
        <f t="shared" si="55"/>
        <v>0</v>
      </c>
      <c r="J1156" s="33">
        <f t="shared" si="56"/>
        <v>1</v>
      </c>
      <c r="K1156" s="33"/>
      <c r="L1156" s="33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11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</row>
    <row r="1157" spans="1:74" s="50" customFormat="1" hidden="1">
      <c r="A1157" s="111">
        <v>1153</v>
      </c>
      <c r="B1157" s="10" t="s">
        <v>2313</v>
      </c>
      <c r="C1157" s="351" t="s">
        <v>2314</v>
      </c>
      <c r="D1157" s="10" t="s">
        <v>21</v>
      </c>
      <c r="E1157" s="121"/>
      <c r="F1157" s="10"/>
      <c r="G1157" s="168">
        <v>1</v>
      </c>
      <c r="H1157" s="10">
        <f t="shared" si="54"/>
        <v>0</v>
      </c>
      <c r="I1157" s="3">
        <f t="shared" si="55"/>
        <v>0</v>
      </c>
      <c r="J1157" s="33">
        <f t="shared" si="56"/>
        <v>1</v>
      </c>
      <c r="K1157" s="33"/>
      <c r="L1157" s="33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11"/>
      <c r="AM1157" s="111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</row>
    <row r="1158" spans="1:74" s="50" customFormat="1" hidden="1">
      <c r="A1158" s="111">
        <v>1154</v>
      </c>
      <c r="B1158" s="10" t="s">
        <v>2315</v>
      </c>
      <c r="C1158" s="351" t="s">
        <v>2316</v>
      </c>
      <c r="D1158" s="10" t="s">
        <v>21</v>
      </c>
      <c r="E1158" s="121"/>
      <c r="F1158" s="10"/>
      <c r="G1158" s="168">
        <v>1</v>
      </c>
      <c r="H1158" s="10">
        <f t="shared" si="54"/>
        <v>0</v>
      </c>
      <c r="I1158" s="3">
        <f t="shared" si="55"/>
        <v>0</v>
      </c>
      <c r="J1158" s="33">
        <f t="shared" si="56"/>
        <v>1</v>
      </c>
      <c r="K1158" s="33"/>
      <c r="L1158" s="33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11"/>
      <c r="AM1158" s="111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</row>
    <row r="1159" spans="1:74" s="50" customFormat="1" hidden="1">
      <c r="A1159" s="109">
        <v>1155</v>
      </c>
      <c r="B1159" s="121" t="s">
        <v>2317</v>
      </c>
      <c r="C1159" s="135" t="s">
        <v>2318</v>
      </c>
      <c r="D1159" s="121" t="s">
        <v>14</v>
      </c>
      <c r="E1159" s="121"/>
      <c r="F1159" s="121"/>
      <c r="G1159" s="168">
        <v>3</v>
      </c>
      <c r="H1159" s="10">
        <f t="shared" si="54"/>
        <v>0</v>
      </c>
      <c r="I1159" s="3">
        <f t="shared" si="55"/>
        <v>0</v>
      </c>
      <c r="J1159" s="33">
        <f t="shared" si="56"/>
        <v>3</v>
      </c>
      <c r="K1159" s="33"/>
      <c r="L1159" s="33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11"/>
      <c r="AM1159" s="111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</row>
    <row r="1160" spans="1:74" s="50" customFormat="1" hidden="1">
      <c r="A1160" s="109">
        <v>1156</v>
      </c>
      <c r="B1160" s="121" t="s">
        <v>2319</v>
      </c>
      <c r="C1160" s="135" t="s">
        <v>2320</v>
      </c>
      <c r="D1160" s="121" t="s">
        <v>14</v>
      </c>
      <c r="E1160" s="121"/>
      <c r="F1160" s="121"/>
      <c r="G1160" s="168">
        <v>3</v>
      </c>
      <c r="H1160" s="10">
        <f t="shared" si="54"/>
        <v>0</v>
      </c>
      <c r="I1160" s="3">
        <f t="shared" si="55"/>
        <v>0</v>
      </c>
      <c r="J1160" s="33">
        <f t="shared" si="56"/>
        <v>3</v>
      </c>
      <c r="K1160" s="33"/>
      <c r="L1160" s="33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11"/>
      <c r="AM1160" s="111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</row>
    <row r="1161" spans="1:74" s="50" customFormat="1" hidden="1">
      <c r="A1161" s="109">
        <v>1157</v>
      </c>
      <c r="B1161" s="121" t="s">
        <v>2321</v>
      </c>
      <c r="C1161" s="135" t="s">
        <v>2322</v>
      </c>
      <c r="D1161" s="121" t="s">
        <v>14</v>
      </c>
      <c r="E1161" s="121"/>
      <c r="F1161" s="121"/>
      <c r="G1161" s="168">
        <v>6</v>
      </c>
      <c r="H1161" s="10">
        <f t="shared" si="54"/>
        <v>0</v>
      </c>
      <c r="I1161" s="3">
        <f t="shared" si="55"/>
        <v>0</v>
      </c>
      <c r="J1161" s="33">
        <f t="shared" si="56"/>
        <v>6</v>
      </c>
      <c r="K1161" s="33"/>
      <c r="L1161" s="33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11"/>
      <c r="AM1161" s="111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  <c r="BU1161" s="10"/>
      <c r="BV1161" s="10"/>
    </row>
    <row r="1162" spans="1:74" s="50" customFormat="1" hidden="1">
      <c r="A1162" s="109">
        <v>1158</v>
      </c>
      <c r="B1162" s="121" t="s">
        <v>2323</v>
      </c>
      <c r="C1162" s="135" t="s">
        <v>2324</v>
      </c>
      <c r="D1162" s="121" t="s">
        <v>14</v>
      </c>
      <c r="E1162" s="121"/>
      <c r="F1162" s="121"/>
      <c r="G1162" s="168">
        <v>1</v>
      </c>
      <c r="H1162" s="10">
        <f t="shared" si="54"/>
        <v>0</v>
      </c>
      <c r="I1162" s="3">
        <f t="shared" si="55"/>
        <v>0</v>
      </c>
      <c r="J1162" s="33">
        <f t="shared" si="56"/>
        <v>1</v>
      </c>
      <c r="K1162" s="33"/>
      <c r="L1162" s="33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11"/>
      <c r="AM1162" s="111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  <c r="BU1162" s="10"/>
      <c r="BV1162" s="10"/>
    </row>
    <row r="1163" spans="1:74" s="50" customFormat="1" hidden="1">
      <c r="A1163" s="109">
        <v>1159</v>
      </c>
      <c r="B1163" s="121" t="s">
        <v>2325</v>
      </c>
      <c r="C1163" s="135" t="s">
        <v>2326</v>
      </c>
      <c r="D1163" s="121" t="s">
        <v>14</v>
      </c>
      <c r="E1163" s="121"/>
      <c r="F1163" s="121"/>
      <c r="G1163" s="168">
        <v>0</v>
      </c>
      <c r="H1163" s="10">
        <f t="shared" si="54"/>
        <v>0</v>
      </c>
      <c r="I1163" s="3">
        <f t="shared" si="55"/>
        <v>0</v>
      </c>
      <c r="J1163" s="33">
        <f t="shared" si="56"/>
        <v>0</v>
      </c>
      <c r="K1163" s="33"/>
      <c r="L1163" s="33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11"/>
      <c r="AM1163" s="111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  <c r="BU1163" s="10"/>
      <c r="BV1163" s="10"/>
    </row>
    <row r="1164" spans="1:74" s="50" customFormat="1" hidden="1">
      <c r="A1164" s="109">
        <v>1160</v>
      </c>
      <c r="B1164" s="121" t="s">
        <v>2327</v>
      </c>
      <c r="C1164" s="135" t="s">
        <v>2328</v>
      </c>
      <c r="D1164" s="121" t="s">
        <v>21</v>
      </c>
      <c r="E1164" s="121"/>
      <c r="F1164" s="121"/>
      <c r="G1164" s="168">
        <v>4</v>
      </c>
      <c r="H1164" s="10">
        <f t="shared" si="54"/>
        <v>0</v>
      </c>
      <c r="I1164" s="3">
        <f t="shared" si="55"/>
        <v>0</v>
      </c>
      <c r="J1164" s="33">
        <f t="shared" si="56"/>
        <v>4</v>
      </c>
      <c r="K1164" s="33"/>
      <c r="L1164" s="33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11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  <c r="BU1164" s="10"/>
      <c r="BV1164" s="10"/>
    </row>
    <row r="1165" spans="1:74" s="50" customFormat="1" hidden="1">
      <c r="A1165" s="109">
        <v>1161</v>
      </c>
      <c r="B1165" s="121" t="s">
        <v>2329</v>
      </c>
      <c r="C1165" s="135" t="s">
        <v>2330</v>
      </c>
      <c r="D1165" s="121" t="s">
        <v>21</v>
      </c>
      <c r="E1165" s="121"/>
      <c r="F1165" s="121"/>
      <c r="G1165" s="168">
        <v>0</v>
      </c>
      <c r="H1165" s="10">
        <f t="shared" si="54"/>
        <v>0</v>
      </c>
      <c r="I1165" s="3">
        <f t="shared" si="55"/>
        <v>0</v>
      </c>
      <c r="J1165" s="33">
        <f t="shared" si="56"/>
        <v>0</v>
      </c>
      <c r="K1165" s="33"/>
      <c r="L1165" s="33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11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  <c r="BU1165" s="10"/>
      <c r="BV1165" s="10"/>
    </row>
    <row r="1166" spans="1:74" s="50" customFormat="1" hidden="1">
      <c r="A1166" s="109">
        <v>1162</v>
      </c>
      <c r="B1166" s="121" t="s">
        <v>2331</v>
      </c>
      <c r="C1166" s="135" t="s">
        <v>2332</v>
      </c>
      <c r="D1166" s="121" t="s">
        <v>21</v>
      </c>
      <c r="E1166" s="121"/>
      <c r="F1166" s="121"/>
      <c r="G1166" s="168">
        <v>0</v>
      </c>
      <c r="H1166" s="10">
        <f t="shared" si="54"/>
        <v>0</v>
      </c>
      <c r="I1166" s="3">
        <f t="shared" si="55"/>
        <v>0</v>
      </c>
      <c r="J1166" s="33">
        <f t="shared" si="56"/>
        <v>0</v>
      </c>
      <c r="K1166" s="33"/>
      <c r="L1166" s="33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11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  <c r="BU1166" s="10"/>
      <c r="BV1166" s="10"/>
    </row>
    <row r="1167" spans="1:74" s="50" customFormat="1" hidden="1">
      <c r="A1167" s="111">
        <v>1163</v>
      </c>
      <c r="B1167" s="10" t="s">
        <v>2333</v>
      </c>
      <c r="C1167" s="351" t="s">
        <v>2334</v>
      </c>
      <c r="D1167" s="10" t="s">
        <v>21</v>
      </c>
      <c r="E1167" s="121"/>
      <c r="F1167" s="10"/>
      <c r="G1167" s="168">
        <v>2</v>
      </c>
      <c r="H1167" s="10">
        <f t="shared" si="54"/>
        <v>0</v>
      </c>
      <c r="I1167" s="3">
        <f t="shared" si="55"/>
        <v>0</v>
      </c>
      <c r="J1167" s="33">
        <f t="shared" si="56"/>
        <v>2</v>
      </c>
      <c r="K1167" s="33"/>
      <c r="L1167" s="33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11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</row>
    <row r="1168" spans="1:74" s="50" customFormat="1" hidden="1">
      <c r="A1168" s="111">
        <v>1164</v>
      </c>
      <c r="B1168" s="10" t="s">
        <v>2335</v>
      </c>
      <c r="C1168" s="352" t="s">
        <v>2336</v>
      </c>
      <c r="D1168" s="10" t="s">
        <v>21</v>
      </c>
      <c r="E1168" s="121"/>
      <c r="F1168" s="10"/>
      <c r="G1168" s="168">
        <v>2</v>
      </c>
      <c r="H1168" s="10">
        <f t="shared" si="54"/>
        <v>0</v>
      </c>
      <c r="I1168" s="3">
        <f t="shared" si="55"/>
        <v>0</v>
      </c>
      <c r="J1168" s="33">
        <f t="shared" si="56"/>
        <v>2</v>
      </c>
      <c r="K1168" s="33"/>
      <c r="L1168" s="33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11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</row>
    <row r="1169" spans="1:74" s="50" customFormat="1" hidden="1">
      <c r="A1169" s="109">
        <v>1165</v>
      </c>
      <c r="B1169" s="121" t="s">
        <v>2337</v>
      </c>
      <c r="C1169" s="192" t="s">
        <v>2338</v>
      </c>
      <c r="D1169" s="121" t="s">
        <v>21</v>
      </c>
      <c r="E1169" s="121"/>
      <c r="F1169" s="121"/>
      <c r="G1169" s="168">
        <v>2</v>
      </c>
      <c r="H1169" s="10">
        <f t="shared" si="54"/>
        <v>0</v>
      </c>
      <c r="I1169" s="3">
        <f t="shared" si="55"/>
        <v>0</v>
      </c>
      <c r="J1169" s="33">
        <f t="shared" si="56"/>
        <v>2</v>
      </c>
      <c r="K1169" s="33"/>
      <c r="L1169" s="33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11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11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  <c r="BU1169" s="10"/>
      <c r="BV1169" s="10"/>
    </row>
    <row r="1170" spans="1:74" s="50" customFormat="1" hidden="1">
      <c r="A1170" s="109">
        <v>1166</v>
      </c>
      <c r="B1170" s="121" t="s">
        <v>2339</v>
      </c>
      <c r="C1170" s="192" t="s">
        <v>2340</v>
      </c>
      <c r="D1170" s="121" t="s">
        <v>21</v>
      </c>
      <c r="E1170" s="121"/>
      <c r="F1170" s="121"/>
      <c r="G1170" s="168">
        <v>63</v>
      </c>
      <c r="H1170" s="10">
        <f t="shared" si="54"/>
        <v>0</v>
      </c>
      <c r="I1170" s="3">
        <f t="shared" si="55"/>
        <v>0</v>
      </c>
      <c r="J1170" s="33">
        <f t="shared" si="56"/>
        <v>63</v>
      </c>
      <c r="K1170" s="33"/>
      <c r="L1170" s="33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11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11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  <c r="BU1170" s="10"/>
      <c r="BV1170" s="10"/>
    </row>
    <row r="1171" spans="1:74" s="50" customFormat="1" hidden="1">
      <c r="A1171" s="109">
        <v>1167</v>
      </c>
      <c r="B1171" s="121" t="s">
        <v>2341</v>
      </c>
      <c r="C1171" s="192" t="s">
        <v>2342</v>
      </c>
      <c r="D1171" s="160" t="s">
        <v>21</v>
      </c>
      <c r="E1171" s="160"/>
      <c r="F1171" s="160"/>
      <c r="G1171" s="168">
        <v>56</v>
      </c>
      <c r="H1171" s="10">
        <f t="shared" si="54"/>
        <v>0</v>
      </c>
      <c r="I1171" s="3">
        <f t="shared" si="55"/>
        <v>0</v>
      </c>
      <c r="J1171" s="33">
        <f t="shared" si="56"/>
        <v>56</v>
      </c>
      <c r="K1171" s="33"/>
      <c r="L1171" s="33"/>
      <c r="M1171" s="10"/>
      <c r="N1171" s="10"/>
      <c r="O1171" s="10"/>
      <c r="P1171" s="10"/>
      <c r="Q1171" s="10"/>
      <c r="R1171" s="111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11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11"/>
      <c r="BQ1171" s="10"/>
      <c r="BR1171" s="10"/>
      <c r="BS1171" s="10"/>
      <c r="BT1171" s="10"/>
      <c r="BU1171" s="10"/>
      <c r="BV1171" s="10"/>
    </row>
    <row r="1172" spans="1:74" s="50" customFormat="1" hidden="1">
      <c r="A1172" s="109">
        <v>1168</v>
      </c>
      <c r="B1172" s="121" t="s">
        <v>2343</v>
      </c>
      <c r="C1172" s="192" t="s">
        <v>2344</v>
      </c>
      <c r="D1172" s="160" t="s">
        <v>14</v>
      </c>
      <c r="E1172" s="160"/>
      <c r="F1172" s="160"/>
      <c r="G1172" s="168">
        <v>52</v>
      </c>
      <c r="H1172" s="10">
        <f t="shared" si="54"/>
        <v>0</v>
      </c>
      <c r="I1172" s="3">
        <f t="shared" si="55"/>
        <v>0</v>
      </c>
      <c r="J1172" s="33">
        <f t="shared" si="56"/>
        <v>52</v>
      </c>
      <c r="K1172" s="33"/>
      <c r="L1172" s="33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</row>
    <row r="1173" spans="1:74" s="50" customFormat="1" hidden="1">
      <c r="A1173" s="109">
        <v>1169</v>
      </c>
      <c r="B1173" s="121" t="s">
        <v>2345</v>
      </c>
      <c r="C1173" s="135" t="s">
        <v>2346</v>
      </c>
      <c r="D1173" s="160" t="s">
        <v>14</v>
      </c>
      <c r="E1173" s="160"/>
      <c r="F1173" s="160"/>
      <c r="G1173" s="168">
        <v>2</v>
      </c>
      <c r="H1173" s="10">
        <f t="shared" si="54"/>
        <v>0</v>
      </c>
      <c r="I1173" s="3">
        <f t="shared" si="55"/>
        <v>0</v>
      </c>
      <c r="J1173" s="33">
        <f t="shared" si="56"/>
        <v>2</v>
      </c>
      <c r="K1173" s="33"/>
      <c r="L1173" s="33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11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10"/>
      <c r="BQ1173" s="10"/>
      <c r="BR1173" s="10"/>
      <c r="BS1173" s="10"/>
      <c r="BT1173" s="10"/>
      <c r="BU1173" s="10"/>
      <c r="BV1173" s="10"/>
    </row>
    <row r="1174" spans="1:74" s="50" customFormat="1" hidden="1">
      <c r="A1174" s="109">
        <v>1170</v>
      </c>
      <c r="B1174" s="121" t="s">
        <v>2347</v>
      </c>
      <c r="C1174" s="135" t="s">
        <v>2348</v>
      </c>
      <c r="D1174" s="160" t="s">
        <v>14</v>
      </c>
      <c r="E1174" s="160"/>
      <c r="F1174" s="160"/>
      <c r="G1174" s="168">
        <v>1</v>
      </c>
      <c r="H1174" s="10">
        <f t="shared" si="54"/>
        <v>0</v>
      </c>
      <c r="I1174" s="3">
        <f t="shared" si="55"/>
        <v>0</v>
      </c>
      <c r="J1174" s="33">
        <f t="shared" si="56"/>
        <v>1</v>
      </c>
      <c r="K1174" s="33"/>
      <c r="L1174" s="33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11"/>
      <c r="BD1174" s="10"/>
      <c r="BE1174" s="10"/>
      <c r="BF1174" s="10"/>
      <c r="BG1174" s="10"/>
      <c r="BH1174" s="10"/>
      <c r="BI1174" s="10"/>
      <c r="BJ1174" s="10"/>
      <c r="BK1174" s="10"/>
      <c r="BL1174" s="111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</row>
    <row r="1175" spans="1:74" s="50" customFormat="1" hidden="1">
      <c r="A1175" s="109">
        <v>1171</v>
      </c>
      <c r="B1175" s="121" t="s">
        <v>2349</v>
      </c>
      <c r="C1175" s="135" t="s">
        <v>2350</v>
      </c>
      <c r="D1175" s="160" t="s">
        <v>14</v>
      </c>
      <c r="E1175" s="160"/>
      <c r="F1175" s="160"/>
      <c r="G1175" s="168">
        <v>2</v>
      </c>
      <c r="H1175" s="10">
        <f t="shared" si="54"/>
        <v>0</v>
      </c>
      <c r="I1175" s="3">
        <f t="shared" si="55"/>
        <v>0</v>
      </c>
      <c r="J1175" s="33">
        <f t="shared" si="56"/>
        <v>2</v>
      </c>
      <c r="K1175" s="33"/>
      <c r="L1175" s="33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11"/>
      <c r="BD1175" s="10"/>
      <c r="BE1175" s="10"/>
      <c r="BF1175" s="10"/>
      <c r="BG1175" s="10"/>
      <c r="BH1175" s="10"/>
      <c r="BI1175" s="10"/>
      <c r="BJ1175" s="10"/>
      <c r="BK1175" s="10"/>
      <c r="BL1175" s="111"/>
      <c r="BM1175" s="10"/>
      <c r="BN1175" s="10"/>
      <c r="BO1175" s="10"/>
      <c r="BP1175" s="10"/>
      <c r="BQ1175" s="10"/>
      <c r="BR1175" s="10"/>
      <c r="BS1175" s="10"/>
      <c r="BT1175" s="10"/>
      <c r="BU1175" s="10"/>
      <c r="BV1175" s="10"/>
    </row>
    <row r="1176" spans="1:74" s="50" customFormat="1" hidden="1">
      <c r="A1176" s="109">
        <v>1172</v>
      </c>
      <c r="B1176" s="121" t="s">
        <v>2351</v>
      </c>
      <c r="C1176" s="135" t="s">
        <v>2352</v>
      </c>
      <c r="D1176" s="160" t="s">
        <v>14</v>
      </c>
      <c r="E1176" s="160"/>
      <c r="F1176" s="160"/>
      <c r="G1176" s="168">
        <v>1</v>
      </c>
      <c r="H1176" s="10">
        <f t="shared" si="54"/>
        <v>0</v>
      </c>
      <c r="I1176" s="3">
        <f t="shared" si="55"/>
        <v>0</v>
      </c>
      <c r="J1176" s="33">
        <f t="shared" si="56"/>
        <v>1</v>
      </c>
      <c r="K1176" s="33"/>
      <c r="L1176" s="33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11"/>
      <c r="BD1176" s="10"/>
      <c r="BE1176" s="10"/>
      <c r="BF1176" s="10"/>
      <c r="BG1176" s="10"/>
      <c r="BH1176" s="10"/>
      <c r="BI1176" s="10"/>
      <c r="BJ1176" s="10"/>
      <c r="BK1176" s="10"/>
      <c r="BL1176" s="111"/>
      <c r="BM1176" s="10"/>
      <c r="BN1176" s="10"/>
      <c r="BO1176" s="10"/>
      <c r="BP1176" s="10"/>
      <c r="BQ1176" s="10"/>
      <c r="BR1176" s="10"/>
      <c r="BS1176" s="10"/>
      <c r="BT1176" s="10"/>
      <c r="BU1176" s="10"/>
      <c r="BV1176" s="10"/>
    </row>
    <row r="1177" spans="1:74" s="50" customFormat="1" hidden="1">
      <c r="A1177" s="109">
        <v>1173</v>
      </c>
      <c r="B1177" s="121" t="s">
        <v>2353</v>
      </c>
      <c r="C1177" s="135" t="s">
        <v>2354</v>
      </c>
      <c r="D1177" s="160" t="s">
        <v>14</v>
      </c>
      <c r="E1177" s="160"/>
      <c r="F1177" s="160"/>
      <c r="G1177" s="168">
        <v>1</v>
      </c>
      <c r="H1177" s="10">
        <f t="shared" si="54"/>
        <v>0</v>
      </c>
      <c r="I1177" s="3">
        <f t="shared" si="55"/>
        <v>0</v>
      </c>
      <c r="J1177" s="33">
        <f t="shared" si="56"/>
        <v>1</v>
      </c>
      <c r="K1177" s="33"/>
      <c r="L1177" s="33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3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</row>
    <row r="1178" spans="1:74" s="50" customFormat="1" hidden="1">
      <c r="A1178" s="109">
        <v>1174</v>
      </c>
      <c r="B1178" s="121" t="s">
        <v>2355</v>
      </c>
      <c r="C1178" s="135" t="s">
        <v>2356</v>
      </c>
      <c r="D1178" s="121" t="s">
        <v>14</v>
      </c>
      <c r="E1178" s="121"/>
      <c r="F1178" s="121"/>
      <c r="G1178" s="168">
        <v>1</v>
      </c>
      <c r="H1178" s="10">
        <f t="shared" si="54"/>
        <v>0</v>
      </c>
      <c r="I1178" s="3">
        <f t="shared" si="55"/>
        <v>0</v>
      </c>
      <c r="J1178" s="33">
        <f t="shared" si="56"/>
        <v>1</v>
      </c>
      <c r="K1178" s="33"/>
      <c r="L1178" s="33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11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11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</row>
    <row r="1179" spans="1:74" s="50" customFormat="1" hidden="1">
      <c r="A1179" s="109">
        <v>1175</v>
      </c>
      <c r="B1179" s="121" t="s">
        <v>2357</v>
      </c>
      <c r="C1179" s="135" t="s">
        <v>2358</v>
      </c>
      <c r="D1179" s="121" t="s">
        <v>21</v>
      </c>
      <c r="E1179" s="121"/>
      <c r="F1179" s="121"/>
      <c r="G1179" s="168">
        <v>6</v>
      </c>
      <c r="H1179" s="10">
        <f t="shared" si="54"/>
        <v>0</v>
      </c>
      <c r="I1179" s="3">
        <f t="shared" si="55"/>
        <v>0</v>
      </c>
      <c r="J1179" s="33">
        <f t="shared" si="56"/>
        <v>6</v>
      </c>
      <c r="K1179" s="33"/>
      <c r="L1179" s="33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11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11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  <c r="BU1179" s="10"/>
      <c r="BV1179" s="10"/>
    </row>
    <row r="1180" spans="1:74" s="50" customFormat="1" hidden="1">
      <c r="A1180" s="109">
        <v>1176</v>
      </c>
      <c r="B1180" s="121" t="s">
        <v>2359</v>
      </c>
      <c r="C1180" s="135" t="s">
        <v>2360</v>
      </c>
      <c r="D1180" s="121" t="s">
        <v>21</v>
      </c>
      <c r="E1180" s="121"/>
      <c r="F1180" s="121"/>
      <c r="G1180" s="168">
        <v>6</v>
      </c>
      <c r="H1180" s="10">
        <f t="shared" si="54"/>
        <v>0</v>
      </c>
      <c r="I1180" s="3">
        <f t="shared" si="55"/>
        <v>0</v>
      </c>
      <c r="J1180" s="33">
        <f t="shared" si="56"/>
        <v>6</v>
      </c>
      <c r="K1180" s="33"/>
      <c r="L1180" s="33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11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11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  <c r="BU1180" s="10"/>
      <c r="BV1180" s="10"/>
    </row>
    <row r="1181" spans="1:74" s="50" customFormat="1" hidden="1">
      <c r="A1181" s="109">
        <v>1177</v>
      </c>
      <c r="B1181" s="121" t="s">
        <v>2361</v>
      </c>
      <c r="C1181" s="135" t="s">
        <v>2362</v>
      </c>
      <c r="D1181" s="121" t="s">
        <v>21</v>
      </c>
      <c r="E1181" s="121"/>
      <c r="F1181" s="121"/>
      <c r="G1181" s="168">
        <v>2</v>
      </c>
      <c r="H1181" s="10">
        <f t="shared" si="54"/>
        <v>0</v>
      </c>
      <c r="I1181" s="3">
        <f t="shared" si="55"/>
        <v>0</v>
      </c>
      <c r="J1181" s="33">
        <f t="shared" si="56"/>
        <v>2</v>
      </c>
      <c r="K1181" s="33"/>
      <c r="L1181" s="33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11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11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  <c r="BU1181" s="10"/>
      <c r="BV1181" s="10"/>
    </row>
    <row r="1182" spans="1:74" s="50" customFormat="1" hidden="1">
      <c r="A1182" s="109">
        <v>1178</v>
      </c>
      <c r="B1182" s="121" t="s">
        <v>2363</v>
      </c>
      <c r="C1182" s="190" t="s">
        <v>2364</v>
      </c>
      <c r="D1182" s="121" t="s">
        <v>21</v>
      </c>
      <c r="E1182" s="121"/>
      <c r="F1182" s="121"/>
      <c r="G1182" s="168">
        <v>2</v>
      </c>
      <c r="H1182" s="10">
        <f t="shared" si="54"/>
        <v>0</v>
      </c>
      <c r="I1182" s="3">
        <f t="shared" si="55"/>
        <v>0</v>
      </c>
      <c r="J1182" s="33">
        <f t="shared" si="56"/>
        <v>2</v>
      </c>
      <c r="K1182" s="33"/>
      <c r="L1182" s="33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11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11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  <c r="BU1182" s="10"/>
      <c r="BV1182" s="10"/>
    </row>
    <row r="1183" spans="1:74" s="50" customFormat="1" hidden="1">
      <c r="A1183" s="109">
        <v>1179</v>
      </c>
      <c r="B1183" s="121" t="s">
        <v>2365</v>
      </c>
      <c r="C1183" s="135" t="s">
        <v>2366</v>
      </c>
      <c r="D1183" s="121" t="s">
        <v>21</v>
      </c>
      <c r="E1183" s="121"/>
      <c r="F1183" s="121"/>
      <c r="G1183" s="168">
        <v>4</v>
      </c>
      <c r="H1183" s="10">
        <f t="shared" si="54"/>
        <v>0</v>
      </c>
      <c r="I1183" s="3">
        <f t="shared" si="55"/>
        <v>0</v>
      </c>
      <c r="J1183" s="33">
        <f t="shared" si="56"/>
        <v>4</v>
      </c>
      <c r="K1183" s="33"/>
      <c r="L1183" s="33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11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11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  <c r="BU1183" s="10"/>
      <c r="BV1183" s="10"/>
    </row>
    <row r="1184" spans="1:74" s="50" customFormat="1" hidden="1">
      <c r="A1184" s="109">
        <v>1180</v>
      </c>
      <c r="B1184" s="121" t="s">
        <v>2367</v>
      </c>
      <c r="C1184" s="135" t="s">
        <v>2368</v>
      </c>
      <c r="D1184" s="121" t="s">
        <v>21</v>
      </c>
      <c r="E1184" s="121"/>
      <c r="F1184" s="121"/>
      <c r="G1184" s="168">
        <v>3</v>
      </c>
      <c r="H1184" s="10">
        <f t="shared" si="54"/>
        <v>0</v>
      </c>
      <c r="I1184" s="3">
        <f t="shared" si="55"/>
        <v>0</v>
      </c>
      <c r="J1184" s="33">
        <f t="shared" si="56"/>
        <v>3</v>
      </c>
      <c r="K1184" s="33"/>
      <c r="L1184" s="33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11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11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  <c r="BU1184" s="10"/>
      <c r="BV1184" s="10"/>
    </row>
    <row r="1185" spans="1:74" s="50" customFormat="1" hidden="1">
      <c r="A1185" s="109">
        <v>1181</v>
      </c>
      <c r="B1185" s="121" t="s">
        <v>2369</v>
      </c>
      <c r="C1185" s="135" t="s">
        <v>2370</v>
      </c>
      <c r="D1185" s="121" t="s">
        <v>21</v>
      </c>
      <c r="E1185" s="121"/>
      <c r="F1185" s="121"/>
      <c r="G1185" s="168">
        <v>3</v>
      </c>
      <c r="H1185" s="10">
        <f t="shared" si="54"/>
        <v>0</v>
      </c>
      <c r="I1185" s="3">
        <f t="shared" si="55"/>
        <v>0</v>
      </c>
      <c r="J1185" s="33">
        <f t="shared" si="56"/>
        <v>3</v>
      </c>
      <c r="K1185" s="33"/>
      <c r="L1185" s="33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11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11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  <c r="BU1185" s="10"/>
      <c r="BV1185" s="10"/>
    </row>
    <row r="1186" spans="1:74" s="50" customFormat="1" hidden="1">
      <c r="A1186" s="109">
        <v>1182</v>
      </c>
      <c r="B1186" s="121" t="s">
        <v>2371</v>
      </c>
      <c r="C1186" s="135" t="s">
        <v>2372</v>
      </c>
      <c r="D1186" s="121" t="s">
        <v>21</v>
      </c>
      <c r="E1186" s="121"/>
      <c r="F1186" s="121"/>
      <c r="G1186" s="168">
        <v>3</v>
      </c>
      <c r="H1186" s="10">
        <f t="shared" si="54"/>
        <v>0</v>
      </c>
      <c r="I1186" s="127">
        <f t="shared" si="55"/>
        <v>0</v>
      </c>
      <c r="J1186" s="33">
        <f t="shared" si="56"/>
        <v>3</v>
      </c>
      <c r="K1186" s="33"/>
      <c r="L1186" s="33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11"/>
      <c r="AM1186" s="10"/>
      <c r="AN1186" s="10"/>
      <c r="AO1186" s="10"/>
      <c r="AP1186" s="10"/>
      <c r="AQ1186" s="10"/>
      <c r="AR1186" s="82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11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  <c r="BU1186" s="10"/>
      <c r="BV1186" s="10"/>
    </row>
    <row r="1187" spans="1:74" s="50" customFormat="1" hidden="1">
      <c r="A1187" s="109">
        <v>1183</v>
      </c>
      <c r="B1187" s="121" t="s">
        <v>2373</v>
      </c>
      <c r="C1187" s="135" t="s">
        <v>2374</v>
      </c>
      <c r="D1187" s="121" t="s">
        <v>21</v>
      </c>
      <c r="E1187" s="121"/>
      <c r="F1187" s="121"/>
      <c r="G1187" s="168">
        <v>3</v>
      </c>
      <c r="H1187" s="10">
        <f t="shared" si="54"/>
        <v>0</v>
      </c>
      <c r="I1187" s="127">
        <f t="shared" si="55"/>
        <v>0</v>
      </c>
      <c r="J1187" s="33">
        <f t="shared" si="56"/>
        <v>3</v>
      </c>
      <c r="K1187" s="33"/>
      <c r="L1187" s="33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11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11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  <c r="BU1187" s="10"/>
      <c r="BV1187" s="10"/>
    </row>
    <row r="1188" spans="1:74" s="50" customFormat="1" hidden="1">
      <c r="A1188" s="109">
        <v>1184</v>
      </c>
      <c r="B1188" s="163" t="s">
        <v>2375</v>
      </c>
      <c r="C1188" s="158" t="s">
        <v>2376</v>
      </c>
      <c r="D1188" s="121" t="s">
        <v>21</v>
      </c>
      <c r="E1188" s="121"/>
      <c r="F1188" s="121"/>
      <c r="G1188" s="168">
        <v>3</v>
      </c>
      <c r="H1188" s="10">
        <f t="shared" si="54"/>
        <v>0</v>
      </c>
      <c r="I1188" s="3">
        <f t="shared" si="55"/>
        <v>0</v>
      </c>
      <c r="J1188" s="33">
        <f t="shared" si="56"/>
        <v>3</v>
      </c>
      <c r="K1188" s="33"/>
      <c r="L1188" s="33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11"/>
      <c r="BN1188" s="10"/>
      <c r="BO1188" s="10"/>
      <c r="BP1188" s="10"/>
      <c r="BQ1188" s="10"/>
      <c r="BR1188" s="10"/>
      <c r="BS1188" s="10"/>
      <c r="BT1188" s="10"/>
      <c r="BU1188" s="10"/>
      <c r="BV1188" s="10"/>
    </row>
    <row r="1189" spans="1:74" s="50" customFormat="1" hidden="1">
      <c r="A1189" s="109">
        <v>1185</v>
      </c>
      <c r="B1189" s="163" t="s">
        <v>2377</v>
      </c>
      <c r="C1189" s="158" t="s">
        <v>2378</v>
      </c>
      <c r="D1189" s="121" t="s">
        <v>14</v>
      </c>
      <c r="E1189" s="121"/>
      <c r="F1189" s="121"/>
      <c r="G1189" s="168">
        <v>0</v>
      </c>
      <c r="H1189" s="10">
        <f t="shared" si="54"/>
        <v>0</v>
      </c>
      <c r="I1189" s="3">
        <f t="shared" si="55"/>
        <v>0</v>
      </c>
      <c r="J1189" s="33">
        <f t="shared" si="56"/>
        <v>0</v>
      </c>
      <c r="K1189" s="33"/>
      <c r="L1189" s="33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11"/>
      <c r="BL1189" s="10"/>
      <c r="BM1189" s="10"/>
      <c r="BN1189" s="10"/>
      <c r="BO1189" s="10"/>
      <c r="BP1189" s="10"/>
      <c r="BQ1189" s="10"/>
      <c r="BR1189" s="10"/>
      <c r="BS1189" s="10"/>
      <c r="BT1189" s="10"/>
      <c r="BU1189" s="10"/>
      <c r="BV1189" s="10"/>
    </row>
    <row r="1190" spans="1:74" s="50" customFormat="1" hidden="1">
      <c r="A1190" s="142">
        <v>1186</v>
      </c>
      <c r="B1190" s="299" t="s">
        <v>2379</v>
      </c>
      <c r="C1190" s="321" t="s">
        <v>2380</v>
      </c>
      <c r="D1190" s="256" t="s">
        <v>21</v>
      </c>
      <c r="E1190" s="121"/>
      <c r="F1190" s="121"/>
      <c r="G1190" s="168">
        <v>0</v>
      </c>
      <c r="H1190" s="10">
        <f t="shared" si="54"/>
        <v>0</v>
      </c>
      <c r="I1190" s="3">
        <f t="shared" si="55"/>
        <v>0</v>
      </c>
      <c r="J1190" s="33">
        <f t="shared" si="56"/>
        <v>0</v>
      </c>
      <c r="K1190" s="33"/>
      <c r="L1190" s="33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11"/>
      <c r="BL1190" s="111"/>
      <c r="BM1190" s="10"/>
      <c r="BN1190" s="10"/>
      <c r="BO1190" s="10"/>
      <c r="BP1190" s="10"/>
      <c r="BQ1190" s="10"/>
      <c r="BR1190" s="10"/>
      <c r="BS1190" s="10"/>
      <c r="BT1190" s="10"/>
      <c r="BU1190" s="10"/>
      <c r="BV1190" s="10"/>
    </row>
    <row r="1191" spans="1:74" s="50" customFormat="1" hidden="1">
      <c r="A1191" s="109">
        <v>1187</v>
      </c>
      <c r="B1191" s="163" t="s">
        <v>2381</v>
      </c>
      <c r="C1191" s="192" t="s">
        <v>2382</v>
      </c>
      <c r="D1191" s="121" t="s">
        <v>21</v>
      </c>
      <c r="E1191" s="121"/>
      <c r="F1191" s="121"/>
      <c r="G1191" s="168">
        <v>1</v>
      </c>
      <c r="H1191" s="10">
        <f t="shared" si="54"/>
        <v>0</v>
      </c>
      <c r="I1191" s="3">
        <f t="shared" si="55"/>
        <v>0</v>
      </c>
      <c r="J1191" s="33">
        <f t="shared" si="56"/>
        <v>1</v>
      </c>
      <c r="K1191" s="33"/>
      <c r="L1191" s="33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11"/>
      <c r="BL1191" s="111"/>
      <c r="BM1191" s="10"/>
      <c r="BN1191" s="10"/>
      <c r="BO1191" s="10"/>
      <c r="BP1191" s="10"/>
      <c r="BQ1191" s="10"/>
      <c r="BR1191" s="10"/>
      <c r="BS1191" s="10"/>
      <c r="BT1191" s="10"/>
      <c r="BU1191" s="10"/>
      <c r="BV1191" s="10"/>
    </row>
    <row r="1192" spans="1:74" s="50" customFormat="1" ht="15" hidden="1" customHeight="1">
      <c r="A1192" s="111">
        <v>1188</v>
      </c>
      <c r="B1192" s="3" t="s">
        <v>2383</v>
      </c>
      <c r="C1192" s="354" t="s">
        <v>2384</v>
      </c>
      <c r="D1192" s="10" t="s">
        <v>21</v>
      </c>
      <c r="E1192" s="121"/>
      <c r="F1192" s="10"/>
      <c r="G1192" s="168">
        <v>0</v>
      </c>
      <c r="H1192" s="10">
        <f t="shared" si="54"/>
        <v>0</v>
      </c>
      <c r="I1192" s="3">
        <f t="shared" si="55"/>
        <v>0</v>
      </c>
      <c r="J1192" s="33">
        <f t="shared" si="56"/>
        <v>0</v>
      </c>
      <c r="K1192" s="33"/>
      <c r="L1192" s="33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  <c r="BU1192" s="10"/>
      <c r="BV1192" s="10"/>
    </row>
    <row r="1193" spans="1:74" s="50" customFormat="1" hidden="1">
      <c r="A1193" s="111">
        <v>1189</v>
      </c>
      <c r="B1193" s="3" t="s">
        <v>2385</v>
      </c>
      <c r="C1193" s="354" t="s">
        <v>2386</v>
      </c>
      <c r="D1193" s="10" t="s">
        <v>21</v>
      </c>
      <c r="E1193" s="121"/>
      <c r="F1193" s="10"/>
      <c r="G1193" s="168">
        <v>8</v>
      </c>
      <c r="H1193" s="10">
        <f t="shared" si="54"/>
        <v>0</v>
      </c>
      <c r="I1193" s="3">
        <f t="shared" si="55"/>
        <v>0</v>
      </c>
      <c r="J1193" s="33">
        <f t="shared" si="56"/>
        <v>8</v>
      </c>
      <c r="K1193" s="33"/>
      <c r="L1193" s="33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10"/>
      <c r="BQ1193" s="10"/>
      <c r="BR1193" s="10"/>
      <c r="BS1193" s="10"/>
      <c r="BT1193" s="10"/>
      <c r="BU1193" s="10"/>
      <c r="BV1193" s="10"/>
    </row>
    <row r="1194" spans="1:74" s="50" customFormat="1" hidden="1">
      <c r="A1194" s="111">
        <v>1190</v>
      </c>
      <c r="B1194" s="10" t="s">
        <v>2387</v>
      </c>
      <c r="C1194" s="351" t="s">
        <v>2388</v>
      </c>
      <c r="D1194" s="10" t="s">
        <v>21</v>
      </c>
      <c r="E1194" s="121"/>
      <c r="F1194" s="10"/>
      <c r="G1194" s="168">
        <v>7</v>
      </c>
      <c r="H1194" s="10">
        <f t="shared" si="54"/>
        <v>0</v>
      </c>
      <c r="I1194" s="3">
        <f t="shared" si="55"/>
        <v>0</v>
      </c>
      <c r="J1194" s="33">
        <f t="shared" si="56"/>
        <v>7</v>
      </c>
      <c r="K1194" s="33"/>
      <c r="L1194" s="33"/>
      <c r="M1194" s="10"/>
      <c r="N1194" s="10"/>
      <c r="O1194" s="10"/>
      <c r="P1194" s="10"/>
      <c r="Q1194" s="10"/>
      <c r="R1194" s="10"/>
      <c r="S1194" s="10"/>
      <c r="T1194" s="10"/>
      <c r="U1194" s="111"/>
      <c r="V1194" s="111"/>
      <c r="W1194" s="111"/>
      <c r="X1194" s="10"/>
      <c r="Y1194" s="10"/>
      <c r="Z1194" s="111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11"/>
      <c r="AN1194" s="111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11"/>
      <c r="BD1194" s="10"/>
      <c r="BE1194" s="10"/>
      <c r="BF1194" s="10"/>
      <c r="BG1194" s="10"/>
      <c r="BH1194" s="10"/>
      <c r="BI1194" s="10"/>
      <c r="BJ1194" s="10"/>
      <c r="BK1194" s="10"/>
      <c r="BL1194" s="111"/>
      <c r="BM1194" s="10"/>
      <c r="BN1194" s="10"/>
      <c r="BO1194" s="10"/>
      <c r="BP1194" s="111"/>
      <c r="BQ1194" s="10"/>
      <c r="BR1194" s="10"/>
      <c r="BS1194" s="10"/>
      <c r="BT1194" s="10"/>
      <c r="BU1194" s="10"/>
      <c r="BV1194" s="10"/>
    </row>
    <row r="1195" spans="1:74" s="50" customFormat="1" ht="15" hidden="1" customHeight="1">
      <c r="A1195" s="111">
        <v>1191</v>
      </c>
      <c r="B1195" s="10" t="s">
        <v>2389</v>
      </c>
      <c r="C1195" s="351" t="s">
        <v>2390</v>
      </c>
      <c r="D1195" s="10" t="s">
        <v>21</v>
      </c>
      <c r="E1195" s="121"/>
      <c r="F1195" s="10"/>
      <c r="G1195" s="168">
        <v>0</v>
      </c>
      <c r="H1195" s="10">
        <f t="shared" si="54"/>
        <v>0</v>
      </c>
      <c r="I1195" s="3">
        <f t="shared" si="55"/>
        <v>0</v>
      </c>
      <c r="J1195" s="33">
        <f t="shared" si="56"/>
        <v>0</v>
      </c>
      <c r="K1195" s="33"/>
      <c r="L1195" s="33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  <c r="BU1195" s="10"/>
      <c r="BV1195" s="10"/>
    </row>
    <row r="1196" spans="1:74" s="50" customFormat="1" hidden="1">
      <c r="A1196" s="111">
        <v>1192</v>
      </c>
      <c r="B1196" s="10" t="s">
        <v>2391</v>
      </c>
      <c r="C1196" s="351" t="s">
        <v>2392</v>
      </c>
      <c r="D1196" s="10" t="s">
        <v>21</v>
      </c>
      <c r="E1196" s="121"/>
      <c r="F1196" s="10"/>
      <c r="G1196" s="168">
        <v>4</v>
      </c>
      <c r="H1196" s="10">
        <f t="shared" si="54"/>
        <v>0</v>
      </c>
      <c r="I1196" s="3">
        <f t="shared" si="55"/>
        <v>0</v>
      </c>
      <c r="J1196" s="33">
        <f t="shared" si="56"/>
        <v>4</v>
      </c>
      <c r="K1196" s="33"/>
      <c r="L1196" s="33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</row>
    <row r="1197" spans="1:74" s="50" customFormat="1" hidden="1">
      <c r="A1197" s="111">
        <v>1193</v>
      </c>
      <c r="B1197" s="10" t="s">
        <v>2393</v>
      </c>
      <c r="C1197" s="351" t="s">
        <v>2394</v>
      </c>
      <c r="D1197" s="10" t="s">
        <v>21</v>
      </c>
      <c r="E1197" s="121"/>
      <c r="F1197" s="10"/>
      <c r="G1197" s="168">
        <v>0</v>
      </c>
      <c r="H1197" s="10">
        <f t="shared" si="54"/>
        <v>0</v>
      </c>
      <c r="I1197" s="3">
        <f t="shared" si="55"/>
        <v>0</v>
      </c>
      <c r="J1197" s="33">
        <f t="shared" si="56"/>
        <v>0</v>
      </c>
      <c r="K1197" s="33"/>
      <c r="L1197" s="33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</row>
    <row r="1198" spans="1:74" s="50" customFormat="1" hidden="1">
      <c r="A1198" s="111">
        <v>1194</v>
      </c>
      <c r="B1198" s="10" t="s">
        <v>2395</v>
      </c>
      <c r="C1198" s="351" t="s">
        <v>2396</v>
      </c>
      <c r="D1198" s="10" t="s">
        <v>21</v>
      </c>
      <c r="E1198" s="121"/>
      <c r="F1198" s="10"/>
      <c r="G1198" s="168">
        <v>0</v>
      </c>
      <c r="H1198" s="10">
        <f t="shared" si="54"/>
        <v>0</v>
      </c>
      <c r="I1198" s="3">
        <f t="shared" si="55"/>
        <v>0</v>
      </c>
      <c r="J1198" s="33">
        <f t="shared" si="56"/>
        <v>0</v>
      </c>
      <c r="K1198" s="33"/>
      <c r="L1198" s="33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  <c r="BU1198" s="10"/>
      <c r="BV1198" s="10"/>
    </row>
    <row r="1199" spans="1:74" s="50" customFormat="1" hidden="1">
      <c r="A1199" s="111">
        <v>1195</v>
      </c>
      <c r="B1199" s="10" t="s">
        <v>2397</v>
      </c>
      <c r="C1199" s="351" t="s">
        <v>2398</v>
      </c>
      <c r="D1199" s="10" t="s">
        <v>14</v>
      </c>
      <c r="E1199" s="121"/>
      <c r="F1199" s="10"/>
      <c r="G1199" s="168">
        <v>0</v>
      </c>
      <c r="H1199" s="10">
        <f t="shared" si="54"/>
        <v>0</v>
      </c>
      <c r="I1199" s="3">
        <f t="shared" si="55"/>
        <v>0</v>
      </c>
      <c r="J1199" s="33">
        <f t="shared" si="56"/>
        <v>0</v>
      </c>
      <c r="K1199" s="33"/>
      <c r="L1199" s="33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  <c r="BU1199" s="10"/>
      <c r="BV1199" s="10"/>
    </row>
    <row r="1200" spans="1:74" s="50" customFormat="1" ht="30" hidden="1">
      <c r="A1200" s="111">
        <v>1196</v>
      </c>
      <c r="B1200" s="10" t="s">
        <v>2399</v>
      </c>
      <c r="C1200" s="351" t="s">
        <v>2400</v>
      </c>
      <c r="D1200" s="10" t="s">
        <v>14</v>
      </c>
      <c r="E1200" s="121"/>
      <c r="F1200" s="10"/>
      <c r="G1200" s="168">
        <v>0</v>
      </c>
      <c r="H1200" s="10">
        <f t="shared" si="54"/>
        <v>0</v>
      </c>
      <c r="I1200" s="3">
        <f t="shared" si="55"/>
        <v>0</v>
      </c>
      <c r="J1200" s="33">
        <f t="shared" si="56"/>
        <v>0</v>
      </c>
      <c r="K1200" s="33"/>
      <c r="L1200" s="33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  <c r="BU1200" s="10"/>
      <c r="BV1200" s="10"/>
    </row>
    <row r="1201" spans="1:74" hidden="1">
      <c r="A1201" s="109">
        <v>1197</v>
      </c>
      <c r="B1201" s="112" t="s">
        <v>2401</v>
      </c>
      <c r="C1201" s="181" t="s">
        <v>2402</v>
      </c>
      <c r="D1201" s="26" t="s">
        <v>14</v>
      </c>
      <c r="E1201" s="26"/>
      <c r="F1201" s="26"/>
      <c r="G1201" s="33">
        <v>0</v>
      </c>
      <c r="H1201" s="3">
        <f t="shared" si="54"/>
        <v>0</v>
      </c>
      <c r="I1201" s="3">
        <f t="shared" si="55"/>
        <v>0</v>
      </c>
      <c r="J1201" s="33">
        <f t="shared" si="56"/>
        <v>0</v>
      </c>
      <c r="K1201" s="33"/>
      <c r="L1201" s="3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</row>
    <row r="1202" spans="1:74" ht="30" hidden="1">
      <c r="A1202" s="142">
        <v>1198</v>
      </c>
      <c r="B1202" s="256" t="s">
        <v>2403</v>
      </c>
      <c r="C1202" s="290" t="s">
        <v>2404</v>
      </c>
      <c r="D1202" s="256" t="s">
        <v>21</v>
      </c>
      <c r="E1202" s="121"/>
      <c r="F1202" s="121"/>
      <c r="G1202" s="165">
        <v>100</v>
      </c>
      <c r="H1202" s="10">
        <f t="shared" si="54"/>
        <v>0</v>
      </c>
      <c r="I1202" s="3">
        <f t="shared" si="55"/>
        <v>0</v>
      </c>
      <c r="J1202" s="33">
        <f t="shared" si="56"/>
        <v>100</v>
      </c>
      <c r="K1202" s="33"/>
      <c r="L1202" s="3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</row>
    <row r="1203" spans="1:74" hidden="1">
      <c r="A1203" s="142">
        <v>1199</v>
      </c>
      <c r="B1203" s="265" t="s">
        <v>2405</v>
      </c>
      <c r="C1203" s="290" t="s">
        <v>2406</v>
      </c>
      <c r="D1203" s="256" t="s">
        <v>21</v>
      </c>
      <c r="E1203" s="121"/>
      <c r="F1203" s="121"/>
      <c r="G1203" s="165">
        <v>0</v>
      </c>
      <c r="H1203" s="10">
        <f t="shared" si="54"/>
        <v>0</v>
      </c>
      <c r="I1203" s="3">
        <f t="shared" si="55"/>
        <v>0</v>
      </c>
      <c r="J1203" s="33">
        <f t="shared" si="56"/>
        <v>0</v>
      </c>
      <c r="K1203" s="33"/>
      <c r="L1203" s="3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</row>
    <row r="1204" spans="1:74" hidden="1">
      <c r="A1204" s="109">
        <v>1200</v>
      </c>
      <c r="B1204" s="121" t="s">
        <v>2407</v>
      </c>
      <c r="C1204" s="135" t="s">
        <v>2408</v>
      </c>
      <c r="D1204" s="121" t="s">
        <v>14</v>
      </c>
      <c r="E1204" s="121"/>
      <c r="F1204" s="121"/>
      <c r="G1204" s="165">
        <v>0</v>
      </c>
      <c r="H1204" s="10">
        <f t="shared" si="54"/>
        <v>0</v>
      </c>
      <c r="I1204" s="3">
        <f t="shared" si="55"/>
        <v>0</v>
      </c>
      <c r="J1204" s="33">
        <f t="shared" si="56"/>
        <v>0</v>
      </c>
      <c r="K1204" s="33"/>
      <c r="L1204" s="3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</row>
    <row r="1205" spans="1:74" ht="30" hidden="1">
      <c r="A1205" s="109">
        <v>1201</v>
      </c>
      <c r="B1205" s="121" t="s">
        <v>2409</v>
      </c>
      <c r="C1205" s="135" t="s">
        <v>2410</v>
      </c>
      <c r="D1205" s="121" t="s">
        <v>14</v>
      </c>
      <c r="E1205" s="121"/>
      <c r="F1205" s="121"/>
      <c r="G1205" s="165">
        <v>48</v>
      </c>
      <c r="H1205" s="10">
        <f t="shared" si="54"/>
        <v>0</v>
      </c>
      <c r="I1205" s="3">
        <f t="shared" si="55"/>
        <v>0</v>
      </c>
      <c r="J1205" s="33">
        <f t="shared" si="56"/>
        <v>48</v>
      </c>
      <c r="K1205" s="33"/>
      <c r="L1205" s="3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</row>
    <row r="1206" spans="1:74" ht="30" hidden="1">
      <c r="A1206" s="109">
        <v>1202</v>
      </c>
      <c r="B1206" s="121" t="s">
        <v>2411</v>
      </c>
      <c r="C1206" s="135" t="s">
        <v>2412</v>
      </c>
      <c r="D1206" s="121" t="s">
        <v>14</v>
      </c>
      <c r="E1206" s="121"/>
      <c r="F1206" s="121"/>
      <c r="G1206" s="165">
        <v>67</v>
      </c>
      <c r="H1206" s="10">
        <f t="shared" si="54"/>
        <v>0</v>
      </c>
      <c r="I1206" s="3">
        <f t="shared" si="55"/>
        <v>0</v>
      </c>
      <c r="J1206" s="33">
        <f t="shared" si="56"/>
        <v>67</v>
      </c>
      <c r="K1206" s="33"/>
      <c r="L1206" s="3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</row>
    <row r="1207" spans="1:74" ht="30" hidden="1">
      <c r="A1207" s="109">
        <v>1203</v>
      </c>
      <c r="B1207" s="121" t="s">
        <v>2413</v>
      </c>
      <c r="C1207" s="135" t="s">
        <v>2414</v>
      </c>
      <c r="D1207" s="121" t="s">
        <v>14</v>
      </c>
      <c r="E1207" s="121"/>
      <c r="F1207" s="121"/>
      <c r="G1207" s="165">
        <v>70</v>
      </c>
      <c r="H1207" s="10">
        <f t="shared" ref="H1207:H1270" si="57">SUM(M1207+O1207+Q1207+S1207+U1207+W1207+Y1207+AA1207+AC1207+AE1207+AG1207+AI1207+AK1207+AM1207+AO1207+AQ1207+AS1207+AU1207+AW1207+AY1207+BA1207+BC1207+BE1207+BG1207+BI1207+BK1207+BM1207+BO1207+BQ1207+BS1207+BU1207)</f>
        <v>0</v>
      </c>
      <c r="I1207" s="3">
        <f t="shared" ref="I1207:I1270" si="58">SUM(N1207+P1207+R1207+T1207+V1207+X1207+Z1207+AB1207+AD1207+AF1207+AH1207+AJ1207+AL1207+AN1207+AP1207+AR1207+AT1207+AV1207+AX1207+AZ1207+BB1207+BD1207+BF1207+BH1207+BJ1207+BL1207+BN1207+BP1207+BR1207+BT1207+BV1207)</f>
        <v>0</v>
      </c>
      <c r="J1207" s="33">
        <f t="shared" ref="J1207:J1270" si="59">G1207+H1207-I1207</f>
        <v>70</v>
      </c>
      <c r="K1207" s="33"/>
      <c r="L1207" s="3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</row>
    <row r="1208" spans="1:74" ht="30" hidden="1">
      <c r="A1208" s="109">
        <v>1204</v>
      </c>
      <c r="B1208" s="121" t="s">
        <v>2415</v>
      </c>
      <c r="C1208" s="135" t="s">
        <v>2416</v>
      </c>
      <c r="D1208" s="121" t="s">
        <v>14</v>
      </c>
      <c r="E1208" s="121"/>
      <c r="F1208" s="121"/>
      <c r="G1208" s="165">
        <v>51</v>
      </c>
      <c r="H1208" s="10">
        <f t="shared" si="57"/>
        <v>0</v>
      </c>
      <c r="I1208" s="3">
        <f t="shared" si="58"/>
        <v>0</v>
      </c>
      <c r="J1208" s="33">
        <f t="shared" si="59"/>
        <v>51</v>
      </c>
      <c r="K1208" s="33"/>
      <c r="L1208" s="3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</row>
    <row r="1209" spans="1:74" hidden="1">
      <c r="A1209" s="109">
        <v>1205</v>
      </c>
      <c r="B1209" s="121" t="s">
        <v>2417</v>
      </c>
      <c r="C1209" s="135" t="s">
        <v>2418</v>
      </c>
      <c r="D1209" s="121" t="s">
        <v>21</v>
      </c>
      <c r="E1209" s="121"/>
      <c r="F1209" s="121"/>
      <c r="G1209" s="165">
        <v>39</v>
      </c>
      <c r="H1209" s="10">
        <f t="shared" si="57"/>
        <v>0</v>
      </c>
      <c r="I1209" s="3">
        <f t="shared" si="58"/>
        <v>0</v>
      </c>
      <c r="J1209" s="33">
        <f t="shared" si="59"/>
        <v>39</v>
      </c>
      <c r="K1209" s="33"/>
      <c r="L1209" s="3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</row>
    <row r="1210" spans="1:74" hidden="1">
      <c r="A1210" s="109">
        <v>1206</v>
      </c>
      <c r="B1210" s="121" t="s">
        <v>2419</v>
      </c>
      <c r="C1210" s="135" t="s">
        <v>2420</v>
      </c>
      <c r="D1210" s="121" t="s">
        <v>21</v>
      </c>
      <c r="E1210" s="121"/>
      <c r="F1210" s="121"/>
      <c r="G1210" s="165">
        <v>2</v>
      </c>
      <c r="H1210" s="10">
        <f t="shared" si="57"/>
        <v>0</v>
      </c>
      <c r="I1210" s="3">
        <f t="shared" si="58"/>
        <v>0</v>
      </c>
      <c r="J1210" s="33">
        <f t="shared" si="59"/>
        <v>2</v>
      </c>
      <c r="K1210" s="33"/>
      <c r="L1210" s="3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</row>
    <row r="1211" spans="1:74" hidden="1">
      <c r="A1211" s="109">
        <v>1207</v>
      </c>
      <c r="B1211" s="121" t="s">
        <v>2421</v>
      </c>
      <c r="C1211" s="135" t="s">
        <v>2422</v>
      </c>
      <c r="D1211" s="121" t="s">
        <v>21</v>
      </c>
      <c r="E1211" s="121"/>
      <c r="F1211" s="121"/>
      <c r="G1211" s="165">
        <v>6</v>
      </c>
      <c r="H1211" s="10">
        <f t="shared" si="57"/>
        <v>0</v>
      </c>
      <c r="I1211" s="3">
        <f t="shared" si="58"/>
        <v>0</v>
      </c>
      <c r="J1211" s="33">
        <f t="shared" si="59"/>
        <v>6</v>
      </c>
      <c r="K1211" s="33"/>
      <c r="L1211" s="3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</row>
    <row r="1212" spans="1:74" hidden="1">
      <c r="A1212" s="109">
        <v>1208</v>
      </c>
      <c r="B1212" s="121" t="s">
        <v>2423</v>
      </c>
      <c r="C1212" s="135" t="s">
        <v>2424</v>
      </c>
      <c r="D1212" s="121" t="s">
        <v>14</v>
      </c>
      <c r="E1212" s="121"/>
      <c r="F1212" s="121"/>
      <c r="G1212" s="165">
        <v>1</v>
      </c>
      <c r="H1212" s="10">
        <f t="shared" si="57"/>
        <v>0</v>
      </c>
      <c r="I1212" s="3">
        <f t="shared" si="58"/>
        <v>0</v>
      </c>
      <c r="J1212" s="33">
        <f t="shared" si="59"/>
        <v>1</v>
      </c>
      <c r="K1212" s="33"/>
      <c r="L1212" s="3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</row>
    <row r="1213" spans="1:74" hidden="1">
      <c r="A1213" s="109">
        <v>1209</v>
      </c>
      <c r="B1213" s="121" t="s">
        <v>2425</v>
      </c>
      <c r="C1213" s="135" t="s">
        <v>2426</v>
      </c>
      <c r="D1213" s="121" t="s">
        <v>21</v>
      </c>
      <c r="E1213" s="121"/>
      <c r="F1213" s="121"/>
      <c r="G1213" s="165">
        <v>0</v>
      </c>
      <c r="H1213" s="10">
        <f t="shared" si="57"/>
        <v>0</v>
      </c>
      <c r="I1213" s="3">
        <f t="shared" si="58"/>
        <v>0</v>
      </c>
      <c r="J1213" s="33">
        <f t="shared" si="59"/>
        <v>0</v>
      </c>
      <c r="K1213" s="33"/>
      <c r="L1213" s="3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</row>
    <row r="1214" spans="1:74" hidden="1">
      <c r="A1214" s="109">
        <v>1210</v>
      </c>
      <c r="B1214" s="121" t="s">
        <v>2427</v>
      </c>
      <c r="C1214" s="135" t="s">
        <v>2428</v>
      </c>
      <c r="D1214" s="121" t="s">
        <v>14</v>
      </c>
      <c r="E1214" s="121"/>
      <c r="F1214" s="121"/>
      <c r="G1214" s="165">
        <v>1</v>
      </c>
      <c r="H1214" s="10">
        <f t="shared" si="57"/>
        <v>0</v>
      </c>
      <c r="I1214" s="3">
        <f t="shared" si="58"/>
        <v>0</v>
      </c>
      <c r="J1214" s="33">
        <f t="shared" si="59"/>
        <v>1</v>
      </c>
      <c r="K1214" s="33"/>
      <c r="L1214" s="3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</row>
    <row r="1215" spans="1:74" hidden="1">
      <c r="A1215" s="109">
        <v>1211</v>
      </c>
      <c r="B1215" s="121" t="s">
        <v>2429</v>
      </c>
      <c r="C1215" s="135" t="s">
        <v>2430</v>
      </c>
      <c r="D1215" s="121" t="s">
        <v>14</v>
      </c>
      <c r="E1215" s="121"/>
      <c r="F1215" s="121"/>
      <c r="G1215" s="165">
        <v>1</v>
      </c>
      <c r="H1215" s="10">
        <f t="shared" si="57"/>
        <v>0</v>
      </c>
      <c r="I1215" s="3">
        <f t="shared" si="58"/>
        <v>0</v>
      </c>
      <c r="J1215" s="33">
        <f t="shared" si="59"/>
        <v>1</v>
      </c>
      <c r="K1215" s="33"/>
      <c r="L1215" s="3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</row>
    <row r="1216" spans="1:74" hidden="1">
      <c r="A1216" s="109">
        <v>1212</v>
      </c>
      <c r="B1216" s="121" t="s">
        <v>2431</v>
      </c>
      <c r="C1216" s="135" t="s">
        <v>2432</v>
      </c>
      <c r="D1216" s="121" t="s">
        <v>14</v>
      </c>
      <c r="E1216" s="121"/>
      <c r="F1216" s="121"/>
      <c r="G1216" s="165">
        <v>2</v>
      </c>
      <c r="H1216" s="10">
        <f t="shared" si="57"/>
        <v>0</v>
      </c>
      <c r="I1216" s="3">
        <f t="shared" si="58"/>
        <v>0</v>
      </c>
      <c r="J1216" s="33">
        <f t="shared" si="59"/>
        <v>2</v>
      </c>
      <c r="K1216" s="33"/>
      <c r="L1216" s="3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</row>
    <row r="1217" spans="1:74" hidden="1">
      <c r="A1217" s="109">
        <v>1213</v>
      </c>
      <c r="B1217" s="121" t="s">
        <v>2433</v>
      </c>
      <c r="C1217" s="135" t="s">
        <v>2434</v>
      </c>
      <c r="D1217" s="121" t="s">
        <v>14</v>
      </c>
      <c r="E1217" s="121"/>
      <c r="F1217" s="121"/>
      <c r="G1217" s="165">
        <v>1</v>
      </c>
      <c r="H1217" s="10">
        <f t="shared" si="57"/>
        <v>0</v>
      </c>
      <c r="I1217" s="3">
        <f t="shared" si="58"/>
        <v>0</v>
      </c>
      <c r="J1217" s="33">
        <f t="shared" si="59"/>
        <v>1</v>
      </c>
      <c r="K1217" s="33"/>
      <c r="L1217" s="3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</row>
    <row r="1218" spans="1:74" hidden="1">
      <c r="A1218" s="109">
        <v>1214</v>
      </c>
      <c r="B1218" s="121" t="s">
        <v>2435</v>
      </c>
      <c r="C1218" s="135" t="s">
        <v>2436</v>
      </c>
      <c r="D1218" s="121" t="s">
        <v>21</v>
      </c>
      <c r="E1218" s="121"/>
      <c r="F1218" s="121"/>
      <c r="G1218" s="165">
        <v>2</v>
      </c>
      <c r="H1218" s="10">
        <f t="shared" si="57"/>
        <v>0</v>
      </c>
      <c r="I1218" s="3">
        <f t="shared" si="58"/>
        <v>0</v>
      </c>
      <c r="J1218" s="33">
        <f t="shared" si="59"/>
        <v>2</v>
      </c>
      <c r="K1218" s="33"/>
      <c r="L1218" s="3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</row>
    <row r="1219" spans="1:74" hidden="1">
      <c r="A1219" s="109">
        <v>1215</v>
      </c>
      <c r="B1219" s="121" t="s">
        <v>2437</v>
      </c>
      <c r="C1219" s="135" t="s">
        <v>2438</v>
      </c>
      <c r="D1219" s="121" t="s">
        <v>21</v>
      </c>
      <c r="E1219" s="121"/>
      <c r="F1219" s="121"/>
      <c r="G1219" s="165">
        <v>6</v>
      </c>
      <c r="H1219" s="10">
        <f t="shared" si="57"/>
        <v>0</v>
      </c>
      <c r="I1219" s="3">
        <f t="shared" si="58"/>
        <v>0</v>
      </c>
      <c r="J1219" s="33">
        <f t="shared" si="59"/>
        <v>6</v>
      </c>
      <c r="K1219" s="33"/>
      <c r="L1219" s="3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</row>
    <row r="1220" spans="1:74" hidden="1">
      <c r="A1220" s="109">
        <v>1216</v>
      </c>
      <c r="B1220" s="121" t="s">
        <v>2439</v>
      </c>
      <c r="C1220" s="135" t="s">
        <v>2440</v>
      </c>
      <c r="D1220" s="121" t="s">
        <v>21</v>
      </c>
      <c r="E1220" s="121"/>
      <c r="F1220" s="121"/>
      <c r="G1220" s="165">
        <v>1</v>
      </c>
      <c r="H1220" s="10">
        <f t="shared" si="57"/>
        <v>0</v>
      </c>
      <c r="I1220" s="3">
        <f t="shared" si="58"/>
        <v>0</v>
      </c>
      <c r="J1220" s="33">
        <f t="shared" si="59"/>
        <v>1</v>
      </c>
      <c r="K1220" s="33"/>
      <c r="L1220" s="3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</row>
    <row r="1221" spans="1:74" ht="30" hidden="1">
      <c r="A1221" s="109">
        <v>1217</v>
      </c>
      <c r="B1221" s="121" t="s">
        <v>2441</v>
      </c>
      <c r="C1221" s="135" t="s">
        <v>2442</v>
      </c>
      <c r="D1221" s="121" t="s">
        <v>14</v>
      </c>
      <c r="E1221" s="121"/>
      <c r="F1221" s="121"/>
      <c r="G1221" s="165">
        <v>2</v>
      </c>
      <c r="H1221" s="10">
        <f t="shared" si="57"/>
        <v>0</v>
      </c>
      <c r="I1221" s="3">
        <f t="shared" si="58"/>
        <v>0</v>
      </c>
      <c r="J1221" s="33">
        <f t="shared" si="59"/>
        <v>2</v>
      </c>
      <c r="K1221" s="33"/>
      <c r="L1221" s="3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</row>
    <row r="1222" spans="1:74" hidden="1">
      <c r="A1222" s="109">
        <v>1218</v>
      </c>
      <c r="B1222" s="121" t="s">
        <v>2443</v>
      </c>
      <c r="C1222" s="135" t="s">
        <v>2444</v>
      </c>
      <c r="D1222" s="121" t="s">
        <v>21</v>
      </c>
      <c r="E1222" s="121"/>
      <c r="F1222" s="121"/>
      <c r="G1222" s="165">
        <v>1</v>
      </c>
      <c r="H1222" s="10">
        <f t="shared" si="57"/>
        <v>0</v>
      </c>
      <c r="I1222" s="3">
        <f t="shared" si="58"/>
        <v>0</v>
      </c>
      <c r="J1222" s="33">
        <f t="shared" si="59"/>
        <v>1</v>
      </c>
      <c r="K1222" s="33"/>
      <c r="L1222" s="3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</row>
    <row r="1223" spans="1:74" hidden="1">
      <c r="A1223" s="109">
        <v>1219</v>
      </c>
      <c r="B1223" s="121" t="s">
        <v>2445</v>
      </c>
      <c r="C1223" s="135" t="s">
        <v>2446</v>
      </c>
      <c r="D1223" s="121" t="s">
        <v>21</v>
      </c>
      <c r="E1223" s="121"/>
      <c r="F1223" s="121"/>
      <c r="G1223" s="165">
        <v>2</v>
      </c>
      <c r="H1223" s="10">
        <f t="shared" si="57"/>
        <v>0</v>
      </c>
      <c r="I1223" s="3">
        <f t="shared" si="58"/>
        <v>0</v>
      </c>
      <c r="J1223" s="33">
        <f t="shared" si="59"/>
        <v>2</v>
      </c>
      <c r="K1223" s="33"/>
      <c r="L1223" s="3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</row>
    <row r="1224" spans="1:74" hidden="1">
      <c r="A1224" s="109">
        <v>1220</v>
      </c>
      <c r="B1224" s="121" t="s">
        <v>2447</v>
      </c>
      <c r="C1224" s="135" t="s">
        <v>2448</v>
      </c>
      <c r="D1224" s="121" t="s">
        <v>14</v>
      </c>
      <c r="E1224" s="121"/>
      <c r="F1224" s="121"/>
      <c r="G1224" s="165">
        <v>2</v>
      </c>
      <c r="H1224" s="10">
        <f t="shared" si="57"/>
        <v>0</v>
      </c>
      <c r="I1224" s="3">
        <f t="shared" si="58"/>
        <v>0</v>
      </c>
      <c r="J1224" s="33">
        <f t="shared" si="59"/>
        <v>2</v>
      </c>
      <c r="K1224" s="33"/>
      <c r="L1224" s="3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</row>
    <row r="1225" spans="1:74" hidden="1">
      <c r="A1225" s="109">
        <v>1221</v>
      </c>
      <c r="B1225" s="121" t="s">
        <v>2449</v>
      </c>
      <c r="C1225" s="135" t="s">
        <v>2450</v>
      </c>
      <c r="D1225" s="121" t="s">
        <v>14</v>
      </c>
      <c r="E1225" s="121"/>
      <c r="F1225" s="121"/>
      <c r="G1225" s="165">
        <v>2</v>
      </c>
      <c r="H1225" s="10">
        <f t="shared" si="57"/>
        <v>0</v>
      </c>
      <c r="I1225" s="3">
        <f t="shared" si="58"/>
        <v>0</v>
      </c>
      <c r="J1225" s="33">
        <f t="shared" si="59"/>
        <v>2</v>
      </c>
      <c r="K1225" s="33"/>
      <c r="L1225" s="3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</row>
    <row r="1226" spans="1:74" hidden="1">
      <c r="A1226" s="109">
        <v>1222</v>
      </c>
      <c r="B1226" s="121" t="s">
        <v>2451</v>
      </c>
      <c r="C1226" s="135" t="s">
        <v>2452</v>
      </c>
      <c r="D1226" s="121" t="s">
        <v>14</v>
      </c>
      <c r="E1226" s="121"/>
      <c r="F1226" s="121"/>
      <c r="G1226" s="165">
        <v>1</v>
      </c>
      <c r="H1226" s="10">
        <f t="shared" si="57"/>
        <v>0</v>
      </c>
      <c r="I1226" s="3">
        <f t="shared" si="58"/>
        <v>0</v>
      </c>
      <c r="J1226" s="33">
        <f t="shared" si="59"/>
        <v>1</v>
      </c>
      <c r="K1226" s="33"/>
      <c r="L1226" s="3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  <c r="BR1226" s="13"/>
      <c r="BS1226" s="13"/>
      <c r="BT1226" s="13"/>
      <c r="BU1226" s="13"/>
      <c r="BV1226" s="13"/>
    </row>
    <row r="1227" spans="1:74" hidden="1">
      <c r="A1227" s="109">
        <v>1223</v>
      </c>
      <c r="B1227" s="121" t="s">
        <v>2453</v>
      </c>
      <c r="C1227" s="135" t="s">
        <v>2454</v>
      </c>
      <c r="D1227" s="121" t="s">
        <v>14</v>
      </c>
      <c r="E1227" s="121"/>
      <c r="F1227" s="121"/>
      <c r="G1227" s="165">
        <v>1</v>
      </c>
      <c r="H1227" s="10">
        <f t="shared" si="57"/>
        <v>0</v>
      </c>
      <c r="I1227" s="3">
        <f t="shared" si="58"/>
        <v>0</v>
      </c>
      <c r="J1227" s="33">
        <f t="shared" si="59"/>
        <v>1</v>
      </c>
      <c r="K1227" s="33"/>
      <c r="L1227" s="3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</row>
    <row r="1228" spans="1:74" ht="30" hidden="1">
      <c r="A1228" s="109">
        <v>1224</v>
      </c>
      <c r="B1228" s="121" t="s">
        <v>2455</v>
      </c>
      <c r="C1228" s="135" t="s">
        <v>2456</v>
      </c>
      <c r="D1228" s="121" t="s">
        <v>14</v>
      </c>
      <c r="E1228" s="121"/>
      <c r="F1228" s="121"/>
      <c r="G1228" s="165">
        <v>2</v>
      </c>
      <c r="H1228" s="10">
        <f t="shared" si="57"/>
        <v>0</v>
      </c>
      <c r="I1228" s="3">
        <f t="shared" si="58"/>
        <v>0</v>
      </c>
      <c r="J1228" s="33">
        <f t="shared" si="59"/>
        <v>2</v>
      </c>
      <c r="K1228" s="33"/>
      <c r="L1228" s="3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</row>
    <row r="1229" spans="1:74" hidden="1">
      <c r="A1229" s="109">
        <v>1225</v>
      </c>
      <c r="B1229" s="121" t="s">
        <v>2457</v>
      </c>
      <c r="C1229" s="135" t="s">
        <v>2458</v>
      </c>
      <c r="D1229" s="121" t="s">
        <v>21</v>
      </c>
      <c r="E1229" s="121"/>
      <c r="F1229" s="121"/>
      <c r="G1229" s="165">
        <v>0</v>
      </c>
      <c r="H1229" s="10">
        <f t="shared" si="57"/>
        <v>0</v>
      </c>
      <c r="I1229" s="3">
        <f t="shared" si="58"/>
        <v>0</v>
      </c>
      <c r="J1229" s="33">
        <f t="shared" si="59"/>
        <v>0</v>
      </c>
      <c r="K1229" s="33"/>
      <c r="L1229" s="3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</row>
    <row r="1230" spans="1:74" hidden="1">
      <c r="A1230" s="109">
        <v>1226</v>
      </c>
      <c r="B1230" s="121" t="s">
        <v>2459</v>
      </c>
      <c r="C1230" s="135" t="s">
        <v>2460</v>
      </c>
      <c r="D1230" s="121" t="s">
        <v>21</v>
      </c>
      <c r="E1230" s="121"/>
      <c r="F1230" s="121"/>
      <c r="G1230" s="165">
        <v>0</v>
      </c>
      <c r="H1230" s="10">
        <f t="shared" si="57"/>
        <v>0</v>
      </c>
      <c r="I1230" s="3">
        <f t="shared" si="58"/>
        <v>0</v>
      </c>
      <c r="J1230" s="33">
        <f t="shared" si="59"/>
        <v>0</v>
      </c>
      <c r="K1230" s="33"/>
      <c r="L1230" s="3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</row>
    <row r="1231" spans="1:74" hidden="1">
      <c r="A1231" s="109">
        <v>1227</v>
      </c>
      <c r="B1231" s="121" t="s">
        <v>2461</v>
      </c>
      <c r="C1231" s="135" t="s">
        <v>2462</v>
      </c>
      <c r="D1231" s="121" t="s">
        <v>14</v>
      </c>
      <c r="E1231" s="121"/>
      <c r="F1231" s="121"/>
      <c r="G1231" s="165">
        <v>1</v>
      </c>
      <c r="H1231" s="10">
        <f t="shared" si="57"/>
        <v>0</v>
      </c>
      <c r="I1231" s="3">
        <f t="shared" si="58"/>
        <v>0</v>
      </c>
      <c r="J1231" s="33">
        <f t="shared" si="59"/>
        <v>1</v>
      </c>
      <c r="K1231" s="33"/>
      <c r="L1231" s="3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</row>
    <row r="1232" spans="1:74" hidden="1">
      <c r="A1232" s="109">
        <v>1228</v>
      </c>
      <c r="B1232" s="121" t="s">
        <v>2463</v>
      </c>
      <c r="C1232" s="135" t="s">
        <v>2464</v>
      </c>
      <c r="D1232" s="121" t="s">
        <v>14</v>
      </c>
      <c r="E1232" s="121"/>
      <c r="F1232" s="121"/>
      <c r="G1232" s="165">
        <v>1</v>
      </c>
      <c r="H1232" s="10">
        <f t="shared" si="57"/>
        <v>0</v>
      </c>
      <c r="I1232" s="3">
        <f t="shared" si="58"/>
        <v>0</v>
      </c>
      <c r="J1232" s="33">
        <f t="shared" si="59"/>
        <v>1</v>
      </c>
      <c r="K1232" s="33"/>
      <c r="L1232" s="3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</row>
    <row r="1233" spans="1:74" hidden="1">
      <c r="A1233" s="109">
        <v>1229</v>
      </c>
      <c r="B1233" s="121" t="s">
        <v>2465</v>
      </c>
      <c r="C1233" s="135" t="s">
        <v>2466</v>
      </c>
      <c r="D1233" s="121" t="s">
        <v>14</v>
      </c>
      <c r="E1233" s="121"/>
      <c r="F1233" s="121"/>
      <c r="G1233" s="165">
        <v>1</v>
      </c>
      <c r="H1233" s="10">
        <f t="shared" si="57"/>
        <v>0</v>
      </c>
      <c r="I1233" s="3">
        <f t="shared" si="58"/>
        <v>0</v>
      </c>
      <c r="J1233" s="33">
        <f t="shared" si="59"/>
        <v>1</v>
      </c>
      <c r="K1233" s="33"/>
      <c r="L1233" s="3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</row>
    <row r="1234" spans="1:74" hidden="1">
      <c r="A1234" s="109">
        <v>1230</v>
      </c>
      <c r="B1234" s="121" t="s">
        <v>2467</v>
      </c>
      <c r="C1234" s="135" t="s">
        <v>2468</v>
      </c>
      <c r="D1234" s="121" t="s">
        <v>14</v>
      </c>
      <c r="E1234" s="121"/>
      <c r="F1234" s="121"/>
      <c r="G1234" s="165">
        <v>0</v>
      </c>
      <c r="H1234" s="10">
        <f t="shared" si="57"/>
        <v>0</v>
      </c>
      <c r="I1234" s="3">
        <f t="shared" si="58"/>
        <v>0</v>
      </c>
      <c r="J1234" s="33">
        <f t="shared" si="59"/>
        <v>0</v>
      </c>
      <c r="K1234" s="33"/>
      <c r="L1234" s="3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</row>
    <row r="1235" spans="1:74" hidden="1">
      <c r="A1235" s="109">
        <v>1231</v>
      </c>
      <c r="B1235" s="121" t="s">
        <v>2469</v>
      </c>
      <c r="C1235" s="135" t="s">
        <v>2470</v>
      </c>
      <c r="D1235" s="121" t="s">
        <v>14</v>
      </c>
      <c r="E1235" s="121"/>
      <c r="F1235" s="121"/>
      <c r="G1235" s="165">
        <v>2</v>
      </c>
      <c r="H1235" s="10">
        <f t="shared" si="57"/>
        <v>0</v>
      </c>
      <c r="I1235" s="3">
        <f t="shared" si="58"/>
        <v>0</v>
      </c>
      <c r="J1235" s="33">
        <f t="shared" si="59"/>
        <v>2</v>
      </c>
      <c r="K1235" s="33"/>
      <c r="L1235" s="3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</row>
    <row r="1236" spans="1:74" hidden="1">
      <c r="A1236" s="109">
        <v>1232</v>
      </c>
      <c r="B1236" s="121" t="s">
        <v>2471</v>
      </c>
      <c r="C1236" s="135" t="s">
        <v>2472</v>
      </c>
      <c r="D1236" s="121" t="s">
        <v>14</v>
      </c>
      <c r="E1236" s="121"/>
      <c r="F1236" s="121"/>
      <c r="G1236" s="165">
        <v>1</v>
      </c>
      <c r="H1236" s="10">
        <f t="shared" si="57"/>
        <v>0</v>
      </c>
      <c r="I1236" s="3">
        <f t="shared" si="58"/>
        <v>0</v>
      </c>
      <c r="J1236" s="33">
        <f t="shared" si="59"/>
        <v>1</v>
      </c>
      <c r="K1236" s="33"/>
      <c r="L1236" s="3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</row>
    <row r="1237" spans="1:74" hidden="1">
      <c r="A1237" s="109">
        <v>1233</v>
      </c>
      <c r="B1237" s="121" t="s">
        <v>2473</v>
      </c>
      <c r="C1237" s="135" t="s">
        <v>2474</v>
      </c>
      <c r="D1237" s="121" t="s">
        <v>14</v>
      </c>
      <c r="E1237" s="121"/>
      <c r="F1237" s="121"/>
      <c r="G1237" s="165">
        <v>1</v>
      </c>
      <c r="H1237" s="10">
        <f t="shared" si="57"/>
        <v>0</v>
      </c>
      <c r="I1237" s="3">
        <f t="shared" si="58"/>
        <v>0</v>
      </c>
      <c r="J1237" s="33">
        <f t="shared" si="59"/>
        <v>1</v>
      </c>
      <c r="K1237" s="33"/>
      <c r="L1237" s="3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</row>
    <row r="1238" spans="1:74" hidden="1">
      <c r="A1238" s="109">
        <v>1234</v>
      </c>
      <c r="B1238" s="121" t="s">
        <v>2475</v>
      </c>
      <c r="C1238" s="135" t="s">
        <v>2476</v>
      </c>
      <c r="D1238" s="121" t="s">
        <v>14</v>
      </c>
      <c r="E1238" s="121"/>
      <c r="F1238" s="121"/>
      <c r="G1238" s="165">
        <v>2</v>
      </c>
      <c r="H1238" s="10">
        <f t="shared" si="57"/>
        <v>0</v>
      </c>
      <c r="I1238" s="3">
        <f t="shared" si="58"/>
        <v>0</v>
      </c>
      <c r="J1238" s="33">
        <f t="shared" si="59"/>
        <v>2</v>
      </c>
      <c r="K1238" s="33"/>
      <c r="L1238" s="3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</row>
    <row r="1239" spans="1:74" hidden="1">
      <c r="A1239" s="109">
        <v>1235</v>
      </c>
      <c r="B1239" s="121" t="s">
        <v>2477</v>
      </c>
      <c r="C1239" s="135" t="s">
        <v>2478</v>
      </c>
      <c r="D1239" s="121" t="s">
        <v>21</v>
      </c>
      <c r="E1239" s="121"/>
      <c r="F1239" s="121"/>
      <c r="G1239" s="165">
        <v>2</v>
      </c>
      <c r="H1239" s="10">
        <f t="shared" si="57"/>
        <v>0</v>
      </c>
      <c r="I1239" s="3">
        <f t="shared" si="58"/>
        <v>0</v>
      </c>
      <c r="J1239" s="33">
        <f t="shared" si="59"/>
        <v>2</v>
      </c>
      <c r="K1239" s="33"/>
      <c r="L1239" s="3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</row>
    <row r="1240" spans="1:74" hidden="1">
      <c r="A1240" s="109">
        <v>1236</v>
      </c>
      <c r="B1240" s="121" t="s">
        <v>2479</v>
      </c>
      <c r="C1240" s="135" t="s">
        <v>2480</v>
      </c>
      <c r="D1240" s="121" t="s">
        <v>21</v>
      </c>
      <c r="E1240" s="121"/>
      <c r="F1240" s="121"/>
      <c r="G1240" s="165">
        <v>1</v>
      </c>
      <c r="H1240" s="10">
        <f t="shared" si="57"/>
        <v>0</v>
      </c>
      <c r="I1240" s="3">
        <f t="shared" si="58"/>
        <v>0</v>
      </c>
      <c r="J1240" s="33">
        <f t="shared" si="59"/>
        <v>1</v>
      </c>
      <c r="K1240" s="33"/>
      <c r="L1240" s="3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</row>
    <row r="1241" spans="1:74" hidden="1">
      <c r="A1241" s="109">
        <v>1237</v>
      </c>
      <c r="B1241" s="121" t="s">
        <v>2481</v>
      </c>
      <c r="C1241" s="135" t="s">
        <v>2482</v>
      </c>
      <c r="D1241" s="121" t="s">
        <v>14</v>
      </c>
      <c r="E1241" s="121"/>
      <c r="F1241" s="121"/>
      <c r="G1241" s="165">
        <v>0</v>
      </c>
      <c r="H1241" s="10">
        <f t="shared" si="57"/>
        <v>0</v>
      </c>
      <c r="I1241" s="3">
        <f t="shared" si="58"/>
        <v>0</v>
      </c>
      <c r="J1241" s="33">
        <f t="shared" si="59"/>
        <v>0</v>
      </c>
      <c r="K1241" s="33"/>
      <c r="L1241" s="3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</row>
    <row r="1242" spans="1:74" hidden="1">
      <c r="A1242" s="109">
        <v>1238</v>
      </c>
      <c r="B1242" s="121" t="s">
        <v>2483</v>
      </c>
      <c r="C1242" s="135" t="s">
        <v>2484</v>
      </c>
      <c r="D1242" s="121" t="s">
        <v>14</v>
      </c>
      <c r="E1242" s="121"/>
      <c r="F1242" s="121"/>
      <c r="G1242" s="165">
        <v>0</v>
      </c>
      <c r="H1242" s="10">
        <f t="shared" si="57"/>
        <v>0</v>
      </c>
      <c r="I1242" s="3">
        <f t="shared" si="58"/>
        <v>0</v>
      </c>
      <c r="J1242" s="33">
        <f t="shared" si="59"/>
        <v>0</v>
      </c>
      <c r="K1242" s="33"/>
      <c r="L1242" s="3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</row>
    <row r="1243" spans="1:74" hidden="1">
      <c r="A1243" s="109">
        <v>1239</v>
      </c>
      <c r="B1243" s="121" t="s">
        <v>2485</v>
      </c>
      <c r="C1243" s="135" t="s">
        <v>2486</v>
      </c>
      <c r="D1243" s="121" t="s">
        <v>14</v>
      </c>
      <c r="E1243" s="121"/>
      <c r="F1243" s="121"/>
      <c r="G1243" s="165">
        <v>1</v>
      </c>
      <c r="H1243" s="10">
        <f t="shared" si="57"/>
        <v>0</v>
      </c>
      <c r="I1243" s="3">
        <f t="shared" si="58"/>
        <v>0</v>
      </c>
      <c r="J1243" s="33">
        <f t="shared" si="59"/>
        <v>1</v>
      </c>
      <c r="K1243" s="33"/>
      <c r="L1243" s="3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</row>
    <row r="1244" spans="1:74" hidden="1">
      <c r="A1244" s="109">
        <v>1240</v>
      </c>
      <c r="B1244" s="121" t="s">
        <v>2487</v>
      </c>
      <c r="C1244" s="135" t="s">
        <v>2488</v>
      </c>
      <c r="D1244" s="121" t="s">
        <v>14</v>
      </c>
      <c r="E1244" s="121"/>
      <c r="F1244" s="121"/>
      <c r="G1244" s="165">
        <v>1</v>
      </c>
      <c r="H1244" s="10">
        <f t="shared" si="57"/>
        <v>0</v>
      </c>
      <c r="I1244" s="3">
        <f t="shared" si="58"/>
        <v>0</v>
      </c>
      <c r="J1244" s="33">
        <f t="shared" si="59"/>
        <v>1</v>
      </c>
      <c r="K1244" s="33"/>
      <c r="L1244" s="3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</row>
    <row r="1245" spans="1:74" hidden="1">
      <c r="A1245" s="109">
        <v>1241</v>
      </c>
      <c r="B1245" s="121" t="s">
        <v>2489</v>
      </c>
      <c r="C1245" s="135" t="s">
        <v>2490</v>
      </c>
      <c r="D1245" s="121" t="s">
        <v>14</v>
      </c>
      <c r="E1245" s="121"/>
      <c r="F1245" s="121"/>
      <c r="G1245" s="165">
        <v>2</v>
      </c>
      <c r="H1245" s="10">
        <f t="shared" si="57"/>
        <v>0</v>
      </c>
      <c r="I1245" s="3">
        <f t="shared" si="58"/>
        <v>0</v>
      </c>
      <c r="J1245" s="33">
        <f t="shared" si="59"/>
        <v>2</v>
      </c>
      <c r="K1245" s="33"/>
      <c r="L1245" s="3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</row>
    <row r="1246" spans="1:74" hidden="1">
      <c r="A1246" s="109">
        <v>1242</v>
      </c>
      <c r="B1246" s="121" t="s">
        <v>2491</v>
      </c>
      <c r="C1246" s="135" t="s">
        <v>2492</v>
      </c>
      <c r="D1246" s="121" t="s">
        <v>21</v>
      </c>
      <c r="E1246" s="121"/>
      <c r="F1246" s="121"/>
      <c r="G1246" s="165">
        <v>2</v>
      </c>
      <c r="H1246" s="10">
        <f t="shared" si="57"/>
        <v>0</v>
      </c>
      <c r="I1246" s="3">
        <f t="shared" si="58"/>
        <v>0</v>
      </c>
      <c r="J1246" s="33">
        <f t="shared" si="59"/>
        <v>2</v>
      </c>
      <c r="K1246" s="33"/>
      <c r="L1246" s="3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</row>
    <row r="1247" spans="1:74" hidden="1">
      <c r="A1247" s="109">
        <v>1243</v>
      </c>
      <c r="B1247" s="121" t="s">
        <v>2493</v>
      </c>
      <c r="C1247" s="135" t="s">
        <v>2494</v>
      </c>
      <c r="D1247" s="121" t="s">
        <v>14</v>
      </c>
      <c r="E1247" s="121"/>
      <c r="F1247" s="121"/>
      <c r="G1247" s="165">
        <v>1</v>
      </c>
      <c r="H1247" s="10">
        <f t="shared" si="57"/>
        <v>0</v>
      </c>
      <c r="I1247" s="3">
        <f t="shared" si="58"/>
        <v>0</v>
      </c>
      <c r="J1247" s="33">
        <f t="shared" si="59"/>
        <v>1</v>
      </c>
      <c r="K1247" s="33"/>
      <c r="L1247" s="3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</row>
    <row r="1248" spans="1:74" ht="30" hidden="1">
      <c r="A1248" s="109">
        <v>1244</v>
      </c>
      <c r="B1248" s="121" t="s">
        <v>2495</v>
      </c>
      <c r="C1248" s="135" t="s">
        <v>2496</v>
      </c>
      <c r="D1248" s="121" t="s">
        <v>14</v>
      </c>
      <c r="E1248" s="121"/>
      <c r="F1248" s="121"/>
      <c r="G1248" s="165">
        <v>1</v>
      </c>
      <c r="H1248" s="10">
        <f t="shared" si="57"/>
        <v>0</v>
      </c>
      <c r="I1248" s="3">
        <f t="shared" si="58"/>
        <v>0</v>
      </c>
      <c r="J1248" s="33">
        <f t="shared" si="59"/>
        <v>1</v>
      </c>
      <c r="K1248" s="33"/>
      <c r="L1248" s="3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</row>
    <row r="1249" spans="1:74" ht="30" hidden="1" customHeight="1">
      <c r="A1249" s="109">
        <v>1245</v>
      </c>
      <c r="B1249" s="121" t="s">
        <v>2497</v>
      </c>
      <c r="C1249" s="135" t="s">
        <v>2498</v>
      </c>
      <c r="D1249" s="121" t="s">
        <v>14</v>
      </c>
      <c r="E1249" s="121"/>
      <c r="F1249" s="121"/>
      <c r="G1249" s="165">
        <v>1</v>
      </c>
      <c r="H1249" s="10">
        <f t="shared" si="57"/>
        <v>0</v>
      </c>
      <c r="I1249" s="3">
        <f t="shared" si="58"/>
        <v>0</v>
      </c>
      <c r="J1249" s="33">
        <f t="shared" si="59"/>
        <v>1</v>
      </c>
      <c r="K1249" s="33"/>
      <c r="L1249" s="3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</row>
    <row r="1250" spans="1:74" ht="30" hidden="1">
      <c r="A1250" s="109">
        <v>1246</v>
      </c>
      <c r="B1250" s="121" t="s">
        <v>2499</v>
      </c>
      <c r="C1250" s="135" t="s">
        <v>2500</v>
      </c>
      <c r="D1250" s="121" t="s">
        <v>14</v>
      </c>
      <c r="E1250" s="121"/>
      <c r="F1250" s="121"/>
      <c r="G1250" s="165">
        <v>2</v>
      </c>
      <c r="H1250" s="10">
        <f t="shared" si="57"/>
        <v>0</v>
      </c>
      <c r="I1250" s="3">
        <f t="shared" si="58"/>
        <v>0</v>
      </c>
      <c r="J1250" s="33">
        <f t="shared" si="59"/>
        <v>2</v>
      </c>
      <c r="K1250" s="33"/>
      <c r="L1250" s="3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</row>
    <row r="1251" spans="1:74" hidden="1">
      <c r="A1251" s="109">
        <v>1247</v>
      </c>
      <c r="B1251" s="121" t="s">
        <v>2501</v>
      </c>
      <c r="C1251" s="135" t="s">
        <v>2502</v>
      </c>
      <c r="D1251" s="121" t="s">
        <v>21</v>
      </c>
      <c r="E1251" s="121"/>
      <c r="F1251" s="121"/>
      <c r="G1251" s="165">
        <v>1</v>
      </c>
      <c r="H1251" s="10">
        <f t="shared" si="57"/>
        <v>0</v>
      </c>
      <c r="I1251" s="3">
        <f t="shared" si="58"/>
        <v>0</v>
      </c>
      <c r="J1251" s="33">
        <f t="shared" si="59"/>
        <v>1</v>
      </c>
      <c r="K1251" s="33"/>
      <c r="L1251" s="3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</row>
    <row r="1252" spans="1:74" s="50" customFormat="1" hidden="1">
      <c r="A1252" s="111">
        <v>1248</v>
      </c>
      <c r="B1252" s="10" t="s">
        <v>2503</v>
      </c>
      <c r="C1252" s="351" t="s">
        <v>2504</v>
      </c>
      <c r="D1252" s="10" t="s">
        <v>21</v>
      </c>
      <c r="E1252" s="121"/>
      <c r="F1252" s="10"/>
      <c r="G1252" s="168">
        <v>1</v>
      </c>
      <c r="H1252" s="10">
        <f t="shared" si="57"/>
        <v>0</v>
      </c>
      <c r="I1252" s="3">
        <f t="shared" si="58"/>
        <v>0</v>
      </c>
      <c r="J1252" s="33">
        <f t="shared" si="59"/>
        <v>1</v>
      </c>
      <c r="K1252" s="33"/>
      <c r="L1252" s="33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0"/>
      <c r="BC1252" s="10"/>
      <c r="BD1252" s="10"/>
      <c r="BE1252" s="10"/>
      <c r="BF1252" s="10"/>
      <c r="BG1252" s="10"/>
      <c r="BH1252" s="10"/>
      <c r="BI1252" s="10"/>
      <c r="BJ1252" s="10"/>
      <c r="BK1252" s="10"/>
      <c r="BL1252" s="10"/>
      <c r="BM1252" s="10"/>
      <c r="BN1252" s="10"/>
      <c r="BO1252" s="10"/>
      <c r="BP1252" s="10"/>
      <c r="BQ1252" s="10"/>
      <c r="BR1252" s="10"/>
      <c r="BS1252" s="10"/>
      <c r="BT1252" s="10"/>
      <c r="BU1252" s="10"/>
      <c r="BV1252" s="10"/>
    </row>
    <row r="1253" spans="1:74" hidden="1">
      <c r="A1253" s="109">
        <v>1249</v>
      </c>
      <c r="B1253" s="121" t="s">
        <v>2505</v>
      </c>
      <c r="C1253" s="135" t="s">
        <v>2506</v>
      </c>
      <c r="D1253" s="121" t="s">
        <v>21</v>
      </c>
      <c r="E1253" s="121"/>
      <c r="F1253" s="121"/>
      <c r="G1253" s="165">
        <v>0</v>
      </c>
      <c r="H1253" s="10">
        <f t="shared" si="57"/>
        <v>0</v>
      </c>
      <c r="I1253" s="3">
        <f t="shared" si="58"/>
        <v>0</v>
      </c>
      <c r="J1253" s="33">
        <f t="shared" si="59"/>
        <v>0</v>
      </c>
      <c r="K1253" s="33"/>
      <c r="L1253" s="3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</row>
    <row r="1254" spans="1:74" hidden="1">
      <c r="A1254" s="109">
        <v>1250</v>
      </c>
      <c r="B1254" s="121" t="s">
        <v>2507</v>
      </c>
      <c r="C1254" s="135" t="s">
        <v>2508</v>
      </c>
      <c r="D1254" s="121" t="s">
        <v>14</v>
      </c>
      <c r="E1254" s="121"/>
      <c r="F1254" s="121"/>
      <c r="G1254" s="165">
        <v>10</v>
      </c>
      <c r="H1254" s="10">
        <f t="shared" si="57"/>
        <v>0</v>
      </c>
      <c r="I1254" s="3">
        <f t="shared" si="58"/>
        <v>0</v>
      </c>
      <c r="J1254" s="33">
        <f t="shared" si="59"/>
        <v>10</v>
      </c>
      <c r="K1254" s="33"/>
      <c r="L1254" s="3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</row>
    <row r="1255" spans="1:74" hidden="1">
      <c r="A1255" s="142">
        <v>1251</v>
      </c>
      <c r="B1255" s="256" t="s">
        <v>2509</v>
      </c>
      <c r="C1255" s="290" t="s">
        <v>2510</v>
      </c>
      <c r="D1255" s="256" t="s">
        <v>14</v>
      </c>
      <c r="E1255" s="121"/>
      <c r="F1255" s="121"/>
      <c r="G1255" s="165">
        <v>0</v>
      </c>
      <c r="H1255" s="10">
        <f t="shared" si="57"/>
        <v>0</v>
      </c>
      <c r="I1255" s="3">
        <f t="shared" si="58"/>
        <v>0</v>
      </c>
      <c r="J1255" s="33">
        <v>0</v>
      </c>
      <c r="K1255" s="33"/>
      <c r="L1255" s="3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</row>
    <row r="1256" spans="1:74" hidden="1">
      <c r="A1256" s="142">
        <v>1252</v>
      </c>
      <c r="B1256" s="256" t="s">
        <v>2511</v>
      </c>
      <c r="C1256" s="290" t="s">
        <v>2512</v>
      </c>
      <c r="D1256" s="256" t="s">
        <v>14</v>
      </c>
      <c r="E1256" s="121"/>
      <c r="F1256" s="121"/>
      <c r="G1256" s="165">
        <v>96</v>
      </c>
      <c r="H1256" s="10">
        <f t="shared" si="57"/>
        <v>0</v>
      </c>
      <c r="I1256" s="3">
        <f t="shared" si="58"/>
        <v>0</v>
      </c>
      <c r="J1256" s="33">
        <f t="shared" si="59"/>
        <v>96</v>
      </c>
      <c r="K1256" s="33"/>
      <c r="L1256" s="3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</row>
    <row r="1257" spans="1:74" hidden="1">
      <c r="A1257" s="142">
        <v>1253</v>
      </c>
      <c r="B1257" s="256" t="s">
        <v>2513</v>
      </c>
      <c r="C1257" s="290" t="s">
        <v>2514</v>
      </c>
      <c r="D1257" s="256" t="s">
        <v>14</v>
      </c>
      <c r="E1257" s="121"/>
      <c r="F1257" s="121"/>
      <c r="G1257" s="165">
        <v>1180</v>
      </c>
      <c r="H1257" s="10">
        <f t="shared" si="57"/>
        <v>0</v>
      </c>
      <c r="I1257" s="3">
        <f t="shared" si="58"/>
        <v>0</v>
      </c>
      <c r="J1257" s="33">
        <f t="shared" si="59"/>
        <v>1180</v>
      </c>
      <c r="K1257" s="33"/>
      <c r="L1257" s="3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</row>
    <row r="1258" spans="1:74" hidden="1">
      <c r="A1258" s="142">
        <v>1254</v>
      </c>
      <c r="B1258" s="256" t="s">
        <v>2515</v>
      </c>
      <c r="C1258" s="290" t="s">
        <v>2516</v>
      </c>
      <c r="D1258" s="256" t="s">
        <v>14</v>
      </c>
      <c r="E1258" s="121"/>
      <c r="F1258" s="121"/>
      <c r="G1258" s="165">
        <v>1080</v>
      </c>
      <c r="H1258" s="10">
        <f t="shared" si="57"/>
        <v>165</v>
      </c>
      <c r="I1258" s="3">
        <f t="shared" si="58"/>
        <v>165</v>
      </c>
      <c r="J1258" s="33">
        <f t="shared" si="59"/>
        <v>1080</v>
      </c>
      <c r="K1258" s="33"/>
      <c r="L1258" s="3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>
        <v>165</v>
      </c>
      <c r="AH1258" s="13">
        <v>165</v>
      </c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</row>
    <row r="1259" spans="1:74" hidden="1">
      <c r="A1259" s="142">
        <v>1255</v>
      </c>
      <c r="B1259" s="256" t="s">
        <v>2517</v>
      </c>
      <c r="C1259" s="290" t="s">
        <v>2518</v>
      </c>
      <c r="D1259" s="256" t="s">
        <v>14</v>
      </c>
      <c r="E1259" s="121"/>
      <c r="F1259" s="121"/>
      <c r="G1259" s="165">
        <v>0</v>
      </c>
      <c r="H1259" s="10">
        <f t="shared" si="57"/>
        <v>0</v>
      </c>
      <c r="I1259" s="3">
        <f t="shared" si="58"/>
        <v>0</v>
      </c>
      <c r="J1259" s="33">
        <f t="shared" si="59"/>
        <v>0</v>
      </c>
      <c r="K1259" s="33"/>
      <c r="L1259" s="3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</row>
    <row r="1260" spans="1:74" s="50" customFormat="1" hidden="1">
      <c r="A1260" s="146">
        <v>1257</v>
      </c>
      <c r="B1260" s="147" t="s">
        <v>2519</v>
      </c>
      <c r="C1260" s="317" t="s">
        <v>2520</v>
      </c>
      <c r="D1260" s="147" t="s">
        <v>21</v>
      </c>
      <c r="E1260" s="442" t="s">
        <v>3546</v>
      </c>
      <c r="F1260" s="358"/>
      <c r="G1260" s="168">
        <v>0</v>
      </c>
      <c r="H1260" s="10">
        <f t="shared" si="57"/>
        <v>0</v>
      </c>
      <c r="I1260" s="3">
        <f t="shared" si="58"/>
        <v>0</v>
      </c>
      <c r="J1260" s="33">
        <f t="shared" si="59"/>
        <v>0</v>
      </c>
      <c r="K1260" s="33"/>
      <c r="L1260" s="33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0"/>
      <c r="BC1260" s="10"/>
      <c r="BD1260" s="10"/>
      <c r="BE1260" s="10"/>
      <c r="BF1260" s="10"/>
      <c r="BG1260" s="10"/>
      <c r="BH1260" s="10"/>
      <c r="BI1260" s="10"/>
      <c r="BJ1260" s="10"/>
      <c r="BK1260" s="10"/>
      <c r="BL1260" s="10"/>
      <c r="BM1260" s="10"/>
      <c r="BN1260" s="10"/>
      <c r="BO1260" s="10"/>
      <c r="BP1260" s="10"/>
      <c r="BQ1260" s="10"/>
      <c r="BR1260" s="10"/>
      <c r="BS1260" s="10"/>
      <c r="BT1260" s="10"/>
      <c r="BU1260" s="10"/>
      <c r="BV1260" s="10"/>
    </row>
    <row r="1261" spans="1:74" s="50" customFormat="1" hidden="1">
      <c r="A1261" s="146">
        <v>1258</v>
      </c>
      <c r="B1261" s="147" t="s">
        <v>2521</v>
      </c>
      <c r="C1261" s="317" t="s">
        <v>2522</v>
      </c>
      <c r="D1261" s="147" t="s">
        <v>21</v>
      </c>
      <c r="E1261" s="443"/>
      <c r="F1261" s="10"/>
      <c r="G1261" s="168">
        <v>0</v>
      </c>
      <c r="H1261" s="10">
        <f t="shared" si="57"/>
        <v>0</v>
      </c>
      <c r="I1261" s="3">
        <f t="shared" si="58"/>
        <v>0</v>
      </c>
      <c r="J1261" s="33">
        <f t="shared" si="59"/>
        <v>0</v>
      </c>
      <c r="K1261" s="33"/>
      <c r="L1261" s="33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0"/>
      <c r="BC1261" s="10"/>
      <c r="BD1261" s="10"/>
      <c r="BE1261" s="10"/>
      <c r="BF1261" s="10"/>
      <c r="BG1261" s="10"/>
      <c r="BH1261" s="10"/>
      <c r="BI1261" s="10"/>
      <c r="BJ1261" s="10"/>
      <c r="BK1261" s="10"/>
      <c r="BL1261" s="10"/>
      <c r="BM1261" s="10"/>
      <c r="BN1261" s="10"/>
      <c r="BO1261" s="10"/>
      <c r="BP1261" s="10"/>
      <c r="BQ1261" s="10"/>
      <c r="BR1261" s="10"/>
      <c r="BS1261" s="10"/>
      <c r="BT1261" s="10"/>
      <c r="BU1261" s="10"/>
      <c r="BV1261" s="10"/>
    </row>
    <row r="1262" spans="1:74" s="50" customFormat="1" hidden="1">
      <c r="A1262" s="146">
        <v>1259</v>
      </c>
      <c r="B1262" s="147" t="s">
        <v>2523</v>
      </c>
      <c r="C1262" s="317" t="s">
        <v>2524</v>
      </c>
      <c r="D1262" s="147" t="s">
        <v>21</v>
      </c>
      <c r="E1262" s="443"/>
      <c r="F1262" s="10"/>
      <c r="G1262" s="168">
        <v>0</v>
      </c>
      <c r="H1262" s="10">
        <f t="shared" si="57"/>
        <v>0</v>
      </c>
      <c r="I1262" s="3">
        <f t="shared" si="58"/>
        <v>0</v>
      </c>
      <c r="J1262" s="33">
        <f t="shared" si="59"/>
        <v>0</v>
      </c>
      <c r="K1262" s="33"/>
      <c r="L1262" s="33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0"/>
      <c r="BC1262" s="10"/>
      <c r="BD1262" s="10"/>
      <c r="BE1262" s="10"/>
      <c r="BF1262" s="10"/>
      <c r="BG1262" s="10"/>
      <c r="BH1262" s="10"/>
      <c r="BI1262" s="10"/>
      <c r="BJ1262" s="10"/>
      <c r="BK1262" s="10"/>
      <c r="BL1262" s="10"/>
      <c r="BM1262" s="10"/>
      <c r="BN1262" s="10"/>
      <c r="BO1262" s="10"/>
      <c r="BP1262" s="10"/>
      <c r="BQ1262" s="10"/>
      <c r="BR1262" s="10"/>
      <c r="BS1262" s="10"/>
      <c r="BT1262" s="10"/>
      <c r="BU1262" s="10"/>
      <c r="BV1262" s="10"/>
    </row>
    <row r="1263" spans="1:74" s="50" customFormat="1" hidden="1">
      <c r="A1263" s="146">
        <v>1260</v>
      </c>
      <c r="B1263" s="147" t="s">
        <v>2525</v>
      </c>
      <c r="C1263" s="317" t="s">
        <v>2526</v>
      </c>
      <c r="D1263" s="147" t="s">
        <v>21</v>
      </c>
      <c r="E1263" s="443"/>
      <c r="F1263" s="10"/>
      <c r="G1263" s="168">
        <v>0</v>
      </c>
      <c r="H1263" s="10">
        <f t="shared" si="57"/>
        <v>0</v>
      </c>
      <c r="I1263" s="3">
        <f t="shared" si="58"/>
        <v>0</v>
      </c>
      <c r="J1263" s="33">
        <f t="shared" si="59"/>
        <v>0</v>
      </c>
      <c r="K1263" s="33"/>
      <c r="L1263" s="33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0"/>
      <c r="BC1263" s="10"/>
      <c r="BD1263" s="10"/>
      <c r="BE1263" s="10"/>
      <c r="BF1263" s="10"/>
      <c r="BG1263" s="10"/>
      <c r="BH1263" s="10"/>
      <c r="BI1263" s="10"/>
      <c r="BJ1263" s="10"/>
      <c r="BK1263" s="10"/>
      <c r="BL1263" s="10"/>
      <c r="BM1263" s="10"/>
      <c r="BN1263" s="10"/>
      <c r="BO1263" s="10"/>
      <c r="BP1263" s="10"/>
      <c r="BQ1263" s="10"/>
      <c r="BR1263" s="10"/>
      <c r="BS1263" s="10"/>
      <c r="BT1263" s="10"/>
      <c r="BU1263" s="10"/>
      <c r="BV1263" s="10"/>
    </row>
    <row r="1264" spans="1:74" s="50" customFormat="1" hidden="1">
      <c r="A1264" s="146">
        <v>1261</v>
      </c>
      <c r="B1264" s="147" t="s">
        <v>2527</v>
      </c>
      <c r="C1264" s="317" t="s">
        <v>2528</v>
      </c>
      <c r="D1264" s="147" t="s">
        <v>21</v>
      </c>
      <c r="E1264" s="443"/>
      <c r="F1264" s="10"/>
      <c r="G1264" s="168">
        <v>0</v>
      </c>
      <c r="H1264" s="10">
        <f t="shared" si="57"/>
        <v>0</v>
      </c>
      <c r="I1264" s="3">
        <f t="shared" si="58"/>
        <v>0</v>
      </c>
      <c r="J1264" s="33">
        <f t="shared" si="59"/>
        <v>0</v>
      </c>
      <c r="K1264" s="33"/>
      <c r="L1264" s="33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0"/>
      <c r="BC1264" s="10"/>
      <c r="BD1264" s="10"/>
      <c r="BE1264" s="10"/>
      <c r="BF1264" s="10"/>
      <c r="BG1264" s="10"/>
      <c r="BH1264" s="10"/>
      <c r="BI1264" s="10"/>
      <c r="BJ1264" s="10"/>
      <c r="BK1264" s="10"/>
      <c r="BL1264" s="10"/>
      <c r="BM1264" s="10"/>
      <c r="BN1264" s="10"/>
      <c r="BO1264" s="10"/>
      <c r="BP1264" s="10"/>
      <c r="BQ1264" s="10"/>
      <c r="BR1264" s="10"/>
      <c r="BS1264" s="10"/>
      <c r="BT1264" s="10"/>
      <c r="BU1264" s="10"/>
      <c r="BV1264" s="10"/>
    </row>
    <row r="1265" spans="1:74" s="50" customFormat="1" hidden="1">
      <c r="A1265" s="146">
        <v>1262</v>
      </c>
      <c r="B1265" s="147" t="s">
        <v>2529</v>
      </c>
      <c r="C1265" s="317" t="s">
        <v>2530</v>
      </c>
      <c r="D1265" s="147" t="s">
        <v>21</v>
      </c>
      <c r="E1265" s="443"/>
      <c r="F1265" s="10"/>
      <c r="G1265" s="168">
        <v>0</v>
      </c>
      <c r="H1265" s="10">
        <f t="shared" si="57"/>
        <v>0</v>
      </c>
      <c r="I1265" s="3">
        <f t="shared" si="58"/>
        <v>0</v>
      </c>
      <c r="J1265" s="33">
        <f t="shared" si="59"/>
        <v>0</v>
      </c>
      <c r="K1265" s="33"/>
      <c r="L1265" s="33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0"/>
      <c r="BC1265" s="10"/>
      <c r="BD1265" s="10"/>
      <c r="BE1265" s="10"/>
      <c r="BF1265" s="10"/>
      <c r="BG1265" s="10"/>
      <c r="BH1265" s="10"/>
      <c r="BI1265" s="10"/>
      <c r="BJ1265" s="10"/>
      <c r="BK1265" s="10"/>
      <c r="BL1265" s="10"/>
      <c r="BM1265" s="10"/>
      <c r="BN1265" s="10"/>
      <c r="BO1265" s="10"/>
      <c r="BP1265" s="10"/>
      <c r="BQ1265" s="10"/>
      <c r="BR1265" s="10"/>
      <c r="BS1265" s="10"/>
      <c r="BT1265" s="10"/>
      <c r="BU1265" s="10"/>
      <c r="BV1265" s="10"/>
    </row>
    <row r="1266" spans="1:74" s="50" customFormat="1" hidden="1">
      <c r="A1266" s="146">
        <v>1263</v>
      </c>
      <c r="B1266" s="147" t="s">
        <v>2531</v>
      </c>
      <c r="C1266" s="317" t="s">
        <v>2532</v>
      </c>
      <c r="D1266" s="147" t="s">
        <v>21</v>
      </c>
      <c r="E1266" s="443"/>
      <c r="F1266" s="10"/>
      <c r="G1266" s="168">
        <v>0</v>
      </c>
      <c r="H1266" s="10">
        <f t="shared" si="57"/>
        <v>0</v>
      </c>
      <c r="I1266" s="3">
        <f t="shared" si="58"/>
        <v>0</v>
      </c>
      <c r="J1266" s="33">
        <f t="shared" si="59"/>
        <v>0</v>
      </c>
      <c r="K1266" s="33"/>
      <c r="L1266" s="33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0"/>
      <c r="BC1266" s="10"/>
      <c r="BD1266" s="10"/>
      <c r="BE1266" s="10"/>
      <c r="BF1266" s="10"/>
      <c r="BG1266" s="10"/>
      <c r="BH1266" s="10"/>
      <c r="BI1266" s="10"/>
      <c r="BJ1266" s="10"/>
      <c r="BK1266" s="10"/>
      <c r="BL1266" s="10"/>
      <c r="BM1266" s="10"/>
      <c r="BN1266" s="10"/>
      <c r="BO1266" s="10"/>
      <c r="BP1266" s="10"/>
      <c r="BQ1266" s="10"/>
      <c r="BR1266" s="10"/>
      <c r="BS1266" s="10"/>
      <c r="BT1266" s="10"/>
      <c r="BU1266" s="10"/>
      <c r="BV1266" s="10"/>
    </row>
    <row r="1267" spans="1:74" s="50" customFormat="1" hidden="1">
      <c r="A1267" s="146">
        <v>1264</v>
      </c>
      <c r="B1267" s="147" t="s">
        <v>2533</v>
      </c>
      <c r="C1267" s="317" t="s">
        <v>2534</v>
      </c>
      <c r="D1267" s="147" t="s">
        <v>21</v>
      </c>
      <c r="E1267" s="443"/>
      <c r="F1267" s="10"/>
      <c r="G1267" s="168">
        <v>0</v>
      </c>
      <c r="H1267" s="10">
        <f t="shared" si="57"/>
        <v>0</v>
      </c>
      <c r="I1267" s="3">
        <f t="shared" si="58"/>
        <v>0</v>
      </c>
      <c r="J1267" s="33">
        <f t="shared" si="59"/>
        <v>0</v>
      </c>
      <c r="K1267" s="33"/>
      <c r="L1267" s="33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0"/>
      <c r="BC1267" s="10"/>
      <c r="BD1267" s="10"/>
      <c r="BE1267" s="10"/>
      <c r="BF1267" s="10"/>
      <c r="BG1267" s="10"/>
      <c r="BH1267" s="10"/>
      <c r="BI1267" s="10"/>
      <c r="BJ1267" s="10"/>
      <c r="BK1267" s="10"/>
      <c r="BL1267" s="10"/>
      <c r="BM1267" s="10"/>
      <c r="BN1267" s="10"/>
      <c r="BO1267" s="10"/>
      <c r="BP1267" s="10"/>
      <c r="BQ1267" s="10"/>
      <c r="BR1267" s="10"/>
      <c r="BS1267" s="10"/>
      <c r="BT1267" s="10"/>
      <c r="BU1267" s="10"/>
      <c r="BV1267" s="10"/>
    </row>
    <row r="1268" spans="1:74" s="50" customFormat="1" hidden="1">
      <c r="A1268" s="146">
        <v>1265</v>
      </c>
      <c r="B1268" s="147" t="s">
        <v>2535</v>
      </c>
      <c r="C1268" s="317" t="s">
        <v>2536</v>
      </c>
      <c r="D1268" s="147" t="s">
        <v>21</v>
      </c>
      <c r="E1268" s="443"/>
      <c r="F1268" s="10"/>
      <c r="G1268" s="168">
        <v>0</v>
      </c>
      <c r="H1268" s="10">
        <f t="shared" si="57"/>
        <v>0</v>
      </c>
      <c r="I1268" s="3">
        <f t="shared" si="58"/>
        <v>0</v>
      </c>
      <c r="J1268" s="33">
        <f t="shared" si="59"/>
        <v>0</v>
      </c>
      <c r="K1268" s="33"/>
      <c r="L1268" s="33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0"/>
      <c r="BC1268" s="10"/>
      <c r="BD1268" s="10"/>
      <c r="BE1268" s="10"/>
      <c r="BF1268" s="10"/>
      <c r="BG1268" s="10"/>
      <c r="BH1268" s="10"/>
      <c r="BI1268" s="10"/>
      <c r="BJ1268" s="10"/>
      <c r="BK1268" s="10"/>
      <c r="BL1268" s="10"/>
      <c r="BM1268" s="10"/>
      <c r="BN1268" s="10"/>
      <c r="BO1268" s="10"/>
      <c r="BP1268" s="10"/>
      <c r="BQ1268" s="10"/>
      <c r="BR1268" s="10"/>
      <c r="BS1268" s="10"/>
      <c r="BT1268" s="10"/>
      <c r="BU1268" s="10"/>
      <c r="BV1268" s="10"/>
    </row>
    <row r="1269" spans="1:74" s="50" customFormat="1" hidden="1">
      <c r="A1269" s="146">
        <v>1266</v>
      </c>
      <c r="B1269" s="147" t="s">
        <v>2537</v>
      </c>
      <c r="C1269" s="317" t="s">
        <v>2538</v>
      </c>
      <c r="D1269" s="147" t="s">
        <v>21</v>
      </c>
      <c r="E1269" s="443"/>
      <c r="F1269" s="10"/>
      <c r="G1269" s="168">
        <v>0</v>
      </c>
      <c r="H1269" s="10">
        <f t="shared" si="57"/>
        <v>0</v>
      </c>
      <c r="I1269" s="3">
        <f t="shared" si="58"/>
        <v>0</v>
      </c>
      <c r="J1269" s="33">
        <f t="shared" si="59"/>
        <v>0</v>
      </c>
      <c r="K1269" s="33"/>
      <c r="L1269" s="33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0"/>
      <c r="BC1269" s="10"/>
      <c r="BD1269" s="10"/>
      <c r="BE1269" s="10"/>
      <c r="BF1269" s="10"/>
      <c r="BG1269" s="10"/>
      <c r="BH1269" s="10"/>
      <c r="BI1269" s="10"/>
      <c r="BJ1269" s="10"/>
      <c r="BK1269" s="10"/>
      <c r="BL1269" s="10"/>
      <c r="BM1269" s="10"/>
      <c r="BN1269" s="10"/>
      <c r="BO1269" s="10"/>
      <c r="BP1269" s="10"/>
      <c r="BQ1269" s="10"/>
      <c r="BR1269" s="10"/>
      <c r="BS1269" s="10"/>
      <c r="BT1269" s="10"/>
      <c r="BU1269" s="10"/>
      <c r="BV1269" s="10"/>
    </row>
    <row r="1270" spans="1:74" s="50" customFormat="1" hidden="1">
      <c r="A1270" s="146">
        <v>1267</v>
      </c>
      <c r="B1270" s="147" t="s">
        <v>2539</v>
      </c>
      <c r="C1270" s="317" t="s">
        <v>2540</v>
      </c>
      <c r="D1270" s="147" t="s">
        <v>21</v>
      </c>
      <c r="E1270" s="443"/>
      <c r="F1270" s="10"/>
      <c r="G1270" s="168">
        <v>0</v>
      </c>
      <c r="H1270" s="10">
        <f t="shared" si="57"/>
        <v>0</v>
      </c>
      <c r="I1270" s="3">
        <f t="shared" si="58"/>
        <v>0</v>
      </c>
      <c r="J1270" s="33">
        <f t="shared" si="59"/>
        <v>0</v>
      </c>
      <c r="K1270" s="33"/>
      <c r="L1270" s="33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0"/>
      <c r="BC1270" s="10"/>
      <c r="BD1270" s="10"/>
      <c r="BE1270" s="10"/>
      <c r="BF1270" s="10"/>
      <c r="BG1270" s="10"/>
      <c r="BH1270" s="10"/>
      <c r="BI1270" s="10"/>
      <c r="BJ1270" s="10"/>
      <c r="BK1270" s="10"/>
      <c r="BL1270" s="10"/>
      <c r="BM1270" s="10"/>
      <c r="BN1270" s="10"/>
      <c r="BO1270" s="10"/>
      <c r="BP1270" s="10"/>
      <c r="BQ1270" s="10"/>
      <c r="BR1270" s="10"/>
      <c r="BS1270" s="10"/>
      <c r="BT1270" s="10"/>
      <c r="BU1270" s="10"/>
      <c r="BV1270" s="10"/>
    </row>
    <row r="1271" spans="1:74" s="50" customFormat="1" hidden="1">
      <c r="A1271" s="146">
        <v>1268</v>
      </c>
      <c r="B1271" s="147" t="s">
        <v>2541</v>
      </c>
      <c r="C1271" s="317" t="s">
        <v>2542</v>
      </c>
      <c r="D1271" s="147" t="s">
        <v>21</v>
      </c>
      <c r="E1271" s="443"/>
      <c r="F1271" s="10"/>
      <c r="G1271" s="168">
        <v>0</v>
      </c>
      <c r="H1271" s="10">
        <f t="shared" ref="H1271:H1303" si="60">SUM(M1271+O1271+Q1271+S1271+U1271+W1271+Y1271+AA1271+AC1271+AE1271+AG1271+AI1271+AK1271+AM1271+AO1271+AQ1271+AS1271+AU1271+AW1271+AY1271+BA1271+BC1271+BE1271+BG1271+BI1271+BK1271+BM1271+BO1271+BQ1271+BS1271+BU1271)</f>
        <v>0</v>
      </c>
      <c r="I1271" s="3">
        <f t="shared" ref="I1271:I1303" si="61">SUM(N1271+P1271+R1271+T1271+V1271+X1271+Z1271+AB1271+AD1271+AF1271+AH1271+AJ1271+AL1271+AN1271+AP1271+AR1271+AT1271+AV1271+AX1271+AZ1271+BB1271+BD1271+BF1271+BH1271+BJ1271+BL1271+BN1271+BP1271+BR1271+BT1271+BV1271)</f>
        <v>0</v>
      </c>
      <c r="J1271" s="33">
        <f t="shared" ref="J1271:J1303" si="62">G1271+H1271-I1271</f>
        <v>0</v>
      </c>
      <c r="K1271" s="33"/>
      <c r="L1271" s="33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0"/>
      <c r="BC1271" s="10"/>
      <c r="BD1271" s="10"/>
      <c r="BE1271" s="10"/>
      <c r="BF1271" s="10"/>
      <c r="BG1271" s="10"/>
      <c r="BH1271" s="10"/>
      <c r="BI1271" s="10"/>
      <c r="BJ1271" s="10"/>
      <c r="BK1271" s="10"/>
      <c r="BL1271" s="10"/>
      <c r="BM1271" s="10"/>
      <c r="BN1271" s="10"/>
      <c r="BO1271" s="10"/>
      <c r="BP1271" s="10"/>
      <c r="BQ1271" s="10"/>
      <c r="BR1271" s="10"/>
      <c r="BS1271" s="10"/>
      <c r="BT1271" s="10"/>
      <c r="BU1271" s="10"/>
      <c r="BV1271" s="10"/>
    </row>
    <row r="1272" spans="1:74" s="50" customFormat="1" hidden="1">
      <c r="A1272" s="146">
        <v>1269</v>
      </c>
      <c r="B1272" s="356" t="s">
        <v>2543</v>
      </c>
      <c r="C1272" s="357" t="s">
        <v>2544</v>
      </c>
      <c r="D1272" s="147" t="s">
        <v>21</v>
      </c>
      <c r="E1272" s="444"/>
      <c r="F1272" s="3"/>
      <c r="G1272" s="33">
        <v>0</v>
      </c>
      <c r="H1272" s="3">
        <f t="shared" si="60"/>
        <v>0</v>
      </c>
      <c r="I1272" s="3">
        <f t="shared" si="61"/>
        <v>0</v>
      </c>
      <c r="J1272" s="33">
        <f t="shared" si="62"/>
        <v>0</v>
      </c>
      <c r="K1272" s="33"/>
      <c r="L1272" s="3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</row>
    <row r="1273" spans="1:74" s="50" customFormat="1" ht="30" hidden="1">
      <c r="A1273" s="111">
        <v>1270</v>
      </c>
      <c r="B1273" s="4" t="s">
        <v>2545</v>
      </c>
      <c r="C1273" s="355" t="s">
        <v>2546</v>
      </c>
      <c r="D1273" s="3" t="s">
        <v>21</v>
      </c>
      <c r="E1273" s="26"/>
      <c r="F1273" s="3"/>
      <c r="G1273" s="33">
        <v>90</v>
      </c>
      <c r="H1273" s="3">
        <f t="shared" si="60"/>
        <v>0</v>
      </c>
      <c r="I1273" s="3">
        <f t="shared" si="61"/>
        <v>0</v>
      </c>
      <c r="J1273" s="33">
        <f t="shared" si="62"/>
        <v>90</v>
      </c>
      <c r="K1273" s="33"/>
      <c r="L1273" s="3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</row>
    <row r="1274" spans="1:74" s="50" customFormat="1" ht="30" hidden="1">
      <c r="A1274" s="111">
        <v>1271</v>
      </c>
      <c r="B1274" s="10" t="s">
        <v>2547</v>
      </c>
      <c r="C1274" s="351" t="s">
        <v>2548</v>
      </c>
      <c r="D1274" s="10" t="s">
        <v>21</v>
      </c>
      <c r="E1274" s="121"/>
      <c r="F1274" s="10"/>
      <c r="G1274" s="168">
        <v>96</v>
      </c>
      <c r="H1274" s="10">
        <f t="shared" si="60"/>
        <v>0</v>
      </c>
      <c r="I1274" s="3">
        <f t="shared" si="61"/>
        <v>0</v>
      </c>
      <c r="J1274" s="33">
        <f t="shared" si="62"/>
        <v>96</v>
      </c>
      <c r="K1274" s="33"/>
      <c r="L1274" s="33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0"/>
      <c r="BC1274" s="10"/>
      <c r="BD1274" s="10"/>
      <c r="BE1274" s="10"/>
      <c r="BF1274" s="10"/>
      <c r="BG1274" s="10"/>
      <c r="BH1274" s="10"/>
      <c r="BI1274" s="10"/>
      <c r="BJ1274" s="10"/>
      <c r="BK1274" s="10"/>
      <c r="BL1274" s="10"/>
      <c r="BM1274" s="10"/>
      <c r="BN1274" s="10"/>
      <c r="BO1274" s="10"/>
      <c r="BP1274" s="10"/>
      <c r="BQ1274" s="10"/>
      <c r="BR1274" s="10"/>
      <c r="BS1274" s="10"/>
      <c r="BT1274" s="10"/>
      <c r="BU1274" s="10"/>
      <c r="BV1274" s="10"/>
    </row>
    <row r="1275" spans="1:74" s="50" customFormat="1" hidden="1">
      <c r="A1275" s="111">
        <v>1272</v>
      </c>
      <c r="B1275" s="3" t="s">
        <v>2549</v>
      </c>
      <c r="C1275" s="17" t="s">
        <v>2550</v>
      </c>
      <c r="D1275" s="3" t="s">
        <v>21</v>
      </c>
      <c r="E1275" s="26"/>
      <c r="F1275" s="3"/>
      <c r="G1275" s="33">
        <v>10</v>
      </c>
      <c r="H1275" s="3">
        <f t="shared" si="60"/>
        <v>0</v>
      </c>
      <c r="I1275" s="3">
        <f t="shared" si="61"/>
        <v>0</v>
      </c>
      <c r="J1275" s="33">
        <f t="shared" si="62"/>
        <v>10</v>
      </c>
      <c r="K1275" s="33"/>
      <c r="L1275" s="3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</row>
    <row r="1276" spans="1:74" s="50" customFormat="1" hidden="1">
      <c r="A1276" s="111">
        <v>1273</v>
      </c>
      <c r="B1276" s="10" t="s">
        <v>2551</v>
      </c>
      <c r="C1276" s="351" t="s">
        <v>2552</v>
      </c>
      <c r="D1276" s="10" t="s">
        <v>21</v>
      </c>
      <c r="E1276" s="121"/>
      <c r="F1276" s="10"/>
      <c r="G1276" s="168">
        <v>0</v>
      </c>
      <c r="H1276" s="10">
        <f t="shared" si="60"/>
        <v>0</v>
      </c>
      <c r="I1276" s="3">
        <f t="shared" si="61"/>
        <v>0</v>
      </c>
      <c r="J1276" s="33">
        <f t="shared" si="62"/>
        <v>0</v>
      </c>
      <c r="K1276" s="33"/>
      <c r="L1276" s="33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0"/>
      <c r="BC1276" s="10"/>
      <c r="BD1276" s="10"/>
      <c r="BE1276" s="10"/>
      <c r="BF1276" s="10"/>
      <c r="BG1276" s="10"/>
      <c r="BH1276" s="10"/>
      <c r="BI1276" s="10"/>
      <c r="BJ1276" s="10"/>
      <c r="BK1276" s="10"/>
      <c r="BL1276" s="10"/>
      <c r="BM1276" s="10"/>
      <c r="BN1276" s="10"/>
      <c r="BO1276" s="10"/>
      <c r="BP1276" s="10"/>
      <c r="BQ1276" s="10"/>
      <c r="BR1276" s="10"/>
      <c r="BS1276" s="10"/>
      <c r="BT1276" s="10"/>
      <c r="BU1276" s="10"/>
      <c r="BV1276" s="10"/>
    </row>
    <row r="1277" spans="1:74" hidden="1">
      <c r="A1277" s="109">
        <v>1274</v>
      </c>
      <c r="B1277" s="121" t="s">
        <v>2553</v>
      </c>
      <c r="C1277" s="135" t="s">
        <v>2554</v>
      </c>
      <c r="D1277" s="121" t="s">
        <v>21</v>
      </c>
      <c r="E1277" s="121"/>
      <c r="F1277" s="121"/>
      <c r="G1277" s="165">
        <v>4000</v>
      </c>
      <c r="H1277" s="10">
        <f t="shared" si="60"/>
        <v>0</v>
      </c>
      <c r="I1277" s="3">
        <f t="shared" si="61"/>
        <v>0</v>
      </c>
      <c r="J1277" s="33">
        <f t="shared" si="62"/>
        <v>4000</v>
      </c>
      <c r="K1277" s="33"/>
      <c r="L1277" s="3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</row>
    <row r="1278" spans="1:74" hidden="1">
      <c r="A1278" s="109">
        <v>1275</v>
      </c>
      <c r="B1278" s="121" t="s">
        <v>2555</v>
      </c>
      <c r="C1278" s="135" t="s">
        <v>2556</v>
      </c>
      <c r="D1278" s="121" t="s">
        <v>14</v>
      </c>
      <c r="E1278" s="121"/>
      <c r="F1278" s="121"/>
      <c r="G1278" s="165">
        <v>0</v>
      </c>
      <c r="H1278" s="10">
        <f t="shared" si="60"/>
        <v>0</v>
      </c>
      <c r="I1278" s="3">
        <f t="shared" si="61"/>
        <v>0</v>
      </c>
      <c r="J1278" s="33">
        <f t="shared" si="62"/>
        <v>0</v>
      </c>
      <c r="K1278" s="33"/>
      <c r="L1278" s="3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</row>
    <row r="1279" spans="1:74" hidden="1">
      <c r="A1279" s="109">
        <v>1276</v>
      </c>
      <c r="B1279" s="194" t="s">
        <v>2557</v>
      </c>
      <c r="C1279" s="195" t="s">
        <v>2558</v>
      </c>
      <c r="D1279" s="121" t="s">
        <v>21</v>
      </c>
      <c r="E1279" s="121"/>
      <c r="F1279" s="121"/>
      <c r="G1279" s="165">
        <v>4220</v>
      </c>
      <c r="H1279" s="10">
        <f t="shared" si="60"/>
        <v>0</v>
      </c>
      <c r="I1279" s="3">
        <f t="shared" si="61"/>
        <v>0</v>
      </c>
      <c r="J1279" s="33">
        <f t="shared" si="62"/>
        <v>4220</v>
      </c>
      <c r="K1279" s="33"/>
      <c r="L1279" s="3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</row>
    <row r="1280" spans="1:74" hidden="1">
      <c r="A1280" s="111">
        <v>1277</v>
      </c>
      <c r="B1280" s="10" t="s">
        <v>2559</v>
      </c>
      <c r="C1280" s="351" t="s">
        <v>2560</v>
      </c>
      <c r="D1280" s="10" t="s">
        <v>21</v>
      </c>
      <c r="E1280" s="121"/>
      <c r="F1280" s="10"/>
      <c r="G1280" s="183">
        <v>1000</v>
      </c>
      <c r="H1280" s="121">
        <f t="shared" si="60"/>
        <v>0</v>
      </c>
      <c r="I1280" s="26">
        <f t="shared" si="61"/>
        <v>0</v>
      </c>
      <c r="J1280" s="30">
        <f t="shared" si="62"/>
        <v>1000</v>
      </c>
      <c r="K1280" s="30"/>
      <c r="L1280" s="30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</row>
    <row r="1281" spans="1:74" hidden="1">
      <c r="A1281" s="111">
        <v>1278</v>
      </c>
      <c r="B1281" s="361" t="s">
        <v>2561</v>
      </c>
      <c r="C1281" s="362" t="s">
        <v>2562</v>
      </c>
      <c r="D1281" s="363" t="s">
        <v>21</v>
      </c>
      <c r="E1281" s="194"/>
      <c r="F1281" s="363"/>
      <c r="G1281" s="196">
        <v>99</v>
      </c>
      <c r="H1281" s="10">
        <f t="shared" si="60"/>
        <v>0</v>
      </c>
      <c r="I1281" s="3">
        <f t="shared" si="61"/>
        <v>0</v>
      </c>
      <c r="J1281" s="33">
        <f t="shared" si="62"/>
        <v>99</v>
      </c>
      <c r="K1281" s="33"/>
      <c r="L1281" s="33"/>
      <c r="M1281" s="13"/>
      <c r="N1281" s="13"/>
      <c r="O1281" s="13"/>
      <c r="P1281" s="13"/>
      <c r="Q1281" s="196"/>
      <c r="R1281" s="197"/>
      <c r="S1281" s="198"/>
      <c r="T1281" s="165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</row>
    <row r="1282" spans="1:74" hidden="1">
      <c r="A1282" s="111">
        <v>1279</v>
      </c>
      <c r="B1282" s="361" t="s">
        <v>2563</v>
      </c>
      <c r="C1282" s="364" t="s">
        <v>2564</v>
      </c>
      <c r="D1282" s="363" t="s">
        <v>14</v>
      </c>
      <c r="E1282" s="194"/>
      <c r="F1282" s="363"/>
      <c r="G1282" s="196">
        <v>0</v>
      </c>
      <c r="H1282" s="10">
        <f t="shared" si="60"/>
        <v>0</v>
      </c>
      <c r="I1282" s="3">
        <f t="shared" si="61"/>
        <v>0</v>
      </c>
      <c r="J1282" s="33">
        <f t="shared" si="62"/>
        <v>0</v>
      </c>
      <c r="K1282" s="33"/>
      <c r="L1282" s="33"/>
      <c r="M1282" s="13"/>
      <c r="N1282" s="13"/>
      <c r="O1282" s="13"/>
      <c r="P1282" s="199"/>
      <c r="Q1282" s="196"/>
      <c r="R1282" s="197"/>
      <c r="S1282" s="198"/>
      <c r="T1282" s="200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</row>
    <row r="1283" spans="1:74" hidden="1">
      <c r="A1283" s="111">
        <v>1280</v>
      </c>
      <c r="B1283" s="361" t="s">
        <v>2565</v>
      </c>
      <c r="C1283" s="365" t="s">
        <v>2566</v>
      </c>
      <c r="D1283" s="363" t="s">
        <v>14</v>
      </c>
      <c r="E1283" s="194"/>
      <c r="F1283" s="363"/>
      <c r="G1283" s="196">
        <v>0</v>
      </c>
      <c r="H1283" s="10">
        <f t="shared" si="60"/>
        <v>0</v>
      </c>
      <c r="I1283" s="3">
        <f t="shared" si="61"/>
        <v>0</v>
      </c>
      <c r="J1283" s="33">
        <f t="shared" si="62"/>
        <v>0</v>
      </c>
      <c r="K1283" s="33"/>
      <c r="L1283" s="33"/>
      <c r="M1283" s="13"/>
      <c r="N1283" s="13"/>
      <c r="O1283" s="13"/>
      <c r="P1283" s="199"/>
      <c r="Q1283" s="196"/>
      <c r="R1283" s="197"/>
      <c r="S1283" s="198"/>
      <c r="T1283" s="200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</row>
    <row r="1284" spans="1:74" hidden="1">
      <c r="A1284" s="111">
        <v>1281</v>
      </c>
      <c r="B1284" s="361" t="s">
        <v>2567</v>
      </c>
      <c r="C1284" s="365" t="s">
        <v>2568</v>
      </c>
      <c r="D1284" s="363" t="s">
        <v>14</v>
      </c>
      <c r="E1284" s="194"/>
      <c r="F1284" s="363"/>
      <c r="G1284" s="196">
        <v>0</v>
      </c>
      <c r="H1284" s="10">
        <f t="shared" si="60"/>
        <v>0</v>
      </c>
      <c r="I1284" s="3">
        <f t="shared" si="61"/>
        <v>0</v>
      </c>
      <c r="J1284" s="33">
        <f t="shared" si="62"/>
        <v>0</v>
      </c>
      <c r="K1284" s="33"/>
      <c r="L1284" s="33"/>
      <c r="M1284" s="13"/>
      <c r="N1284" s="13"/>
      <c r="O1284" s="13"/>
      <c r="P1284" s="199"/>
      <c r="Q1284" s="196"/>
      <c r="R1284" s="197"/>
      <c r="S1284" s="198"/>
      <c r="T1284" s="200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</row>
    <row r="1285" spans="1:74" hidden="1">
      <c r="A1285" s="111">
        <v>1282</v>
      </c>
      <c r="B1285" s="361" t="s">
        <v>2569</v>
      </c>
      <c r="C1285" s="365" t="s">
        <v>2570</v>
      </c>
      <c r="D1285" s="363" t="s">
        <v>14</v>
      </c>
      <c r="E1285" s="194"/>
      <c r="F1285" s="363"/>
      <c r="G1285" s="196">
        <v>0</v>
      </c>
      <c r="H1285" s="10">
        <f t="shared" si="60"/>
        <v>0</v>
      </c>
      <c r="I1285" s="3">
        <f t="shared" si="61"/>
        <v>0</v>
      </c>
      <c r="J1285" s="33">
        <f t="shared" si="62"/>
        <v>0</v>
      </c>
      <c r="K1285" s="33"/>
      <c r="L1285" s="33"/>
      <c r="M1285" s="13"/>
      <c r="N1285" s="13"/>
      <c r="O1285" s="13"/>
      <c r="P1285" s="199"/>
      <c r="Q1285" s="196"/>
      <c r="R1285" s="197"/>
      <c r="S1285" s="198"/>
      <c r="T1285" s="200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</row>
    <row r="1286" spans="1:74" hidden="1">
      <c r="A1286" s="111">
        <v>1283</v>
      </c>
      <c r="B1286" s="361" t="s">
        <v>2571</v>
      </c>
      <c r="C1286" s="365" t="s">
        <v>2572</v>
      </c>
      <c r="D1286" s="363" t="s">
        <v>14</v>
      </c>
      <c r="E1286" s="194"/>
      <c r="F1286" s="363"/>
      <c r="G1286" s="196">
        <v>0</v>
      </c>
      <c r="H1286" s="10">
        <f t="shared" si="60"/>
        <v>0</v>
      </c>
      <c r="I1286" s="3">
        <f t="shared" si="61"/>
        <v>0</v>
      </c>
      <c r="J1286" s="33">
        <f t="shared" si="62"/>
        <v>0</v>
      </c>
      <c r="K1286" s="33"/>
      <c r="L1286" s="33"/>
      <c r="M1286" s="13"/>
      <c r="N1286" s="13"/>
      <c r="O1286" s="13"/>
      <c r="P1286" s="199"/>
      <c r="Q1286" s="196"/>
      <c r="R1286" s="197"/>
      <c r="S1286" s="198"/>
      <c r="T1286" s="200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</row>
    <row r="1287" spans="1:74" hidden="1">
      <c r="A1287" s="111">
        <v>1284</v>
      </c>
      <c r="B1287" s="361" t="s">
        <v>2573</v>
      </c>
      <c r="C1287" s="365" t="s">
        <v>2574</v>
      </c>
      <c r="D1287" s="363" t="s">
        <v>21</v>
      </c>
      <c r="E1287" s="194"/>
      <c r="F1287" s="363"/>
      <c r="G1287" s="196">
        <v>0</v>
      </c>
      <c r="H1287" s="10">
        <f t="shared" si="60"/>
        <v>0</v>
      </c>
      <c r="I1287" s="3">
        <f t="shared" si="61"/>
        <v>0</v>
      </c>
      <c r="J1287" s="33">
        <f t="shared" si="62"/>
        <v>0</v>
      </c>
      <c r="K1287" s="33"/>
      <c r="L1287" s="33"/>
      <c r="M1287" s="13"/>
      <c r="N1287" s="13"/>
      <c r="O1287" s="13"/>
      <c r="P1287" s="199"/>
      <c r="Q1287" s="196"/>
      <c r="R1287" s="197"/>
      <c r="S1287" s="198"/>
      <c r="T1287" s="200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</row>
    <row r="1288" spans="1:74" hidden="1">
      <c r="A1288" s="111">
        <v>1285</v>
      </c>
      <c r="B1288" s="361" t="s">
        <v>2575</v>
      </c>
      <c r="C1288" s="365" t="s">
        <v>2576</v>
      </c>
      <c r="D1288" s="363" t="s">
        <v>21</v>
      </c>
      <c r="E1288" s="194"/>
      <c r="F1288" s="363"/>
      <c r="G1288" s="196">
        <v>0</v>
      </c>
      <c r="H1288" s="10">
        <f t="shared" si="60"/>
        <v>0</v>
      </c>
      <c r="I1288" s="3">
        <f t="shared" si="61"/>
        <v>0</v>
      </c>
      <c r="J1288" s="33">
        <f t="shared" si="62"/>
        <v>0</v>
      </c>
      <c r="K1288" s="33"/>
      <c r="L1288" s="33"/>
      <c r="M1288" s="13"/>
      <c r="N1288" s="13"/>
      <c r="O1288" s="13"/>
      <c r="P1288" s="199"/>
      <c r="Q1288" s="196"/>
      <c r="R1288" s="197"/>
      <c r="S1288" s="198"/>
      <c r="T1288" s="200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</row>
    <row r="1289" spans="1:74" hidden="1">
      <c r="A1289" s="111">
        <v>1286</v>
      </c>
      <c r="B1289" s="361" t="s">
        <v>2577</v>
      </c>
      <c r="C1289" s="365" t="s">
        <v>2578</v>
      </c>
      <c r="D1289" s="363" t="s">
        <v>21</v>
      </c>
      <c r="E1289" s="194"/>
      <c r="F1289" s="363"/>
      <c r="G1289" s="196">
        <v>0</v>
      </c>
      <c r="H1289" s="10">
        <f t="shared" si="60"/>
        <v>0</v>
      </c>
      <c r="I1289" s="3">
        <f t="shared" si="61"/>
        <v>0</v>
      </c>
      <c r="J1289" s="33">
        <f t="shared" si="62"/>
        <v>0</v>
      </c>
      <c r="K1289" s="33"/>
      <c r="L1289" s="33"/>
      <c r="M1289" s="13"/>
      <c r="N1289" s="13"/>
      <c r="O1289" s="13"/>
      <c r="P1289" s="199"/>
      <c r="Q1289" s="196"/>
      <c r="R1289" s="197"/>
      <c r="S1289" s="198"/>
      <c r="T1289" s="200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</row>
    <row r="1290" spans="1:74" hidden="1">
      <c r="A1290" s="111">
        <v>1287</v>
      </c>
      <c r="B1290" s="361" t="s">
        <v>2579</v>
      </c>
      <c r="C1290" s="365" t="s">
        <v>2580</v>
      </c>
      <c r="D1290" s="363" t="s">
        <v>21</v>
      </c>
      <c r="E1290" s="194"/>
      <c r="F1290" s="363"/>
      <c r="G1290" s="196">
        <v>0</v>
      </c>
      <c r="H1290" s="10">
        <f t="shared" si="60"/>
        <v>0</v>
      </c>
      <c r="I1290" s="3">
        <f t="shared" si="61"/>
        <v>0</v>
      </c>
      <c r="J1290" s="33">
        <f t="shared" si="62"/>
        <v>0</v>
      </c>
      <c r="K1290" s="33"/>
      <c r="L1290" s="33"/>
      <c r="M1290" s="13"/>
      <c r="N1290" s="13"/>
      <c r="O1290" s="13"/>
      <c r="P1290" s="199"/>
      <c r="Q1290" s="196"/>
      <c r="R1290" s="197"/>
      <c r="S1290" s="198"/>
      <c r="T1290" s="200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</row>
    <row r="1291" spans="1:74" hidden="1">
      <c r="A1291" s="111">
        <v>1288</v>
      </c>
      <c r="B1291" s="361" t="s">
        <v>2581</v>
      </c>
      <c r="C1291" s="365" t="s">
        <v>2582</v>
      </c>
      <c r="D1291" s="363" t="s">
        <v>21</v>
      </c>
      <c r="E1291" s="194"/>
      <c r="F1291" s="363"/>
      <c r="G1291" s="196">
        <v>0</v>
      </c>
      <c r="H1291" s="10">
        <f t="shared" si="60"/>
        <v>0</v>
      </c>
      <c r="I1291" s="3">
        <f t="shared" si="61"/>
        <v>0</v>
      </c>
      <c r="J1291" s="33">
        <f t="shared" si="62"/>
        <v>0</v>
      </c>
      <c r="K1291" s="33"/>
      <c r="L1291" s="33"/>
      <c r="M1291" s="13"/>
      <c r="N1291" s="13"/>
      <c r="O1291" s="13"/>
      <c r="P1291" s="199"/>
      <c r="Q1291" s="196"/>
      <c r="R1291" s="197"/>
      <c r="S1291" s="198"/>
      <c r="T1291" s="200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</row>
    <row r="1292" spans="1:74" hidden="1">
      <c r="A1292" s="111">
        <v>1289</v>
      </c>
      <c r="B1292" s="361" t="s">
        <v>2583</v>
      </c>
      <c r="C1292" s="365" t="s">
        <v>2584</v>
      </c>
      <c r="D1292" s="363" t="s">
        <v>21</v>
      </c>
      <c r="E1292" s="194"/>
      <c r="F1292" s="363"/>
      <c r="G1292" s="196">
        <v>0</v>
      </c>
      <c r="H1292" s="10">
        <f t="shared" si="60"/>
        <v>0</v>
      </c>
      <c r="I1292" s="3">
        <f t="shared" si="61"/>
        <v>0</v>
      </c>
      <c r="J1292" s="33">
        <f t="shared" si="62"/>
        <v>0</v>
      </c>
      <c r="K1292" s="33"/>
      <c r="L1292" s="33"/>
      <c r="M1292" s="13"/>
      <c r="N1292" s="13"/>
      <c r="O1292" s="13"/>
      <c r="P1292" s="199"/>
      <c r="Q1292" s="196"/>
      <c r="R1292" s="197"/>
      <c r="S1292" s="198"/>
      <c r="T1292" s="200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</row>
    <row r="1293" spans="1:74" hidden="1">
      <c r="A1293" s="111">
        <v>1290</v>
      </c>
      <c r="B1293" s="366" t="s">
        <v>2585</v>
      </c>
      <c r="C1293" s="367" t="s">
        <v>2586</v>
      </c>
      <c r="D1293" s="368" t="s">
        <v>21</v>
      </c>
      <c r="E1293" s="396"/>
      <c r="F1293" s="368"/>
      <c r="G1293" s="201">
        <v>0</v>
      </c>
      <c r="H1293" s="174">
        <f t="shared" si="60"/>
        <v>0</v>
      </c>
      <c r="I1293" s="127">
        <f t="shared" si="61"/>
        <v>0</v>
      </c>
      <c r="J1293" s="173">
        <f t="shared" si="62"/>
        <v>0</v>
      </c>
      <c r="K1293" s="173"/>
      <c r="L1293" s="173"/>
      <c r="M1293" s="202"/>
      <c r="N1293" s="202"/>
      <c r="O1293" s="202"/>
      <c r="P1293" s="203"/>
      <c r="Q1293" s="201"/>
      <c r="R1293" s="204"/>
      <c r="S1293" s="205"/>
      <c r="T1293" s="206"/>
      <c r="U1293" s="202"/>
      <c r="V1293" s="202"/>
      <c r="W1293" s="202"/>
      <c r="X1293" s="202"/>
      <c r="Y1293" s="202"/>
      <c r="Z1293" s="202"/>
      <c r="AA1293" s="202"/>
      <c r="AB1293" s="202"/>
      <c r="AC1293" s="202"/>
      <c r="AD1293" s="202"/>
      <c r="AE1293" s="202"/>
      <c r="AF1293" s="202"/>
      <c r="AG1293" s="202"/>
      <c r="AH1293" s="202"/>
      <c r="AI1293" s="202"/>
      <c r="AJ1293" s="202"/>
      <c r="AK1293" s="202"/>
      <c r="AL1293" s="202"/>
      <c r="AM1293" s="202"/>
      <c r="AN1293" s="202"/>
      <c r="AO1293" s="202"/>
      <c r="AP1293" s="202"/>
      <c r="AQ1293" s="202"/>
      <c r="AR1293" s="202"/>
      <c r="AS1293" s="202"/>
      <c r="AT1293" s="202"/>
      <c r="AU1293" s="202"/>
      <c r="AV1293" s="202"/>
      <c r="AW1293" s="202"/>
      <c r="AX1293" s="202"/>
      <c r="AY1293" s="202"/>
      <c r="AZ1293" s="202"/>
      <c r="BA1293" s="202"/>
      <c r="BB1293" s="202"/>
      <c r="BC1293" s="202"/>
      <c r="BD1293" s="202"/>
      <c r="BE1293" s="202"/>
      <c r="BF1293" s="202"/>
      <c r="BG1293" s="202"/>
      <c r="BH1293" s="202"/>
      <c r="BI1293" s="202"/>
      <c r="BJ1293" s="202"/>
      <c r="BK1293" s="202"/>
      <c r="BL1293" s="202"/>
      <c r="BM1293" s="202"/>
      <c r="BN1293" s="202"/>
      <c r="BO1293" s="202"/>
      <c r="BP1293" s="202"/>
      <c r="BQ1293" s="202"/>
      <c r="BR1293" s="202"/>
      <c r="BS1293" s="202"/>
      <c r="BT1293" s="202"/>
      <c r="BU1293" s="202"/>
      <c r="BV1293" s="202"/>
    </row>
    <row r="1294" spans="1:74" hidden="1">
      <c r="A1294" s="111">
        <v>1291</v>
      </c>
      <c r="B1294" s="347" t="s">
        <v>2587</v>
      </c>
      <c r="C1294" s="350" t="s">
        <v>2588</v>
      </c>
      <c r="D1294" s="10" t="s">
        <v>21</v>
      </c>
      <c r="E1294" s="121"/>
      <c r="F1294" s="10"/>
      <c r="G1294" s="165">
        <v>0</v>
      </c>
      <c r="H1294" s="10">
        <f t="shared" si="60"/>
        <v>0</v>
      </c>
      <c r="I1294" s="3">
        <f t="shared" si="61"/>
        <v>0</v>
      </c>
      <c r="J1294" s="33">
        <f t="shared" si="62"/>
        <v>0</v>
      </c>
      <c r="K1294" s="33"/>
      <c r="L1294" s="3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</row>
    <row r="1295" spans="1:74" ht="30" hidden="1">
      <c r="A1295" s="142">
        <v>1292</v>
      </c>
      <c r="B1295" s="299" t="s">
        <v>2589</v>
      </c>
      <c r="C1295" s="360" t="s">
        <v>2590</v>
      </c>
      <c r="D1295" s="256" t="s">
        <v>14</v>
      </c>
      <c r="E1295" s="121"/>
      <c r="F1295" s="121"/>
      <c r="G1295" s="165">
        <v>31</v>
      </c>
      <c r="H1295" s="10">
        <f t="shared" si="60"/>
        <v>0</v>
      </c>
      <c r="I1295" s="3">
        <f t="shared" si="61"/>
        <v>17</v>
      </c>
      <c r="J1295" s="33">
        <f t="shared" si="62"/>
        <v>14</v>
      </c>
      <c r="K1295" s="33"/>
      <c r="L1295" s="3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>
        <v>12</v>
      </c>
      <c r="AI1295" s="13"/>
      <c r="AJ1295" s="13"/>
      <c r="AK1295" s="13"/>
      <c r="AL1295" s="13"/>
      <c r="AM1295" s="13"/>
      <c r="AN1295" s="13">
        <v>5</v>
      </c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</row>
    <row r="1296" spans="1:74" ht="30" hidden="1">
      <c r="A1296" s="111">
        <v>1293</v>
      </c>
      <c r="B1296" s="207" t="s">
        <v>2591</v>
      </c>
      <c r="C1296" s="192" t="s">
        <v>2592</v>
      </c>
      <c r="D1296" s="121" t="s">
        <v>14</v>
      </c>
      <c r="E1296" s="121"/>
      <c r="F1296" s="121"/>
      <c r="G1296" s="165">
        <v>2</v>
      </c>
      <c r="H1296" s="10">
        <f t="shared" si="60"/>
        <v>0</v>
      </c>
      <c r="I1296" s="3">
        <f t="shared" si="61"/>
        <v>0</v>
      </c>
      <c r="J1296" s="33">
        <f t="shared" si="62"/>
        <v>2</v>
      </c>
      <c r="K1296" s="33"/>
      <c r="L1296" s="3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</row>
    <row r="1297" spans="1:74" ht="30" hidden="1">
      <c r="A1297" s="142">
        <v>1294</v>
      </c>
      <c r="B1297" s="256" t="s">
        <v>2593</v>
      </c>
      <c r="C1297" s="315" t="s">
        <v>2594</v>
      </c>
      <c r="D1297" s="256" t="s">
        <v>21</v>
      </c>
      <c r="E1297" s="121"/>
      <c r="F1297" s="121"/>
      <c r="G1297" s="165">
        <v>5</v>
      </c>
      <c r="H1297" s="10">
        <f t="shared" si="60"/>
        <v>0</v>
      </c>
      <c r="I1297" s="3">
        <f t="shared" si="61"/>
        <v>0</v>
      </c>
      <c r="J1297" s="33">
        <f t="shared" si="62"/>
        <v>5</v>
      </c>
      <c r="K1297" s="33"/>
      <c r="L1297" s="3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</row>
    <row r="1298" spans="1:74" hidden="1">
      <c r="A1298" s="109">
        <v>1295</v>
      </c>
      <c r="B1298" s="194" t="s">
        <v>2595</v>
      </c>
      <c r="C1298" s="195" t="s">
        <v>2596</v>
      </c>
      <c r="D1298" s="208" t="s">
        <v>21</v>
      </c>
      <c r="E1298" s="255"/>
      <c r="F1298" s="255"/>
      <c r="G1298" s="165">
        <v>1000</v>
      </c>
      <c r="H1298" s="10">
        <f t="shared" si="60"/>
        <v>0</v>
      </c>
      <c r="I1298" s="3">
        <f t="shared" si="61"/>
        <v>0</v>
      </c>
      <c r="J1298" s="33">
        <f t="shared" si="62"/>
        <v>1000</v>
      </c>
      <c r="K1298" s="33"/>
      <c r="L1298" s="3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</row>
    <row r="1299" spans="1:74" hidden="1">
      <c r="A1299" s="109">
        <v>1296</v>
      </c>
      <c r="B1299" s="194" t="s">
        <v>2597</v>
      </c>
      <c r="C1299" s="195" t="s">
        <v>2598</v>
      </c>
      <c r="D1299" s="208" t="s">
        <v>14</v>
      </c>
      <c r="E1299" s="255"/>
      <c r="F1299" s="255"/>
      <c r="G1299" s="165">
        <v>0</v>
      </c>
      <c r="H1299" s="10">
        <f t="shared" si="60"/>
        <v>0</v>
      </c>
      <c r="I1299" s="3">
        <f t="shared" si="61"/>
        <v>0</v>
      </c>
      <c r="J1299" s="33">
        <f t="shared" si="62"/>
        <v>0</v>
      </c>
      <c r="K1299" s="33"/>
      <c r="L1299" s="3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</row>
    <row r="1300" spans="1:74" hidden="1">
      <c r="A1300" s="109">
        <v>1297</v>
      </c>
      <c r="B1300" s="194" t="s">
        <v>2599</v>
      </c>
      <c r="C1300" s="195" t="s">
        <v>2600</v>
      </c>
      <c r="D1300" s="208" t="s">
        <v>14</v>
      </c>
      <c r="E1300" s="255"/>
      <c r="F1300" s="255"/>
      <c r="G1300" s="165">
        <v>3</v>
      </c>
      <c r="H1300" s="10">
        <f t="shared" si="60"/>
        <v>0</v>
      </c>
      <c r="I1300" s="3">
        <f t="shared" si="61"/>
        <v>0</v>
      </c>
      <c r="J1300" s="33">
        <f t="shared" si="62"/>
        <v>3</v>
      </c>
      <c r="K1300" s="33"/>
      <c r="L1300" s="3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</row>
    <row r="1301" spans="1:74" hidden="1">
      <c r="A1301" s="142">
        <v>1298</v>
      </c>
      <c r="B1301" s="302" t="s">
        <v>2601</v>
      </c>
      <c r="C1301" s="259" t="s">
        <v>2602</v>
      </c>
      <c r="D1301" s="303" t="s">
        <v>14</v>
      </c>
      <c r="E1301" s="255"/>
      <c r="F1301" s="255"/>
      <c r="G1301" s="165">
        <v>0</v>
      </c>
      <c r="H1301" s="10">
        <f t="shared" si="60"/>
        <v>0</v>
      </c>
      <c r="I1301" s="3">
        <f t="shared" si="61"/>
        <v>0</v>
      </c>
      <c r="J1301" s="33">
        <f t="shared" si="62"/>
        <v>0</v>
      </c>
      <c r="K1301" s="33"/>
      <c r="L1301" s="3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</row>
    <row r="1302" spans="1:74" hidden="1">
      <c r="A1302" s="142">
        <v>1299</v>
      </c>
      <c r="B1302" s="339" t="s">
        <v>2603</v>
      </c>
      <c r="C1302" s="260" t="s">
        <v>2604</v>
      </c>
      <c r="D1302" s="303" t="s">
        <v>14</v>
      </c>
      <c r="E1302" s="255"/>
      <c r="F1302" s="255"/>
      <c r="G1302" s="165">
        <v>0</v>
      </c>
      <c r="H1302" s="10">
        <f t="shared" si="60"/>
        <v>0</v>
      </c>
      <c r="I1302" s="3">
        <f t="shared" si="61"/>
        <v>0</v>
      </c>
      <c r="J1302" s="33">
        <f t="shared" si="62"/>
        <v>0</v>
      </c>
      <c r="K1302" s="33"/>
      <c r="L1302" s="3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</row>
    <row r="1303" spans="1:74" s="92" customFormat="1" hidden="1">
      <c r="A1303" s="109">
        <v>1300</v>
      </c>
      <c r="B1303" s="369" t="s">
        <v>2605</v>
      </c>
      <c r="C1303" s="370" t="s">
        <v>2606</v>
      </c>
      <c r="D1303" s="26" t="s">
        <v>14</v>
      </c>
      <c r="E1303" s="26"/>
      <c r="F1303" s="26"/>
      <c r="G1303" s="30">
        <v>0</v>
      </c>
      <c r="H1303" s="26">
        <f t="shared" si="60"/>
        <v>0</v>
      </c>
      <c r="I1303" s="26">
        <f t="shared" si="61"/>
        <v>0</v>
      </c>
      <c r="J1303" s="30">
        <f t="shared" si="62"/>
        <v>0</v>
      </c>
      <c r="K1303" s="30"/>
      <c r="L1303" s="30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  <c r="AA1303" s="26"/>
      <c r="AB1303" s="26"/>
      <c r="AC1303" s="26"/>
      <c r="AD1303" s="26"/>
      <c r="AE1303" s="26"/>
      <c r="AF1303" s="26"/>
      <c r="AG1303" s="26"/>
      <c r="AH1303" s="26"/>
      <c r="AI1303" s="26"/>
      <c r="AJ1303" s="26"/>
      <c r="AK1303" s="26"/>
      <c r="AL1303" s="26"/>
      <c r="AM1303" s="26"/>
      <c r="AN1303" s="26"/>
      <c r="AO1303" s="26"/>
      <c r="AP1303" s="26"/>
      <c r="AQ1303" s="26"/>
      <c r="AR1303" s="26"/>
      <c r="AS1303" s="26"/>
      <c r="AT1303" s="26"/>
      <c r="AU1303" s="26"/>
      <c r="AV1303" s="26"/>
      <c r="AW1303" s="26"/>
      <c r="AX1303" s="26"/>
      <c r="AY1303" s="26"/>
      <c r="AZ1303" s="26"/>
      <c r="BA1303" s="26"/>
      <c r="BB1303" s="26"/>
      <c r="BC1303" s="26"/>
      <c r="BD1303" s="26"/>
      <c r="BE1303" s="26"/>
      <c r="BF1303" s="26"/>
      <c r="BG1303" s="26"/>
      <c r="BH1303" s="26"/>
      <c r="BI1303" s="26"/>
      <c r="BJ1303" s="26"/>
      <c r="BK1303" s="26"/>
      <c r="BL1303" s="26"/>
      <c r="BM1303" s="26"/>
      <c r="BN1303" s="26"/>
      <c r="BO1303" s="26"/>
      <c r="BP1303" s="26"/>
      <c r="BQ1303" s="26"/>
      <c r="BR1303" s="26"/>
      <c r="BS1303" s="26"/>
      <c r="BT1303" s="26"/>
      <c r="BU1303" s="26"/>
      <c r="BV1303" s="26"/>
    </row>
    <row r="1304" spans="1:74" s="92" customFormat="1" hidden="1">
      <c r="A1304" s="142">
        <v>1301</v>
      </c>
      <c r="B1304" s="304" t="s">
        <v>2607</v>
      </c>
      <c r="C1304" s="402" t="s">
        <v>2608</v>
      </c>
      <c r="D1304" s="256" t="s">
        <v>21</v>
      </c>
      <c r="E1304" s="121"/>
      <c r="F1304" s="121"/>
      <c r="G1304" s="183">
        <v>238</v>
      </c>
      <c r="H1304" s="121">
        <f t="shared" ref="H1304:H1306" si="63">SUM(M1304+O1304+Q1304+S1304+U1304+W1304+Y1304+AA1304+AC1304+AE1304+AG1304+AI1304+AK1304+AM1304+AO1304+AQ1304+AS1304+AU1304+AW1304+AY1304+BA1304+BC1304+BE1304+BG1304+BI1304+BK1304+BM1304+BO1304+BQ1304+BS1304+BU1304)</f>
        <v>6</v>
      </c>
      <c r="I1304" s="26">
        <f t="shared" ref="I1304:I1306" si="64">SUM(N1304+P1304+R1304+T1304+V1304+X1304+Z1304+AB1304+AD1304+AF1304+AH1304+AJ1304+AL1304+AN1304+AP1304+AR1304+AT1304+AV1304+AX1304+AZ1304+BB1304+BD1304+BF1304+BH1304+BJ1304+BL1304+BN1304+BP1304+BR1304+BT1304+BV1304)</f>
        <v>200</v>
      </c>
      <c r="J1304" s="30">
        <f t="shared" ref="J1304:J1315" si="65">G1304+H1304-I1304</f>
        <v>44</v>
      </c>
      <c r="K1304" s="30"/>
      <c r="L1304" s="30"/>
      <c r="M1304" s="121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>
        <v>6</v>
      </c>
      <c r="X1304" s="121"/>
      <c r="Y1304" s="121"/>
      <c r="Z1304" s="121">
        <v>50</v>
      </c>
      <c r="AA1304" s="121"/>
      <c r="AB1304" s="121">
        <v>30</v>
      </c>
      <c r="AC1304" s="121"/>
      <c r="AD1304" s="121">
        <f>20+18</f>
        <v>38</v>
      </c>
      <c r="AE1304" s="121"/>
      <c r="AF1304" s="121">
        <f>20+12</f>
        <v>32</v>
      </c>
      <c r="AG1304" s="121"/>
      <c r="AH1304" s="121"/>
      <c r="AI1304" s="121"/>
      <c r="AJ1304" s="121"/>
      <c r="AK1304" s="121"/>
      <c r="AL1304" s="121">
        <v>50</v>
      </c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</row>
    <row r="1305" spans="1:74" hidden="1">
      <c r="A1305" s="142">
        <v>1302</v>
      </c>
      <c r="B1305" s="302" t="s">
        <v>2609</v>
      </c>
      <c r="C1305" s="259" t="s">
        <v>2610</v>
      </c>
      <c r="D1305" s="303" t="s">
        <v>14</v>
      </c>
      <c r="E1305" s="255"/>
      <c r="F1305" s="255"/>
      <c r="G1305" s="165">
        <v>0</v>
      </c>
      <c r="H1305" s="10">
        <f t="shared" si="63"/>
        <v>0</v>
      </c>
      <c r="I1305" s="3">
        <f t="shared" si="64"/>
        <v>0</v>
      </c>
      <c r="J1305" s="33">
        <f t="shared" si="65"/>
        <v>0</v>
      </c>
      <c r="K1305" s="33"/>
      <c r="L1305" s="3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</row>
    <row r="1306" spans="1:74" hidden="1">
      <c r="A1306" s="109">
        <v>1303</v>
      </c>
      <c r="B1306" s="209" t="s">
        <v>2611</v>
      </c>
      <c r="C1306" s="210" t="s">
        <v>2612</v>
      </c>
      <c r="D1306" s="121" t="s">
        <v>14</v>
      </c>
      <c r="E1306" s="121"/>
      <c r="F1306" s="121"/>
      <c r="G1306" s="165">
        <v>1</v>
      </c>
      <c r="H1306" s="10">
        <f t="shared" si="63"/>
        <v>0</v>
      </c>
      <c r="I1306" s="3">
        <f t="shared" si="64"/>
        <v>0</v>
      </c>
      <c r="J1306" s="33">
        <f t="shared" si="65"/>
        <v>1</v>
      </c>
      <c r="K1306" s="33"/>
      <c r="L1306" s="3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</row>
    <row r="1307" spans="1:74" s="92" customFormat="1" hidden="1">
      <c r="A1307" s="142">
        <v>1304</v>
      </c>
      <c r="B1307" s="425" t="s">
        <v>2613</v>
      </c>
      <c r="C1307" s="426" t="s">
        <v>2614</v>
      </c>
      <c r="D1307" s="256" t="s">
        <v>14</v>
      </c>
      <c r="E1307" s="121"/>
      <c r="F1307" s="121"/>
      <c r="G1307" s="183">
        <v>12</v>
      </c>
      <c r="H1307" s="121">
        <f t="shared" ref="H1307:H1324" si="66">SUM(M1307+O1307+Q1307+S1307+U1307+W1307+Y1307+AA1307+AC1307+AE1307+AG1307+AI1307+AK1307+AM1307+AO1307+AQ1307+AS1307+AU1307+AW1307+AY1307+BA1307+BC1307+BE1307+BG1307+BI1307+BK1307+BM1307+BO1307+BQ1307+BS1307+BU1307)</f>
        <v>0</v>
      </c>
      <c r="I1307" s="26">
        <f t="shared" ref="I1307:I1324" si="67">SUM(N1307+P1307+R1307+T1307+V1307+X1307+Z1307+AB1307+AD1307+AF1307+AH1307+AJ1307+AL1307+AN1307+AP1307+AR1307+AT1307+AV1307+AX1307+AZ1307+BB1307+BD1307+BF1307+BH1307+BJ1307+BL1307+BN1307+BP1307+BR1307+BT1307+BV1307)</f>
        <v>6</v>
      </c>
      <c r="J1307" s="30">
        <f t="shared" si="65"/>
        <v>6</v>
      </c>
      <c r="K1307" s="30"/>
      <c r="L1307" s="30"/>
      <c r="M1307" s="121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>
        <v>6</v>
      </c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255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</row>
    <row r="1308" spans="1:74" s="92" customFormat="1" hidden="1">
      <c r="A1308" s="142">
        <v>1305</v>
      </c>
      <c r="B1308" s="302" t="s">
        <v>2615</v>
      </c>
      <c r="C1308" s="371" t="s">
        <v>2616</v>
      </c>
      <c r="D1308" s="256" t="s">
        <v>21</v>
      </c>
      <c r="E1308" s="121"/>
      <c r="F1308" s="121"/>
      <c r="G1308" s="183">
        <v>0</v>
      </c>
      <c r="H1308" s="121">
        <f t="shared" si="66"/>
        <v>0</v>
      </c>
      <c r="I1308" s="26">
        <f t="shared" si="67"/>
        <v>0</v>
      </c>
      <c r="J1308" s="30">
        <f t="shared" si="65"/>
        <v>0</v>
      </c>
      <c r="K1308" s="30"/>
      <c r="L1308" s="30"/>
      <c r="M1308" s="121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</row>
    <row r="1309" spans="1:74" s="92" customFormat="1" hidden="1">
      <c r="A1309" s="142">
        <v>1306</v>
      </c>
      <c r="B1309" s="302" t="s">
        <v>2617</v>
      </c>
      <c r="C1309" s="371" t="s">
        <v>2618</v>
      </c>
      <c r="D1309" s="256" t="s">
        <v>21</v>
      </c>
      <c r="E1309" s="121"/>
      <c r="F1309" s="121"/>
      <c r="G1309" s="183">
        <v>0</v>
      </c>
      <c r="H1309" s="121">
        <f t="shared" si="66"/>
        <v>0</v>
      </c>
      <c r="I1309" s="26">
        <f t="shared" si="67"/>
        <v>0</v>
      </c>
      <c r="J1309" s="30">
        <f t="shared" si="65"/>
        <v>0</v>
      </c>
      <c r="K1309" s="30"/>
      <c r="L1309" s="30"/>
      <c r="M1309" s="121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</row>
    <row r="1310" spans="1:74" s="92" customFormat="1" hidden="1">
      <c r="A1310" s="142">
        <v>1307</v>
      </c>
      <c r="B1310" s="302" t="s">
        <v>2619</v>
      </c>
      <c r="C1310" s="371" t="s">
        <v>2620</v>
      </c>
      <c r="D1310" s="256" t="s">
        <v>21</v>
      </c>
      <c r="E1310" s="121"/>
      <c r="F1310" s="121"/>
      <c r="G1310" s="183">
        <v>0</v>
      </c>
      <c r="H1310" s="121">
        <f t="shared" si="66"/>
        <v>0</v>
      </c>
      <c r="I1310" s="26">
        <f t="shared" si="67"/>
        <v>0</v>
      </c>
      <c r="J1310" s="30">
        <f t="shared" si="65"/>
        <v>0</v>
      </c>
      <c r="K1310" s="30"/>
      <c r="L1310" s="30"/>
      <c r="M1310" s="121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244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</row>
    <row r="1311" spans="1:74" s="92" customFormat="1" hidden="1">
      <c r="A1311" s="142">
        <v>1308</v>
      </c>
      <c r="B1311" s="302" t="s">
        <v>2621</v>
      </c>
      <c r="C1311" s="259" t="s">
        <v>2622</v>
      </c>
      <c r="D1311" s="303" t="s">
        <v>21</v>
      </c>
      <c r="E1311" s="255"/>
      <c r="F1311" s="255"/>
      <c r="G1311" s="183">
        <v>0</v>
      </c>
      <c r="H1311" s="121">
        <f t="shared" si="66"/>
        <v>0</v>
      </c>
      <c r="I1311" s="26">
        <f t="shared" si="67"/>
        <v>0</v>
      </c>
      <c r="J1311" s="30">
        <f t="shared" si="65"/>
        <v>0</v>
      </c>
      <c r="K1311" s="30"/>
      <c r="L1311" s="30"/>
      <c r="M1311" s="121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</row>
    <row r="1312" spans="1:74" hidden="1">
      <c r="A1312" s="109">
        <v>1309</v>
      </c>
      <c r="B1312" s="194" t="s">
        <v>2623</v>
      </c>
      <c r="C1312" s="211" t="s">
        <v>2624</v>
      </c>
      <c r="D1312" s="208" t="s">
        <v>21</v>
      </c>
      <c r="E1312" s="255"/>
      <c r="F1312" s="255"/>
      <c r="G1312" s="165">
        <v>500</v>
      </c>
      <c r="H1312" s="10">
        <f t="shared" si="66"/>
        <v>0</v>
      </c>
      <c r="I1312" s="3">
        <f t="shared" si="67"/>
        <v>0</v>
      </c>
      <c r="J1312" s="33">
        <f t="shared" si="65"/>
        <v>500</v>
      </c>
      <c r="K1312" s="33"/>
      <c r="L1312" s="3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</row>
    <row r="1313" spans="1:74" hidden="1">
      <c r="A1313" s="142">
        <v>1310</v>
      </c>
      <c r="B1313" s="302" t="s">
        <v>2625</v>
      </c>
      <c r="C1313" s="359" t="s">
        <v>2626</v>
      </c>
      <c r="D1313" s="303" t="s">
        <v>14</v>
      </c>
      <c r="E1313" s="255"/>
      <c r="F1313" s="255"/>
      <c r="G1313" s="165">
        <v>0</v>
      </c>
      <c r="H1313" s="10">
        <f t="shared" si="66"/>
        <v>0</v>
      </c>
      <c r="I1313" s="3">
        <f t="shared" si="67"/>
        <v>0</v>
      </c>
      <c r="J1313" s="33">
        <f t="shared" si="65"/>
        <v>0</v>
      </c>
      <c r="K1313" s="33"/>
      <c r="L1313" s="3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</row>
    <row r="1314" spans="1:74" ht="30" hidden="1" customHeight="1">
      <c r="A1314" s="142">
        <v>1311</v>
      </c>
      <c r="B1314" s="302" t="s">
        <v>2627</v>
      </c>
      <c r="C1314" s="359" t="s">
        <v>2628</v>
      </c>
      <c r="D1314" s="303" t="s">
        <v>14</v>
      </c>
      <c r="E1314" s="255"/>
      <c r="F1314" s="255"/>
      <c r="G1314" s="165">
        <v>0</v>
      </c>
      <c r="H1314" s="10">
        <f t="shared" si="66"/>
        <v>0</v>
      </c>
      <c r="I1314" s="3">
        <f t="shared" si="67"/>
        <v>0</v>
      </c>
      <c r="J1314" s="33">
        <f t="shared" si="65"/>
        <v>0</v>
      </c>
      <c r="K1314" s="33"/>
      <c r="L1314" s="3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</row>
    <row r="1315" spans="1:74" ht="30" hidden="1">
      <c r="A1315" s="142">
        <v>1312</v>
      </c>
      <c r="B1315" s="304" t="s">
        <v>2629</v>
      </c>
      <c r="C1315" s="359" t="s">
        <v>2630</v>
      </c>
      <c r="D1315" s="303" t="s">
        <v>14</v>
      </c>
      <c r="E1315" s="255"/>
      <c r="F1315" s="255"/>
      <c r="G1315" s="165">
        <v>0</v>
      </c>
      <c r="H1315" s="10">
        <f t="shared" si="66"/>
        <v>0</v>
      </c>
      <c r="I1315" s="3">
        <f t="shared" si="67"/>
        <v>0</v>
      </c>
      <c r="J1315" s="33">
        <f t="shared" si="65"/>
        <v>0</v>
      </c>
      <c r="K1315" s="33"/>
      <c r="L1315" s="3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</row>
    <row r="1316" spans="1:74" hidden="1">
      <c r="A1316" s="142">
        <v>1313</v>
      </c>
      <c r="B1316" s="304" t="s">
        <v>2631</v>
      </c>
      <c r="C1316" s="422" t="s">
        <v>2632</v>
      </c>
      <c r="D1316" s="303" t="s">
        <v>21</v>
      </c>
      <c r="E1316" s="255"/>
      <c r="F1316" s="255"/>
      <c r="G1316" s="165">
        <v>0</v>
      </c>
      <c r="H1316" s="10">
        <f t="shared" si="66"/>
        <v>0</v>
      </c>
      <c r="I1316" s="3">
        <f t="shared" si="67"/>
        <v>0</v>
      </c>
      <c r="J1316" s="33">
        <f t="shared" ref="J1316:J1324" si="68">G1316+H1316-I1316</f>
        <v>0</v>
      </c>
      <c r="K1316" s="33"/>
      <c r="L1316" s="3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</row>
    <row r="1317" spans="1:74" hidden="1">
      <c r="A1317" s="142">
        <v>1314</v>
      </c>
      <c r="B1317" s="304" t="s">
        <v>2633</v>
      </c>
      <c r="C1317" s="359" t="s">
        <v>2634</v>
      </c>
      <c r="D1317" s="303" t="s">
        <v>21</v>
      </c>
      <c r="E1317" s="255"/>
      <c r="F1317" s="255"/>
      <c r="G1317" s="165">
        <v>34</v>
      </c>
      <c r="H1317" s="10">
        <f t="shared" si="66"/>
        <v>0</v>
      </c>
      <c r="I1317" s="3">
        <f t="shared" si="67"/>
        <v>0</v>
      </c>
      <c r="J1317" s="33">
        <f t="shared" si="68"/>
        <v>34</v>
      </c>
      <c r="K1317" s="33"/>
      <c r="L1317" s="3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</row>
    <row r="1318" spans="1:74" hidden="1">
      <c r="A1318" s="142">
        <v>1315</v>
      </c>
      <c r="B1318" s="304" t="s">
        <v>2635</v>
      </c>
      <c r="C1318" s="359" t="s">
        <v>2636</v>
      </c>
      <c r="D1318" s="303" t="s">
        <v>21</v>
      </c>
      <c r="E1318" s="255"/>
      <c r="F1318" s="255"/>
      <c r="G1318" s="165">
        <v>0</v>
      </c>
      <c r="H1318" s="10">
        <f t="shared" si="66"/>
        <v>0</v>
      </c>
      <c r="I1318" s="3">
        <f t="shared" si="67"/>
        <v>0</v>
      </c>
      <c r="J1318" s="33">
        <f t="shared" si="68"/>
        <v>0</v>
      </c>
      <c r="K1318" s="33"/>
      <c r="L1318" s="3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</row>
    <row r="1319" spans="1:74" hidden="1">
      <c r="A1319" s="142">
        <v>1316</v>
      </c>
      <c r="B1319" s="299" t="s">
        <v>2637</v>
      </c>
      <c r="C1319" s="290" t="s">
        <v>2638</v>
      </c>
      <c r="D1319" s="256" t="s">
        <v>21</v>
      </c>
      <c r="E1319" s="121"/>
      <c r="F1319" s="121"/>
      <c r="G1319" s="165">
        <v>0</v>
      </c>
      <c r="H1319" s="10">
        <f t="shared" si="66"/>
        <v>0</v>
      </c>
      <c r="I1319" s="3">
        <f t="shared" si="67"/>
        <v>0</v>
      </c>
      <c r="J1319" s="33">
        <f t="shared" si="68"/>
        <v>0</v>
      </c>
      <c r="K1319" s="33"/>
      <c r="L1319" s="3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</row>
    <row r="1320" spans="1:74" hidden="1">
      <c r="A1320" s="142">
        <v>1317</v>
      </c>
      <c r="B1320" s="256" t="s">
        <v>2639</v>
      </c>
      <c r="C1320" s="340" t="s">
        <v>2640</v>
      </c>
      <c r="D1320" s="256" t="s">
        <v>14</v>
      </c>
      <c r="E1320" s="121"/>
      <c r="F1320" s="121"/>
      <c r="G1320" s="165">
        <v>0</v>
      </c>
      <c r="H1320" s="10">
        <f t="shared" si="66"/>
        <v>0</v>
      </c>
      <c r="I1320" s="3">
        <f t="shared" si="67"/>
        <v>0</v>
      </c>
      <c r="J1320" s="33">
        <f t="shared" si="68"/>
        <v>0</v>
      </c>
      <c r="K1320" s="33"/>
      <c r="L1320" s="3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</row>
    <row r="1321" spans="1:74" hidden="1">
      <c r="A1321" s="142">
        <v>1318</v>
      </c>
      <c r="B1321" s="256" t="s">
        <v>2641</v>
      </c>
      <c r="C1321" s="340" t="s">
        <v>2642</v>
      </c>
      <c r="D1321" s="256" t="s">
        <v>14</v>
      </c>
      <c r="E1321" s="121"/>
      <c r="F1321" s="121"/>
      <c r="G1321" s="165">
        <v>0</v>
      </c>
      <c r="H1321" s="10">
        <f t="shared" si="66"/>
        <v>0</v>
      </c>
      <c r="I1321" s="3">
        <f t="shared" si="67"/>
        <v>0</v>
      </c>
      <c r="J1321" s="33">
        <f t="shared" si="68"/>
        <v>0</v>
      </c>
      <c r="K1321" s="33"/>
      <c r="L1321" s="3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</row>
    <row r="1322" spans="1:74" hidden="1">
      <c r="A1322" s="142">
        <v>1319</v>
      </c>
      <c r="B1322" s="423" t="s">
        <v>2643</v>
      </c>
      <c r="C1322" s="424" t="s">
        <v>2644</v>
      </c>
      <c r="D1322" s="256" t="s">
        <v>14</v>
      </c>
      <c r="E1322" s="121"/>
      <c r="F1322" s="121"/>
      <c r="G1322" s="165">
        <v>0</v>
      </c>
      <c r="H1322" s="10">
        <f t="shared" si="66"/>
        <v>0</v>
      </c>
      <c r="I1322" s="3">
        <f t="shared" si="67"/>
        <v>0</v>
      </c>
      <c r="J1322" s="33">
        <f t="shared" si="68"/>
        <v>0</v>
      </c>
      <c r="K1322" s="33"/>
      <c r="L1322" s="3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</row>
    <row r="1323" spans="1:74" hidden="1">
      <c r="A1323" s="109">
        <v>1320</v>
      </c>
      <c r="B1323" s="121" t="s">
        <v>2645</v>
      </c>
      <c r="C1323" s="135" t="s">
        <v>2646</v>
      </c>
      <c r="D1323" s="121" t="s">
        <v>2647</v>
      </c>
      <c r="E1323" s="121"/>
      <c r="F1323" s="121"/>
      <c r="G1323" s="165">
        <v>0</v>
      </c>
      <c r="H1323" s="10">
        <f t="shared" si="66"/>
        <v>0</v>
      </c>
      <c r="I1323" s="3">
        <f t="shared" si="67"/>
        <v>0</v>
      </c>
      <c r="J1323" s="33">
        <f t="shared" si="68"/>
        <v>0</v>
      </c>
      <c r="K1323" s="33"/>
      <c r="L1323" s="3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</row>
    <row r="1324" spans="1:74" hidden="1">
      <c r="A1324" s="109">
        <v>1321</v>
      </c>
      <c r="B1324" s="121" t="s">
        <v>2648</v>
      </c>
      <c r="C1324" s="135" t="s">
        <v>2649</v>
      </c>
      <c r="D1324" s="121" t="s">
        <v>2647</v>
      </c>
      <c r="E1324" s="121"/>
      <c r="F1324" s="121"/>
      <c r="G1324" s="165">
        <v>0</v>
      </c>
      <c r="H1324" s="10">
        <f t="shared" si="66"/>
        <v>0</v>
      </c>
      <c r="I1324" s="3">
        <f t="shared" si="67"/>
        <v>0</v>
      </c>
      <c r="J1324" s="33">
        <f t="shared" si="68"/>
        <v>0</v>
      </c>
      <c r="K1324" s="33"/>
      <c r="L1324" s="3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</row>
    <row r="1325" spans="1:74" hidden="1">
      <c r="A1325" s="109">
        <v>1322</v>
      </c>
      <c r="B1325" s="121" t="s">
        <v>2650</v>
      </c>
      <c r="C1325" s="135" t="s">
        <v>2651</v>
      </c>
      <c r="D1325" s="121" t="s">
        <v>2647</v>
      </c>
      <c r="E1325" s="121"/>
      <c r="F1325" s="121"/>
      <c r="G1325" s="165">
        <v>0</v>
      </c>
      <c r="H1325" s="10">
        <f t="shared" ref="H1325:H1327" si="69">SUM(M1325+O1325+Q1325+S1325+U1325+W1325+Y1325+AA1325+AC1325+AE1325+AG1325+AI1325+AK1325+AM1325+AO1325+AQ1325+AS1325+AU1325+AW1325+AY1325+BA1325+BC1325+BE1325+BG1325+BI1325+BK1325+BM1325+BO1325+BQ1325+BS1325+BU1325)</f>
        <v>0</v>
      </c>
      <c r="I1325" s="3">
        <f t="shared" ref="I1325:I1327" si="70">SUM(N1325+P1325+R1325+T1325+V1325+X1325+Z1325+AB1325+AD1325+AF1325+AH1325+AJ1325+AL1325+AN1325+AP1325+AR1325+AT1325+AV1325+AX1325+AZ1325+BB1325+BD1325+BF1325+BH1325+BJ1325+BL1325+BN1325+BP1325+BR1325+BT1325+BV1325)</f>
        <v>0</v>
      </c>
      <c r="J1325" s="33">
        <f t="shared" ref="J1325:J1327" si="71">G1325+H1325-I1325</f>
        <v>0</v>
      </c>
      <c r="K1325" s="33"/>
      <c r="L1325" s="3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</row>
    <row r="1326" spans="1:74" hidden="1">
      <c r="A1326" s="111">
        <v>1323</v>
      </c>
      <c r="B1326" s="121" t="s">
        <v>2652</v>
      </c>
      <c r="C1326" s="135" t="s">
        <v>2653</v>
      </c>
      <c r="D1326" s="121" t="s">
        <v>2647</v>
      </c>
      <c r="E1326" s="121"/>
      <c r="F1326" s="121"/>
      <c r="G1326" s="165">
        <v>5000</v>
      </c>
      <c r="H1326" s="10">
        <f t="shared" si="69"/>
        <v>0</v>
      </c>
      <c r="I1326" s="3">
        <f t="shared" si="70"/>
        <v>0</v>
      </c>
      <c r="J1326" s="33">
        <f t="shared" si="71"/>
        <v>5000</v>
      </c>
      <c r="K1326" s="33"/>
      <c r="L1326" s="3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</row>
    <row r="1327" spans="1:74" hidden="1">
      <c r="A1327" s="142">
        <v>1324</v>
      </c>
      <c r="B1327" s="256" t="s">
        <v>2654</v>
      </c>
      <c r="C1327" s="290" t="s">
        <v>2655</v>
      </c>
      <c r="D1327" s="256" t="s">
        <v>2647</v>
      </c>
      <c r="E1327" s="121"/>
      <c r="F1327" s="121"/>
      <c r="G1327" s="165">
        <v>94</v>
      </c>
      <c r="H1327" s="10">
        <f t="shared" si="69"/>
        <v>0</v>
      </c>
      <c r="I1327" s="3">
        <f t="shared" si="70"/>
        <v>50</v>
      </c>
      <c r="J1327" s="33">
        <f t="shared" si="71"/>
        <v>44</v>
      </c>
      <c r="K1327" s="33"/>
      <c r="L1327" s="3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>
        <v>20</v>
      </c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>
        <v>30</v>
      </c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</row>
    <row r="1328" spans="1:74" hidden="1">
      <c r="A1328" s="109">
        <v>1325</v>
      </c>
      <c r="B1328" s="121" t="s">
        <v>2656</v>
      </c>
      <c r="C1328" s="135" t="s">
        <v>2657</v>
      </c>
      <c r="D1328" s="121" t="s">
        <v>2647</v>
      </c>
      <c r="E1328" s="121"/>
      <c r="F1328" s="121"/>
      <c r="G1328" s="165">
        <v>37</v>
      </c>
      <c r="H1328" s="10">
        <f t="shared" ref="H1328:H1380" si="72">SUM(M1328+O1328+Q1328+S1328+U1328+W1328+Y1328+AA1328+AC1328+AE1328+AG1328+AI1328+AK1328+AM1328+AO1328+AQ1328+AS1328+AU1328+AW1328+AY1328+BA1328+BC1328+BE1328+BG1328+BI1328+BK1328+BM1328+BO1328+BQ1328+BS1328+BU1328)</f>
        <v>0</v>
      </c>
      <c r="I1328" s="3">
        <f t="shared" ref="I1328:I1380" si="73">SUM(N1328+P1328+R1328+T1328+V1328+X1328+Z1328+AB1328+AD1328+AF1328+AH1328+AJ1328+AL1328+AN1328+AP1328+AR1328+AT1328+AV1328+AX1328+AZ1328+BB1328+BD1328+BF1328+BH1328+BJ1328+BL1328+BN1328+BP1328+BR1328+BT1328+BV1328)</f>
        <v>0</v>
      </c>
      <c r="J1328" s="33">
        <f t="shared" ref="J1328:J1380" si="74">G1328+H1328-I1328</f>
        <v>37</v>
      </c>
      <c r="K1328" s="33"/>
      <c r="L1328" s="3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</row>
    <row r="1329" spans="1:74" hidden="1">
      <c r="A1329" s="142">
        <v>1326</v>
      </c>
      <c r="B1329" s="147" t="s">
        <v>2658</v>
      </c>
      <c r="C1329" s="317" t="s">
        <v>2659</v>
      </c>
      <c r="D1329" s="147" t="s">
        <v>2647</v>
      </c>
      <c r="E1329" s="126"/>
      <c r="F1329" s="126"/>
      <c r="G1329" s="165">
        <v>1</v>
      </c>
      <c r="H1329" s="10">
        <f t="shared" si="72"/>
        <v>0</v>
      </c>
      <c r="I1329" s="3">
        <f t="shared" si="73"/>
        <v>0</v>
      </c>
      <c r="J1329" s="33">
        <f t="shared" si="74"/>
        <v>1</v>
      </c>
      <c r="K1329" s="33"/>
      <c r="L1329" s="3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</row>
    <row r="1330" spans="1:74" s="92" customFormat="1" hidden="1">
      <c r="A1330" s="109">
        <v>1327</v>
      </c>
      <c r="B1330" s="121" t="s">
        <v>2660</v>
      </c>
      <c r="C1330" s="135" t="s">
        <v>2661</v>
      </c>
      <c r="D1330" s="121" t="s">
        <v>2647</v>
      </c>
      <c r="E1330" s="121"/>
      <c r="F1330" s="121"/>
      <c r="G1330" s="183">
        <v>0</v>
      </c>
      <c r="H1330" s="121">
        <f t="shared" si="72"/>
        <v>0</v>
      </c>
      <c r="I1330" s="26">
        <f t="shared" si="73"/>
        <v>0</v>
      </c>
      <c r="J1330" s="30">
        <f t="shared" si="74"/>
        <v>0</v>
      </c>
      <c r="K1330" s="30"/>
      <c r="L1330" s="30"/>
      <c r="M1330" s="121"/>
      <c r="N1330" s="121"/>
      <c r="O1330" s="121"/>
      <c r="P1330" s="121"/>
      <c r="Q1330" s="121"/>
      <c r="R1330" s="121"/>
      <c r="S1330" s="121"/>
      <c r="T1330" s="121"/>
      <c r="U1330" s="121"/>
      <c r="V1330" s="121"/>
      <c r="W1330" s="121"/>
      <c r="X1330" s="121"/>
      <c r="Y1330" s="121"/>
      <c r="Z1330" s="121"/>
      <c r="AA1330" s="121"/>
      <c r="AB1330" s="121"/>
      <c r="AC1330" s="121"/>
      <c r="AD1330" s="121"/>
      <c r="AE1330" s="121"/>
      <c r="AF1330" s="121"/>
      <c r="AG1330" s="121"/>
      <c r="AH1330" s="121"/>
      <c r="AI1330" s="121"/>
      <c r="AJ1330" s="121"/>
      <c r="AK1330" s="121"/>
      <c r="AL1330" s="121"/>
      <c r="AM1330" s="121"/>
      <c r="AN1330" s="121"/>
      <c r="AO1330" s="121"/>
      <c r="AP1330" s="121"/>
      <c r="AQ1330" s="121"/>
      <c r="AR1330" s="121"/>
      <c r="AS1330" s="121"/>
      <c r="AT1330" s="121"/>
      <c r="AU1330" s="121"/>
      <c r="AV1330" s="121"/>
      <c r="AW1330" s="121"/>
      <c r="AX1330" s="121"/>
      <c r="AY1330" s="121"/>
      <c r="AZ1330" s="121"/>
      <c r="BA1330" s="121"/>
      <c r="BB1330" s="121"/>
      <c r="BC1330" s="121"/>
      <c r="BD1330" s="121"/>
      <c r="BE1330" s="121"/>
      <c r="BF1330" s="121"/>
      <c r="BG1330" s="121"/>
      <c r="BH1330" s="121"/>
      <c r="BI1330" s="121"/>
      <c r="BJ1330" s="121"/>
      <c r="BK1330" s="121"/>
      <c r="BL1330" s="121"/>
      <c r="BM1330" s="121"/>
      <c r="BN1330" s="121"/>
      <c r="BO1330" s="121"/>
      <c r="BP1330" s="121"/>
      <c r="BQ1330" s="121"/>
      <c r="BR1330" s="121"/>
      <c r="BS1330" s="121"/>
      <c r="BT1330" s="121"/>
      <c r="BU1330" s="121"/>
      <c r="BV1330" s="121"/>
    </row>
    <row r="1331" spans="1:74" hidden="1">
      <c r="A1331" s="109">
        <v>1328</v>
      </c>
      <c r="B1331" s="121" t="s">
        <v>2662</v>
      </c>
      <c r="C1331" s="135" t="s">
        <v>2663</v>
      </c>
      <c r="D1331" s="121" t="s">
        <v>2647</v>
      </c>
      <c r="E1331" s="121"/>
      <c r="F1331" s="121"/>
      <c r="G1331" s="165">
        <v>0</v>
      </c>
      <c r="H1331" s="10">
        <f t="shared" si="72"/>
        <v>0</v>
      </c>
      <c r="I1331" s="3">
        <f t="shared" si="73"/>
        <v>0</v>
      </c>
      <c r="J1331" s="33">
        <f t="shared" si="74"/>
        <v>0</v>
      </c>
      <c r="K1331" s="33"/>
      <c r="L1331" s="3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</row>
    <row r="1332" spans="1:74" hidden="1">
      <c r="A1332" s="109">
        <v>1329</v>
      </c>
      <c r="B1332" s="121" t="s">
        <v>2664</v>
      </c>
      <c r="C1332" s="135" t="s">
        <v>2665</v>
      </c>
      <c r="D1332" s="121" t="s">
        <v>2647</v>
      </c>
      <c r="E1332" s="121"/>
      <c r="F1332" s="121"/>
      <c r="G1332" s="165">
        <v>0</v>
      </c>
      <c r="H1332" s="10">
        <f t="shared" si="72"/>
        <v>0</v>
      </c>
      <c r="I1332" s="3">
        <f t="shared" si="73"/>
        <v>0</v>
      </c>
      <c r="J1332" s="33">
        <f t="shared" si="74"/>
        <v>0</v>
      </c>
      <c r="K1332" s="33"/>
      <c r="L1332" s="3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</row>
    <row r="1333" spans="1:74" hidden="1">
      <c r="A1333" s="142">
        <v>1330</v>
      </c>
      <c r="B1333" s="256" t="s">
        <v>2666</v>
      </c>
      <c r="C1333" s="321" t="s">
        <v>2667</v>
      </c>
      <c r="D1333" s="256" t="s">
        <v>2647</v>
      </c>
      <c r="E1333" s="121"/>
      <c r="F1333" s="121"/>
      <c r="G1333" s="165">
        <v>0</v>
      </c>
      <c r="H1333" s="10">
        <f t="shared" si="72"/>
        <v>0</v>
      </c>
      <c r="I1333" s="3">
        <f t="shared" si="73"/>
        <v>0</v>
      </c>
      <c r="J1333" s="33">
        <f t="shared" si="74"/>
        <v>0</v>
      </c>
      <c r="K1333" s="33"/>
      <c r="L1333" s="3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</row>
    <row r="1334" spans="1:74" hidden="1">
      <c r="A1334" s="142">
        <v>1331</v>
      </c>
      <c r="B1334" s="256" t="s">
        <v>2668</v>
      </c>
      <c r="C1334" s="321" t="s">
        <v>2669</v>
      </c>
      <c r="D1334" s="256" t="s">
        <v>2647</v>
      </c>
      <c r="E1334" s="121"/>
      <c r="F1334" s="121"/>
      <c r="G1334" s="165">
        <v>0</v>
      </c>
      <c r="H1334" s="10">
        <f t="shared" si="72"/>
        <v>0</v>
      </c>
      <c r="I1334" s="3">
        <f t="shared" si="73"/>
        <v>0</v>
      </c>
      <c r="J1334" s="33">
        <f t="shared" si="74"/>
        <v>0</v>
      </c>
      <c r="K1334" s="33"/>
      <c r="L1334" s="3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</row>
    <row r="1335" spans="1:74" hidden="1">
      <c r="A1335" s="142">
        <v>1332</v>
      </c>
      <c r="B1335" s="256" t="s">
        <v>2670</v>
      </c>
      <c r="C1335" s="290" t="s">
        <v>2671</v>
      </c>
      <c r="D1335" s="256" t="s">
        <v>2647</v>
      </c>
      <c r="E1335" s="121"/>
      <c r="F1335" s="121"/>
      <c r="G1335" s="165">
        <v>0</v>
      </c>
      <c r="H1335" s="10">
        <f t="shared" si="72"/>
        <v>0</v>
      </c>
      <c r="I1335" s="3">
        <f t="shared" si="73"/>
        <v>0</v>
      </c>
      <c r="J1335" s="33">
        <f t="shared" si="74"/>
        <v>0</v>
      </c>
      <c r="K1335" s="33"/>
      <c r="L1335" s="3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</row>
    <row r="1336" spans="1:74" hidden="1">
      <c r="A1336" s="142">
        <v>1333</v>
      </c>
      <c r="B1336" s="256" t="s">
        <v>2672</v>
      </c>
      <c r="C1336" s="290" t="s">
        <v>2673</v>
      </c>
      <c r="D1336" s="256" t="s">
        <v>14</v>
      </c>
      <c r="E1336" s="121"/>
      <c r="F1336" s="121"/>
      <c r="G1336" s="165">
        <v>0</v>
      </c>
      <c r="H1336" s="10">
        <f t="shared" si="72"/>
        <v>0</v>
      </c>
      <c r="I1336" s="3">
        <f t="shared" si="73"/>
        <v>0</v>
      </c>
      <c r="J1336" s="33">
        <f t="shared" si="74"/>
        <v>0</v>
      </c>
      <c r="K1336" s="33"/>
      <c r="L1336" s="3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</row>
    <row r="1337" spans="1:74" s="92" customFormat="1" hidden="1">
      <c r="A1337" s="109">
        <v>1334</v>
      </c>
      <c r="B1337" s="121" t="s">
        <v>2674</v>
      </c>
      <c r="C1337" s="372" t="s">
        <v>2675</v>
      </c>
      <c r="D1337" s="121" t="s">
        <v>14</v>
      </c>
      <c r="E1337" s="121"/>
      <c r="F1337" s="121"/>
      <c r="G1337" s="183">
        <v>2</v>
      </c>
      <c r="H1337" s="121">
        <f t="shared" si="72"/>
        <v>0</v>
      </c>
      <c r="I1337" s="26">
        <f t="shared" si="73"/>
        <v>0</v>
      </c>
      <c r="J1337" s="30">
        <f t="shared" si="74"/>
        <v>2</v>
      </c>
      <c r="K1337" s="30"/>
      <c r="L1337" s="30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21"/>
      <c r="BJ1337" s="121"/>
      <c r="BK1337" s="121"/>
      <c r="BL1337" s="121"/>
      <c r="BM1337" s="121"/>
      <c r="BN1337" s="121"/>
      <c r="BO1337" s="121"/>
      <c r="BP1337" s="121"/>
      <c r="BQ1337" s="121"/>
      <c r="BR1337" s="121"/>
      <c r="BS1337" s="121"/>
      <c r="BT1337" s="121"/>
      <c r="BU1337" s="121"/>
      <c r="BV1337" s="121"/>
    </row>
    <row r="1338" spans="1:74" hidden="1">
      <c r="A1338" s="142">
        <v>1335</v>
      </c>
      <c r="B1338" s="256" t="s">
        <v>2676</v>
      </c>
      <c r="C1338" s="290" t="s">
        <v>2677</v>
      </c>
      <c r="D1338" s="256" t="s">
        <v>14</v>
      </c>
      <c r="E1338" s="121"/>
      <c r="F1338" s="121"/>
      <c r="G1338" s="165">
        <v>0</v>
      </c>
      <c r="H1338" s="10">
        <f t="shared" si="72"/>
        <v>0</v>
      </c>
      <c r="I1338" s="3">
        <f t="shared" si="73"/>
        <v>0</v>
      </c>
      <c r="J1338" s="33">
        <f t="shared" si="74"/>
        <v>0</v>
      </c>
      <c r="K1338" s="33"/>
      <c r="L1338" s="3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</row>
    <row r="1339" spans="1:74" hidden="1">
      <c r="A1339" s="142">
        <v>1336</v>
      </c>
      <c r="B1339" s="256" t="s">
        <v>2678</v>
      </c>
      <c r="C1339" s="290" t="s">
        <v>2679</v>
      </c>
      <c r="D1339" s="256" t="s">
        <v>14</v>
      </c>
      <c r="E1339" s="121"/>
      <c r="F1339" s="121"/>
      <c r="G1339" s="165">
        <v>0</v>
      </c>
      <c r="H1339" s="10">
        <f t="shared" si="72"/>
        <v>0</v>
      </c>
      <c r="I1339" s="3">
        <f t="shared" si="73"/>
        <v>0</v>
      </c>
      <c r="J1339" s="33">
        <f t="shared" si="74"/>
        <v>0</v>
      </c>
      <c r="K1339" s="33"/>
      <c r="L1339" s="3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</row>
    <row r="1340" spans="1:74" ht="15" hidden="1" customHeight="1">
      <c r="A1340" s="142">
        <v>1337</v>
      </c>
      <c r="B1340" s="256" t="s">
        <v>2680</v>
      </c>
      <c r="C1340" s="290" t="s">
        <v>2681</v>
      </c>
      <c r="D1340" s="256" t="s">
        <v>14</v>
      </c>
      <c r="E1340" s="121"/>
      <c r="F1340" s="121"/>
      <c r="G1340" s="165">
        <v>0</v>
      </c>
      <c r="H1340" s="10">
        <f t="shared" si="72"/>
        <v>0</v>
      </c>
      <c r="I1340" s="3">
        <f t="shared" si="73"/>
        <v>0</v>
      </c>
      <c r="J1340" s="33">
        <f t="shared" si="74"/>
        <v>0</v>
      </c>
      <c r="K1340" s="33"/>
      <c r="L1340" s="3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</row>
    <row r="1341" spans="1:74" hidden="1">
      <c r="A1341" s="142">
        <v>1338</v>
      </c>
      <c r="B1341" s="256" t="s">
        <v>2682</v>
      </c>
      <c r="C1341" s="290" t="s">
        <v>2683</v>
      </c>
      <c r="D1341" s="256" t="s">
        <v>14</v>
      </c>
      <c r="E1341" s="121"/>
      <c r="F1341" s="121"/>
      <c r="G1341" s="165">
        <v>0</v>
      </c>
      <c r="H1341" s="10">
        <f t="shared" si="72"/>
        <v>0</v>
      </c>
      <c r="I1341" s="3">
        <f t="shared" si="73"/>
        <v>0</v>
      </c>
      <c r="J1341" s="33">
        <f t="shared" si="74"/>
        <v>0</v>
      </c>
      <c r="K1341" s="33"/>
      <c r="L1341" s="3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</row>
    <row r="1342" spans="1:74" hidden="1">
      <c r="A1342" s="142">
        <v>1339</v>
      </c>
      <c r="B1342" s="256" t="s">
        <v>2684</v>
      </c>
      <c r="C1342" s="290" t="s">
        <v>2685</v>
      </c>
      <c r="D1342" s="256" t="s">
        <v>14</v>
      </c>
      <c r="E1342" s="121"/>
      <c r="F1342" s="121"/>
      <c r="G1342" s="165">
        <v>0</v>
      </c>
      <c r="H1342" s="10">
        <f t="shared" si="72"/>
        <v>0</v>
      </c>
      <c r="I1342" s="3">
        <f t="shared" si="73"/>
        <v>0</v>
      </c>
      <c r="J1342" s="33">
        <f t="shared" si="74"/>
        <v>0</v>
      </c>
      <c r="K1342" s="33"/>
      <c r="L1342" s="3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</row>
    <row r="1343" spans="1:74" hidden="1">
      <c r="A1343" s="142">
        <v>1340</v>
      </c>
      <c r="B1343" s="256" t="s">
        <v>2686</v>
      </c>
      <c r="C1343" s="290" t="s">
        <v>2687</v>
      </c>
      <c r="D1343" s="256" t="s">
        <v>14</v>
      </c>
      <c r="E1343" s="121"/>
      <c r="F1343" s="121"/>
      <c r="G1343" s="165">
        <v>0</v>
      </c>
      <c r="H1343" s="10">
        <f t="shared" si="72"/>
        <v>0</v>
      </c>
      <c r="I1343" s="3">
        <f t="shared" si="73"/>
        <v>0</v>
      </c>
      <c r="J1343" s="33">
        <f t="shared" si="74"/>
        <v>0</v>
      </c>
      <c r="K1343" s="33"/>
      <c r="L1343" s="3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</row>
    <row r="1344" spans="1:74" hidden="1">
      <c r="A1344" s="142">
        <v>1341</v>
      </c>
      <c r="B1344" s="256" t="s">
        <v>2688</v>
      </c>
      <c r="C1344" s="290" t="s">
        <v>2689</v>
      </c>
      <c r="D1344" s="256" t="s">
        <v>14</v>
      </c>
      <c r="E1344" s="121"/>
      <c r="F1344" s="121"/>
      <c r="G1344" s="165">
        <v>0</v>
      </c>
      <c r="H1344" s="10">
        <f t="shared" si="72"/>
        <v>0</v>
      </c>
      <c r="I1344" s="3">
        <f t="shared" si="73"/>
        <v>0</v>
      </c>
      <c r="J1344" s="33">
        <f t="shared" si="74"/>
        <v>0</v>
      </c>
      <c r="K1344" s="33"/>
      <c r="L1344" s="3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</row>
    <row r="1345" spans="1:74" hidden="1">
      <c r="A1345" s="142">
        <v>1342</v>
      </c>
      <c r="B1345" s="256" t="s">
        <v>2690</v>
      </c>
      <c r="C1345" s="290" t="s">
        <v>2691</v>
      </c>
      <c r="D1345" s="256" t="s">
        <v>14</v>
      </c>
      <c r="E1345" s="121"/>
      <c r="F1345" s="121"/>
      <c r="G1345" s="165">
        <v>0</v>
      </c>
      <c r="H1345" s="10">
        <f t="shared" si="72"/>
        <v>0</v>
      </c>
      <c r="I1345" s="3">
        <f t="shared" si="73"/>
        <v>0</v>
      </c>
      <c r="J1345" s="33">
        <f t="shared" si="74"/>
        <v>0</v>
      </c>
      <c r="K1345" s="33"/>
      <c r="L1345" s="3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</row>
    <row r="1346" spans="1:74" hidden="1">
      <c r="A1346" s="142">
        <v>1343</v>
      </c>
      <c r="B1346" s="256" t="s">
        <v>2692</v>
      </c>
      <c r="C1346" s="290" t="s">
        <v>2693</v>
      </c>
      <c r="D1346" s="256" t="s">
        <v>14</v>
      </c>
      <c r="E1346" s="121"/>
      <c r="F1346" s="121"/>
      <c r="G1346" s="165">
        <v>0</v>
      </c>
      <c r="H1346" s="10">
        <f t="shared" si="72"/>
        <v>0</v>
      </c>
      <c r="I1346" s="3">
        <f t="shared" si="73"/>
        <v>0</v>
      </c>
      <c r="J1346" s="33">
        <f t="shared" si="74"/>
        <v>0</v>
      </c>
      <c r="K1346" s="33"/>
      <c r="L1346" s="3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</row>
    <row r="1347" spans="1:74" hidden="1">
      <c r="A1347" s="142">
        <v>1344</v>
      </c>
      <c r="B1347" s="299" t="s">
        <v>2694</v>
      </c>
      <c r="C1347" s="300" t="s">
        <v>2695</v>
      </c>
      <c r="D1347" s="256" t="s">
        <v>21</v>
      </c>
      <c r="E1347" s="121"/>
      <c r="F1347" s="121"/>
      <c r="G1347" s="165">
        <v>0</v>
      </c>
      <c r="H1347" s="10">
        <f t="shared" si="72"/>
        <v>0</v>
      </c>
      <c r="I1347" s="3">
        <f t="shared" si="73"/>
        <v>0</v>
      </c>
      <c r="J1347" s="33">
        <f t="shared" si="74"/>
        <v>0</v>
      </c>
      <c r="K1347" s="33"/>
      <c r="L1347" s="3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</row>
    <row r="1348" spans="1:74" s="97" customFormat="1" hidden="1">
      <c r="A1348" s="109">
        <v>1345</v>
      </c>
      <c r="B1348" s="163" t="s">
        <v>2696</v>
      </c>
      <c r="C1348" s="155" t="s">
        <v>2697</v>
      </c>
      <c r="D1348" s="121" t="s">
        <v>14</v>
      </c>
      <c r="E1348" s="121"/>
      <c r="F1348" s="121"/>
      <c r="G1348" s="165">
        <v>2</v>
      </c>
      <c r="H1348" s="10">
        <f t="shared" si="72"/>
        <v>0</v>
      </c>
      <c r="I1348" s="3">
        <f t="shared" si="73"/>
        <v>0</v>
      </c>
      <c r="J1348" s="33">
        <f t="shared" si="74"/>
        <v>2</v>
      </c>
      <c r="K1348" s="33"/>
      <c r="L1348" s="3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3"/>
      <c r="BP1348" s="13"/>
      <c r="BQ1348" s="13"/>
      <c r="BR1348" s="13"/>
      <c r="BS1348" s="13"/>
      <c r="BT1348" s="13"/>
      <c r="BU1348" s="13"/>
      <c r="BV1348" s="13"/>
    </row>
    <row r="1349" spans="1:74" s="97" customFormat="1" hidden="1">
      <c r="A1349" s="142">
        <v>1346</v>
      </c>
      <c r="B1349" s="256" t="s">
        <v>2698</v>
      </c>
      <c r="C1349" s="326" t="s">
        <v>2699</v>
      </c>
      <c r="D1349" s="256" t="s">
        <v>14</v>
      </c>
      <c r="E1349" s="121"/>
      <c r="F1349" s="121"/>
      <c r="G1349" s="165">
        <v>0</v>
      </c>
      <c r="H1349" s="10">
        <f t="shared" si="72"/>
        <v>0</v>
      </c>
      <c r="I1349" s="3">
        <f t="shared" si="73"/>
        <v>0</v>
      </c>
      <c r="J1349" s="33">
        <f t="shared" si="74"/>
        <v>0</v>
      </c>
      <c r="K1349" s="33"/>
      <c r="L1349" s="3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</row>
    <row r="1350" spans="1:74" s="97" customFormat="1" hidden="1">
      <c r="A1350" s="142">
        <v>1347</v>
      </c>
      <c r="B1350" s="256" t="s">
        <v>2700</v>
      </c>
      <c r="C1350" s="326" t="s">
        <v>2701</v>
      </c>
      <c r="D1350" s="256" t="s">
        <v>14</v>
      </c>
      <c r="E1350" s="121"/>
      <c r="F1350" s="121"/>
      <c r="G1350" s="165">
        <v>0</v>
      </c>
      <c r="H1350" s="10">
        <f t="shared" si="72"/>
        <v>0</v>
      </c>
      <c r="I1350" s="3">
        <f t="shared" si="73"/>
        <v>0</v>
      </c>
      <c r="J1350" s="33">
        <f t="shared" si="74"/>
        <v>0</v>
      </c>
      <c r="K1350" s="33"/>
      <c r="L1350" s="3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</row>
    <row r="1351" spans="1:74" s="97" customFormat="1" hidden="1">
      <c r="A1351" s="142">
        <v>1348</v>
      </c>
      <c r="B1351" s="256" t="s">
        <v>2702</v>
      </c>
      <c r="C1351" s="327" t="s">
        <v>2703</v>
      </c>
      <c r="D1351" s="256" t="s">
        <v>14</v>
      </c>
      <c r="E1351" s="121"/>
      <c r="F1351" s="121"/>
      <c r="G1351" s="165">
        <v>0</v>
      </c>
      <c r="H1351" s="10">
        <f t="shared" si="72"/>
        <v>0</v>
      </c>
      <c r="I1351" s="3">
        <f t="shared" si="73"/>
        <v>0</v>
      </c>
      <c r="J1351" s="33">
        <f t="shared" si="74"/>
        <v>0</v>
      </c>
      <c r="K1351" s="33"/>
      <c r="L1351" s="3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</row>
    <row r="1352" spans="1:74" s="97" customFormat="1" hidden="1">
      <c r="A1352" s="142">
        <v>1349</v>
      </c>
      <c r="B1352" s="256" t="s">
        <v>2704</v>
      </c>
      <c r="C1352" s="327" t="s">
        <v>2705</v>
      </c>
      <c r="D1352" s="256" t="s">
        <v>14</v>
      </c>
      <c r="E1352" s="381" t="s">
        <v>3573</v>
      </c>
      <c r="F1352" s="121"/>
      <c r="G1352" s="165">
        <v>0</v>
      </c>
      <c r="H1352" s="10">
        <f t="shared" si="72"/>
        <v>0</v>
      </c>
      <c r="I1352" s="3">
        <f t="shared" si="73"/>
        <v>0</v>
      </c>
      <c r="J1352" s="33">
        <f t="shared" si="74"/>
        <v>0</v>
      </c>
      <c r="K1352" s="33"/>
      <c r="L1352" s="33"/>
      <c r="M1352" s="13"/>
      <c r="N1352" s="165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</row>
    <row r="1353" spans="1:74" s="97" customFormat="1" hidden="1">
      <c r="A1353" s="142">
        <v>1350</v>
      </c>
      <c r="B1353" s="262" t="s">
        <v>2706</v>
      </c>
      <c r="C1353" s="327" t="s">
        <v>2707</v>
      </c>
      <c r="D1353" s="256" t="s">
        <v>14</v>
      </c>
      <c r="E1353" s="381" t="s">
        <v>3574</v>
      </c>
      <c r="F1353" s="121"/>
      <c r="G1353" s="165">
        <v>0</v>
      </c>
      <c r="H1353" s="10">
        <f t="shared" si="72"/>
        <v>0</v>
      </c>
      <c r="I1353" s="3">
        <f t="shared" si="73"/>
        <v>0</v>
      </c>
      <c r="J1353" s="33">
        <f t="shared" si="74"/>
        <v>0</v>
      </c>
      <c r="K1353" s="33"/>
      <c r="L1353" s="3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</row>
    <row r="1354" spans="1:74" s="97" customFormat="1" hidden="1">
      <c r="A1354" s="142">
        <v>1351</v>
      </c>
      <c r="B1354" s="256" t="s">
        <v>2708</v>
      </c>
      <c r="C1354" s="327" t="s">
        <v>2709</v>
      </c>
      <c r="D1354" s="256" t="s">
        <v>14</v>
      </c>
      <c r="E1354" s="121"/>
      <c r="F1354" s="121"/>
      <c r="G1354" s="165">
        <v>0</v>
      </c>
      <c r="H1354" s="10">
        <f t="shared" si="72"/>
        <v>0</v>
      </c>
      <c r="I1354" s="3">
        <f t="shared" si="73"/>
        <v>0</v>
      </c>
      <c r="J1354" s="33">
        <f t="shared" si="74"/>
        <v>0</v>
      </c>
      <c r="K1354" s="33"/>
      <c r="L1354" s="3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</row>
    <row r="1355" spans="1:74" s="97" customFormat="1" hidden="1">
      <c r="A1355" s="142">
        <v>1352</v>
      </c>
      <c r="B1355" s="256" t="s">
        <v>2710</v>
      </c>
      <c r="C1355" s="326" t="s">
        <v>2711</v>
      </c>
      <c r="D1355" s="256" t="s">
        <v>14</v>
      </c>
      <c r="E1355" s="121"/>
      <c r="F1355" s="121"/>
      <c r="G1355" s="165">
        <v>0</v>
      </c>
      <c r="H1355" s="10">
        <f t="shared" si="72"/>
        <v>0</v>
      </c>
      <c r="I1355" s="3">
        <f t="shared" si="73"/>
        <v>0</v>
      </c>
      <c r="J1355" s="33">
        <f t="shared" si="74"/>
        <v>0</v>
      </c>
      <c r="K1355" s="33"/>
      <c r="L1355" s="3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</row>
    <row r="1356" spans="1:74" hidden="1">
      <c r="A1356" s="109">
        <v>1353</v>
      </c>
      <c r="B1356" s="121" t="s">
        <v>2712</v>
      </c>
      <c r="C1356" s="210" t="s">
        <v>2713</v>
      </c>
      <c r="D1356" s="121" t="s">
        <v>21</v>
      </c>
      <c r="E1356" s="121"/>
      <c r="F1356" s="121"/>
      <c r="G1356" s="165">
        <v>0</v>
      </c>
      <c r="H1356" s="10">
        <f t="shared" si="72"/>
        <v>0</v>
      </c>
      <c r="I1356" s="3">
        <f t="shared" si="73"/>
        <v>0</v>
      </c>
      <c r="J1356" s="33">
        <f t="shared" si="74"/>
        <v>0</v>
      </c>
      <c r="K1356" s="33"/>
      <c r="L1356" s="3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</row>
    <row r="1357" spans="1:74" s="92" customFormat="1" hidden="1">
      <c r="A1357" s="109">
        <v>1354</v>
      </c>
      <c r="B1357" s="121" t="s">
        <v>2714</v>
      </c>
      <c r="C1357" s="210" t="s">
        <v>2715</v>
      </c>
      <c r="D1357" s="121" t="s">
        <v>21</v>
      </c>
      <c r="E1357" s="121"/>
      <c r="F1357" s="121"/>
      <c r="G1357" s="183">
        <v>0</v>
      </c>
      <c r="H1357" s="121">
        <f t="shared" si="72"/>
        <v>0</v>
      </c>
      <c r="I1357" s="26">
        <f t="shared" si="73"/>
        <v>0</v>
      </c>
      <c r="J1357" s="30">
        <f t="shared" si="74"/>
        <v>0</v>
      </c>
      <c r="K1357" s="30"/>
      <c r="L1357" s="30"/>
      <c r="M1357" s="121"/>
      <c r="N1357" s="121"/>
      <c r="O1357" s="121"/>
      <c r="P1357" s="121"/>
      <c r="Q1357" s="121"/>
      <c r="R1357" s="121"/>
      <c r="S1357" s="121"/>
      <c r="T1357" s="121"/>
      <c r="U1357" s="121"/>
      <c r="V1357" s="121"/>
      <c r="W1357" s="121"/>
      <c r="X1357" s="121"/>
      <c r="Y1357" s="121"/>
      <c r="Z1357" s="121"/>
      <c r="AA1357" s="121"/>
      <c r="AB1357" s="121"/>
      <c r="AC1357" s="121"/>
      <c r="AD1357" s="121"/>
      <c r="AE1357" s="121"/>
      <c r="AF1357" s="121"/>
      <c r="AG1357" s="121"/>
      <c r="AH1357" s="121"/>
      <c r="AI1357" s="121"/>
      <c r="AJ1357" s="121"/>
      <c r="AK1357" s="121"/>
      <c r="AL1357" s="121"/>
      <c r="AM1357" s="121"/>
      <c r="AN1357" s="121"/>
      <c r="AO1357" s="121"/>
      <c r="AP1357" s="121"/>
      <c r="AQ1357" s="121"/>
      <c r="AR1357" s="121"/>
      <c r="AS1357" s="121"/>
      <c r="AT1357" s="121"/>
      <c r="AU1357" s="121"/>
      <c r="AV1357" s="121"/>
      <c r="AW1357" s="121"/>
      <c r="AX1357" s="121"/>
      <c r="AY1357" s="121"/>
      <c r="AZ1357" s="121"/>
      <c r="BA1357" s="121"/>
      <c r="BB1357" s="121"/>
      <c r="BC1357" s="121"/>
      <c r="BD1357" s="121"/>
      <c r="BE1357" s="121"/>
      <c r="BF1357" s="121"/>
      <c r="BG1357" s="121"/>
      <c r="BH1357" s="121"/>
      <c r="BI1357" s="121"/>
      <c r="BJ1357" s="121"/>
      <c r="BK1357" s="121"/>
      <c r="BL1357" s="121"/>
      <c r="BM1357" s="121"/>
      <c r="BN1357" s="121"/>
      <c r="BO1357" s="121"/>
      <c r="BP1357" s="121"/>
      <c r="BQ1357" s="121"/>
      <c r="BR1357" s="121"/>
      <c r="BS1357" s="121"/>
      <c r="BT1357" s="121"/>
      <c r="BU1357" s="121"/>
      <c r="BV1357" s="121"/>
    </row>
    <row r="1358" spans="1:74" s="92" customFormat="1" hidden="1">
      <c r="A1358" s="109">
        <v>1355</v>
      </c>
      <c r="B1358" s="121" t="s">
        <v>2716</v>
      </c>
      <c r="C1358" s="135" t="s">
        <v>2717</v>
      </c>
      <c r="D1358" s="121" t="s">
        <v>21</v>
      </c>
      <c r="E1358" s="121"/>
      <c r="F1358" s="121"/>
      <c r="G1358" s="183">
        <v>0</v>
      </c>
      <c r="H1358" s="121">
        <f t="shared" si="72"/>
        <v>0</v>
      </c>
      <c r="I1358" s="26">
        <f t="shared" si="73"/>
        <v>0</v>
      </c>
      <c r="J1358" s="30">
        <f t="shared" si="74"/>
        <v>0</v>
      </c>
      <c r="K1358" s="30"/>
      <c r="L1358" s="30"/>
      <c r="M1358" s="121"/>
      <c r="N1358" s="121"/>
      <c r="O1358" s="121"/>
      <c r="P1358" s="121"/>
      <c r="Q1358" s="121"/>
      <c r="R1358" s="121"/>
      <c r="S1358" s="121"/>
      <c r="T1358" s="121"/>
      <c r="U1358" s="121"/>
      <c r="V1358" s="121"/>
      <c r="W1358" s="121"/>
      <c r="X1358" s="121"/>
      <c r="Y1358" s="121"/>
      <c r="Z1358" s="121"/>
      <c r="AA1358" s="121"/>
      <c r="AB1358" s="121"/>
      <c r="AC1358" s="121"/>
      <c r="AD1358" s="121"/>
      <c r="AE1358" s="121"/>
      <c r="AF1358" s="121"/>
      <c r="AG1358" s="121"/>
      <c r="AH1358" s="121"/>
      <c r="AI1358" s="121"/>
      <c r="AJ1358" s="121"/>
      <c r="AK1358" s="121"/>
      <c r="AL1358" s="121"/>
      <c r="AM1358" s="121"/>
      <c r="AN1358" s="121"/>
      <c r="AO1358" s="121"/>
      <c r="AP1358" s="121"/>
      <c r="AQ1358" s="121"/>
      <c r="AR1358" s="121"/>
      <c r="AS1358" s="121"/>
      <c r="AT1358" s="121"/>
      <c r="AU1358" s="121"/>
      <c r="AV1358" s="121"/>
      <c r="AW1358" s="121"/>
      <c r="AX1358" s="121"/>
      <c r="AY1358" s="121"/>
      <c r="AZ1358" s="121"/>
      <c r="BA1358" s="121"/>
      <c r="BB1358" s="121"/>
      <c r="BC1358" s="121"/>
      <c r="BD1358" s="121"/>
      <c r="BE1358" s="121"/>
      <c r="BF1358" s="121"/>
      <c r="BG1358" s="121"/>
      <c r="BH1358" s="121"/>
      <c r="BI1358" s="121"/>
      <c r="BJ1358" s="121"/>
      <c r="BK1358" s="121"/>
      <c r="BL1358" s="121"/>
      <c r="BM1358" s="121"/>
      <c r="BN1358" s="121"/>
      <c r="BO1358" s="121"/>
      <c r="BP1358" s="121"/>
      <c r="BQ1358" s="121"/>
      <c r="BR1358" s="121"/>
      <c r="BS1358" s="121"/>
      <c r="BT1358" s="121"/>
      <c r="BU1358" s="121"/>
      <c r="BV1358" s="121"/>
    </row>
    <row r="1359" spans="1:74" hidden="1">
      <c r="A1359" s="109">
        <v>1356</v>
      </c>
      <c r="B1359" s="121" t="s">
        <v>2718</v>
      </c>
      <c r="C1359" s="135" t="s">
        <v>2719</v>
      </c>
      <c r="D1359" s="121" t="s">
        <v>21</v>
      </c>
      <c r="E1359" s="121"/>
      <c r="F1359" s="121"/>
      <c r="G1359" s="165">
        <v>0</v>
      </c>
      <c r="H1359" s="10">
        <f t="shared" si="72"/>
        <v>0</v>
      </c>
      <c r="I1359" s="3">
        <f t="shared" si="73"/>
        <v>0</v>
      </c>
      <c r="J1359" s="33">
        <f t="shared" si="74"/>
        <v>0</v>
      </c>
      <c r="K1359" s="33"/>
      <c r="L1359" s="3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</row>
    <row r="1360" spans="1:74" hidden="1">
      <c r="A1360" s="109">
        <v>1357</v>
      </c>
      <c r="B1360" s="121" t="s">
        <v>2720</v>
      </c>
      <c r="C1360" s="135" t="s">
        <v>2721</v>
      </c>
      <c r="D1360" s="121" t="s">
        <v>21</v>
      </c>
      <c r="E1360" s="121"/>
      <c r="F1360" s="121"/>
      <c r="G1360" s="165">
        <v>82</v>
      </c>
      <c r="H1360" s="10">
        <f t="shared" si="72"/>
        <v>0</v>
      </c>
      <c r="I1360" s="3">
        <f t="shared" si="73"/>
        <v>0</v>
      </c>
      <c r="J1360" s="33">
        <f t="shared" si="74"/>
        <v>82</v>
      </c>
      <c r="K1360" s="33"/>
      <c r="L1360" s="3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</row>
    <row r="1361" spans="1:74" hidden="1">
      <c r="A1361" s="109">
        <v>1358</v>
      </c>
      <c r="B1361" s="121" t="s">
        <v>2722</v>
      </c>
      <c r="C1361" s="135" t="s">
        <v>2723</v>
      </c>
      <c r="D1361" s="121" t="s">
        <v>21</v>
      </c>
      <c r="E1361" s="121"/>
      <c r="F1361" s="121"/>
      <c r="G1361" s="165">
        <v>82</v>
      </c>
      <c r="H1361" s="10">
        <f t="shared" si="72"/>
        <v>0</v>
      </c>
      <c r="I1361" s="3">
        <f t="shared" si="73"/>
        <v>0</v>
      </c>
      <c r="J1361" s="33">
        <f t="shared" si="74"/>
        <v>82</v>
      </c>
      <c r="K1361" s="33"/>
      <c r="L1361" s="3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</row>
    <row r="1362" spans="1:74" hidden="1">
      <c r="A1362" s="109">
        <v>1359</v>
      </c>
      <c r="B1362" s="121" t="s">
        <v>2724</v>
      </c>
      <c r="C1362" s="135" t="s">
        <v>2725</v>
      </c>
      <c r="D1362" s="121" t="s">
        <v>21</v>
      </c>
      <c r="E1362" s="121"/>
      <c r="F1362" s="121"/>
      <c r="G1362" s="165">
        <v>82</v>
      </c>
      <c r="H1362" s="10">
        <f t="shared" si="72"/>
        <v>0</v>
      </c>
      <c r="I1362" s="3">
        <f t="shared" si="73"/>
        <v>0</v>
      </c>
      <c r="J1362" s="33">
        <f t="shared" si="74"/>
        <v>82</v>
      </c>
      <c r="K1362" s="33"/>
      <c r="L1362" s="3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</row>
    <row r="1363" spans="1:74" hidden="1">
      <c r="A1363" s="109">
        <v>1360</v>
      </c>
      <c r="B1363" s="121" t="s">
        <v>2726</v>
      </c>
      <c r="C1363" s="135" t="s">
        <v>2727</v>
      </c>
      <c r="D1363" s="121" t="s">
        <v>21</v>
      </c>
      <c r="E1363" s="121"/>
      <c r="F1363" s="121"/>
      <c r="G1363" s="165">
        <v>89</v>
      </c>
      <c r="H1363" s="10">
        <f t="shared" si="72"/>
        <v>0</v>
      </c>
      <c r="I1363" s="3">
        <f t="shared" si="73"/>
        <v>0</v>
      </c>
      <c r="J1363" s="33">
        <f t="shared" si="74"/>
        <v>89</v>
      </c>
      <c r="K1363" s="33"/>
      <c r="L1363" s="3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</row>
    <row r="1364" spans="1:74" hidden="1">
      <c r="A1364" s="109">
        <v>1361</v>
      </c>
      <c r="B1364" s="121" t="s">
        <v>2728</v>
      </c>
      <c r="C1364" s="135" t="s">
        <v>2729</v>
      </c>
      <c r="D1364" s="121" t="s">
        <v>21</v>
      </c>
      <c r="E1364" s="121"/>
      <c r="F1364" s="121"/>
      <c r="G1364" s="165">
        <v>88</v>
      </c>
      <c r="H1364" s="10">
        <f t="shared" si="72"/>
        <v>0</v>
      </c>
      <c r="I1364" s="3">
        <f t="shared" si="73"/>
        <v>0</v>
      </c>
      <c r="J1364" s="33">
        <f t="shared" si="74"/>
        <v>88</v>
      </c>
      <c r="K1364" s="33"/>
      <c r="L1364" s="3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</row>
    <row r="1365" spans="1:74" hidden="1">
      <c r="A1365" s="109">
        <v>1362</v>
      </c>
      <c r="B1365" s="121" t="s">
        <v>2730</v>
      </c>
      <c r="C1365" s="135" t="s">
        <v>2731</v>
      </c>
      <c r="D1365" s="121" t="s">
        <v>21</v>
      </c>
      <c r="E1365" s="121"/>
      <c r="F1365" s="121"/>
      <c r="G1365" s="165">
        <v>90</v>
      </c>
      <c r="H1365" s="10">
        <f t="shared" si="72"/>
        <v>0</v>
      </c>
      <c r="I1365" s="3">
        <f t="shared" si="73"/>
        <v>0</v>
      </c>
      <c r="J1365" s="33">
        <f t="shared" si="74"/>
        <v>90</v>
      </c>
      <c r="K1365" s="33"/>
      <c r="L1365" s="3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</row>
    <row r="1366" spans="1:74" hidden="1">
      <c r="A1366" s="109">
        <v>1363</v>
      </c>
      <c r="B1366" s="121" t="s">
        <v>2732</v>
      </c>
      <c r="C1366" s="135" t="s">
        <v>2733</v>
      </c>
      <c r="D1366" s="121" t="s">
        <v>21</v>
      </c>
      <c r="E1366" s="121"/>
      <c r="F1366" s="121"/>
      <c r="G1366" s="165">
        <v>90</v>
      </c>
      <c r="H1366" s="10">
        <f t="shared" si="72"/>
        <v>0</v>
      </c>
      <c r="I1366" s="3">
        <f t="shared" si="73"/>
        <v>0</v>
      </c>
      <c r="J1366" s="33">
        <f t="shared" si="74"/>
        <v>90</v>
      </c>
      <c r="K1366" s="33"/>
      <c r="L1366" s="3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</row>
    <row r="1367" spans="1:74" hidden="1">
      <c r="A1367" s="142">
        <v>1364</v>
      </c>
      <c r="B1367" s="265" t="s">
        <v>2734</v>
      </c>
      <c r="C1367" s="264" t="s">
        <v>2735</v>
      </c>
      <c r="D1367" s="256" t="s">
        <v>21</v>
      </c>
      <c r="E1367" s="121"/>
      <c r="F1367" s="121"/>
      <c r="G1367" s="165">
        <v>4</v>
      </c>
      <c r="H1367" s="10">
        <f t="shared" si="72"/>
        <v>0</v>
      </c>
      <c r="I1367" s="3">
        <f t="shared" si="73"/>
        <v>0</v>
      </c>
      <c r="J1367" s="33">
        <f t="shared" si="74"/>
        <v>4</v>
      </c>
      <c r="K1367" s="33"/>
      <c r="L1367" s="3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</row>
    <row r="1368" spans="1:74" hidden="1">
      <c r="A1368" s="109">
        <v>1365</v>
      </c>
      <c r="B1368" s="154" t="s">
        <v>2736</v>
      </c>
      <c r="C1368" s="156" t="s">
        <v>2737</v>
      </c>
      <c r="D1368" s="121" t="s">
        <v>14</v>
      </c>
      <c r="E1368" s="121"/>
      <c r="F1368" s="121"/>
      <c r="G1368" s="165">
        <v>0</v>
      </c>
      <c r="H1368" s="10">
        <f t="shared" si="72"/>
        <v>0</v>
      </c>
      <c r="I1368" s="3">
        <f t="shared" si="73"/>
        <v>0</v>
      </c>
      <c r="J1368" s="33">
        <f t="shared" si="74"/>
        <v>0</v>
      </c>
      <c r="K1368" s="33"/>
      <c r="L1368" s="3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</row>
    <row r="1369" spans="1:74" hidden="1">
      <c r="A1369" s="109">
        <v>1366</v>
      </c>
      <c r="B1369" s="154" t="s">
        <v>2738</v>
      </c>
      <c r="C1369" s="156" t="s">
        <v>2739</v>
      </c>
      <c r="D1369" s="121" t="s">
        <v>14</v>
      </c>
      <c r="E1369" s="121"/>
      <c r="F1369" s="121"/>
      <c r="G1369" s="165">
        <v>0</v>
      </c>
      <c r="H1369" s="10">
        <f t="shared" si="72"/>
        <v>0</v>
      </c>
      <c r="I1369" s="3">
        <f t="shared" si="73"/>
        <v>0</v>
      </c>
      <c r="J1369" s="33">
        <f t="shared" si="74"/>
        <v>0</v>
      </c>
      <c r="K1369" s="33"/>
      <c r="L1369" s="3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</row>
    <row r="1370" spans="1:74" hidden="1">
      <c r="A1370" s="109">
        <v>1367</v>
      </c>
      <c r="B1370" s="154" t="s">
        <v>2740</v>
      </c>
      <c r="C1370" s="156" t="s">
        <v>2741</v>
      </c>
      <c r="D1370" s="121" t="s">
        <v>14</v>
      </c>
      <c r="E1370" s="121"/>
      <c r="F1370" s="121"/>
      <c r="G1370" s="165">
        <v>0</v>
      </c>
      <c r="H1370" s="10">
        <f t="shared" si="72"/>
        <v>0</v>
      </c>
      <c r="I1370" s="3">
        <f t="shared" si="73"/>
        <v>0</v>
      </c>
      <c r="J1370" s="33">
        <f t="shared" si="74"/>
        <v>0</v>
      </c>
      <c r="K1370" s="33"/>
      <c r="L1370" s="3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</row>
    <row r="1371" spans="1:74" hidden="1">
      <c r="A1371" s="109">
        <v>1368</v>
      </c>
      <c r="B1371" s="161" t="s">
        <v>2742</v>
      </c>
      <c r="C1371" s="159" t="s">
        <v>2743</v>
      </c>
      <c r="D1371" s="121" t="s">
        <v>14</v>
      </c>
      <c r="E1371" s="121"/>
      <c r="F1371" s="121"/>
      <c r="G1371" s="165">
        <v>0</v>
      </c>
      <c r="H1371" s="10">
        <f t="shared" si="72"/>
        <v>0</v>
      </c>
      <c r="I1371" s="3">
        <f t="shared" si="73"/>
        <v>0</v>
      </c>
      <c r="J1371" s="33">
        <f t="shared" si="74"/>
        <v>0</v>
      </c>
      <c r="K1371" s="33"/>
      <c r="L1371" s="3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</row>
    <row r="1372" spans="1:74" hidden="1">
      <c r="A1372" s="109">
        <v>1369</v>
      </c>
      <c r="B1372" s="161" t="s">
        <v>2744</v>
      </c>
      <c r="C1372" s="159" t="s">
        <v>2745</v>
      </c>
      <c r="D1372" s="121" t="s">
        <v>21</v>
      </c>
      <c r="E1372" s="121"/>
      <c r="F1372" s="121"/>
      <c r="G1372" s="165">
        <v>0</v>
      </c>
      <c r="H1372" s="10">
        <f t="shared" si="72"/>
        <v>0</v>
      </c>
      <c r="I1372" s="3">
        <f t="shared" si="73"/>
        <v>0</v>
      </c>
      <c r="J1372" s="33">
        <f t="shared" si="74"/>
        <v>0</v>
      </c>
      <c r="K1372" s="33"/>
      <c r="L1372" s="3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</row>
    <row r="1373" spans="1:74" hidden="1">
      <c r="A1373" s="109">
        <v>1370</v>
      </c>
      <c r="B1373" s="182" t="s">
        <v>2746</v>
      </c>
      <c r="C1373" s="176" t="s">
        <v>2747</v>
      </c>
      <c r="D1373" s="121" t="s">
        <v>21</v>
      </c>
      <c r="E1373" s="121"/>
      <c r="F1373" s="121"/>
      <c r="G1373" s="165">
        <v>0</v>
      </c>
      <c r="H1373" s="10">
        <f t="shared" si="72"/>
        <v>0</v>
      </c>
      <c r="I1373" s="3">
        <f t="shared" si="73"/>
        <v>0</v>
      </c>
      <c r="J1373" s="33">
        <f t="shared" si="74"/>
        <v>0</v>
      </c>
      <c r="K1373" s="33"/>
      <c r="L1373" s="3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</row>
    <row r="1374" spans="1:74" hidden="1">
      <c r="A1374" s="109">
        <v>1371</v>
      </c>
      <c r="B1374" s="161" t="s">
        <v>2748</v>
      </c>
      <c r="C1374" s="175" t="s">
        <v>2749</v>
      </c>
      <c r="D1374" s="121" t="s">
        <v>21</v>
      </c>
      <c r="E1374" s="121"/>
      <c r="F1374" s="121"/>
      <c r="G1374" s="165">
        <v>0</v>
      </c>
      <c r="H1374" s="10">
        <f t="shared" si="72"/>
        <v>0</v>
      </c>
      <c r="I1374" s="3">
        <f t="shared" si="73"/>
        <v>0</v>
      </c>
      <c r="J1374" s="33">
        <f t="shared" si="74"/>
        <v>0</v>
      </c>
      <c r="K1374" s="33"/>
      <c r="L1374" s="3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</row>
    <row r="1375" spans="1:74" hidden="1">
      <c r="A1375" s="142">
        <v>1372</v>
      </c>
      <c r="B1375" s="263" t="s">
        <v>2750</v>
      </c>
      <c r="C1375" s="305" t="s">
        <v>2751</v>
      </c>
      <c r="D1375" s="256" t="s">
        <v>21</v>
      </c>
      <c r="E1375" s="121"/>
      <c r="F1375" s="10"/>
      <c r="G1375" s="165">
        <v>1</v>
      </c>
      <c r="H1375" s="10">
        <f t="shared" si="72"/>
        <v>0</v>
      </c>
      <c r="I1375" s="3">
        <f t="shared" si="73"/>
        <v>0</v>
      </c>
      <c r="J1375" s="33">
        <f t="shared" si="74"/>
        <v>1</v>
      </c>
      <c r="K1375" s="33"/>
      <c r="L1375" s="3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</row>
    <row r="1376" spans="1:74" hidden="1">
      <c r="A1376" s="111">
        <v>1373</v>
      </c>
      <c r="B1376" s="373" t="s">
        <v>2752</v>
      </c>
      <c r="C1376" s="374" t="s">
        <v>2753</v>
      </c>
      <c r="D1376" s="10" t="s">
        <v>14</v>
      </c>
      <c r="E1376" s="10"/>
      <c r="F1376" s="10"/>
      <c r="G1376" s="165">
        <v>37</v>
      </c>
      <c r="H1376" s="10">
        <f t="shared" si="72"/>
        <v>0</v>
      </c>
      <c r="I1376" s="3">
        <f t="shared" si="73"/>
        <v>0</v>
      </c>
      <c r="J1376" s="33">
        <f t="shared" si="74"/>
        <v>37</v>
      </c>
      <c r="K1376" s="33"/>
      <c r="L1376" s="3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</row>
    <row r="1377" spans="1:74" hidden="1">
      <c r="A1377" s="142">
        <v>1374</v>
      </c>
      <c r="B1377" s="263" t="s">
        <v>2754</v>
      </c>
      <c r="C1377" s="375" t="s">
        <v>2755</v>
      </c>
      <c r="D1377" s="256" t="s">
        <v>21</v>
      </c>
      <c r="E1377" s="10"/>
      <c r="F1377" s="10"/>
      <c r="G1377" s="165">
        <v>0</v>
      </c>
      <c r="H1377" s="10">
        <f t="shared" si="72"/>
        <v>0</v>
      </c>
      <c r="I1377" s="3">
        <f t="shared" si="73"/>
        <v>0</v>
      </c>
      <c r="J1377" s="33">
        <f t="shared" si="74"/>
        <v>0</v>
      </c>
      <c r="K1377" s="33"/>
      <c r="L1377" s="3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</row>
    <row r="1378" spans="1:74" hidden="1">
      <c r="A1378" s="142">
        <v>1375</v>
      </c>
      <c r="B1378" s="263" t="s">
        <v>2756</v>
      </c>
      <c r="C1378" s="375" t="s">
        <v>2757</v>
      </c>
      <c r="D1378" s="256" t="s">
        <v>21</v>
      </c>
      <c r="E1378" s="10"/>
      <c r="F1378" s="10"/>
      <c r="G1378" s="165">
        <v>0</v>
      </c>
      <c r="H1378" s="10">
        <f t="shared" si="72"/>
        <v>0</v>
      </c>
      <c r="I1378" s="3">
        <f t="shared" si="73"/>
        <v>0</v>
      </c>
      <c r="J1378" s="33">
        <f t="shared" si="74"/>
        <v>0</v>
      </c>
      <c r="K1378" s="33"/>
      <c r="L1378" s="3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</row>
    <row r="1379" spans="1:74" hidden="1">
      <c r="A1379" s="142">
        <v>1376</v>
      </c>
      <c r="B1379" s="263" t="s">
        <v>2758</v>
      </c>
      <c r="C1379" s="375" t="s">
        <v>2759</v>
      </c>
      <c r="D1379" s="256" t="s">
        <v>21</v>
      </c>
      <c r="E1379" s="10"/>
      <c r="F1379" s="10"/>
      <c r="G1379" s="165">
        <v>0</v>
      </c>
      <c r="H1379" s="10">
        <f t="shared" si="72"/>
        <v>0</v>
      </c>
      <c r="I1379" s="3">
        <f t="shared" si="73"/>
        <v>0</v>
      </c>
      <c r="J1379" s="33">
        <f t="shared" si="74"/>
        <v>0</v>
      </c>
      <c r="K1379" s="33"/>
      <c r="L1379" s="3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</row>
    <row r="1380" spans="1:74" hidden="1">
      <c r="A1380" s="142">
        <v>1377</v>
      </c>
      <c r="B1380" s="256" t="s">
        <v>2760</v>
      </c>
      <c r="C1380" s="144" t="s">
        <v>2761</v>
      </c>
      <c r="D1380" s="256" t="s">
        <v>21</v>
      </c>
      <c r="E1380" s="10"/>
      <c r="F1380" s="10"/>
      <c r="G1380" s="165">
        <v>0</v>
      </c>
      <c r="H1380" s="10">
        <f t="shared" si="72"/>
        <v>0</v>
      </c>
      <c r="I1380" s="3">
        <f t="shared" si="73"/>
        <v>0</v>
      </c>
      <c r="J1380" s="33">
        <f t="shared" si="74"/>
        <v>0</v>
      </c>
      <c r="K1380" s="33"/>
      <c r="L1380" s="3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</row>
    <row r="1381" spans="1:74" hidden="1">
      <c r="A1381" s="111">
        <v>1378</v>
      </c>
      <c r="B1381" s="10" t="s">
        <v>2762</v>
      </c>
      <c r="C1381" s="351" t="s">
        <v>2763</v>
      </c>
      <c r="D1381" s="10" t="s">
        <v>14</v>
      </c>
      <c r="E1381" s="10"/>
      <c r="F1381" s="10"/>
      <c r="G1381" s="165">
        <v>0</v>
      </c>
      <c r="H1381" s="10">
        <f t="shared" ref="H1381:H1421" si="75">SUM(M1381+O1381+Q1381+S1381+U1381+W1381+Y1381+AA1381+AC1381+AE1381+AG1381+AI1381+AK1381+AM1381+AO1381+AQ1381+AS1381+AU1381+AW1381+AY1381+BA1381+BC1381+BE1381+BG1381+BI1381+BK1381+BM1381+BO1381+BQ1381+BS1381+BU1381)</f>
        <v>0</v>
      </c>
      <c r="I1381" s="3">
        <f t="shared" ref="I1381:I1408" si="76">SUM(N1381+P1381+R1381+T1381+V1381+X1381+Z1381+AB1381+AD1381+AF1381+AH1381+AJ1381+AL1381+AN1381+AP1381+AR1381+AT1381+AV1381+AX1381+AZ1381+BB1381+BD1381+BF1381+BH1381+BJ1381+BL1381+BN1381+BP1381+BR1381+BT1381+BV1381)</f>
        <v>0</v>
      </c>
      <c r="J1381" s="33">
        <f t="shared" ref="J1381:J1421" si="77">G1381+H1381-I1381</f>
        <v>0</v>
      </c>
      <c r="K1381" s="33"/>
      <c r="L1381" s="3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11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</row>
    <row r="1382" spans="1:74" hidden="1">
      <c r="A1382" s="111">
        <v>1379</v>
      </c>
      <c r="B1382" s="10" t="s">
        <v>2764</v>
      </c>
      <c r="C1382" s="351" t="s">
        <v>2765</v>
      </c>
      <c r="D1382" s="10" t="s">
        <v>21</v>
      </c>
      <c r="E1382" s="10"/>
      <c r="F1382" s="10"/>
      <c r="G1382" s="165">
        <v>206</v>
      </c>
      <c r="H1382" s="10">
        <f t="shared" si="75"/>
        <v>0</v>
      </c>
      <c r="I1382" s="3">
        <f t="shared" si="76"/>
        <v>0</v>
      </c>
      <c r="J1382" s="33">
        <f t="shared" si="77"/>
        <v>206</v>
      </c>
      <c r="K1382" s="33"/>
      <c r="L1382" s="3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</row>
    <row r="1383" spans="1:74" hidden="1">
      <c r="A1383" s="111">
        <v>1380</v>
      </c>
      <c r="B1383" s="10" t="s">
        <v>2766</v>
      </c>
      <c r="C1383" s="351" t="s">
        <v>2767</v>
      </c>
      <c r="D1383" s="10" t="s">
        <v>14</v>
      </c>
      <c r="E1383" s="10"/>
      <c r="F1383" s="10"/>
      <c r="G1383" s="165">
        <v>0</v>
      </c>
      <c r="H1383" s="10">
        <f t="shared" si="75"/>
        <v>0</v>
      </c>
      <c r="I1383" s="3">
        <f t="shared" si="76"/>
        <v>0</v>
      </c>
      <c r="J1383" s="33">
        <f t="shared" si="77"/>
        <v>0</v>
      </c>
      <c r="K1383" s="33"/>
      <c r="L1383" s="3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</row>
    <row r="1384" spans="1:74" hidden="1">
      <c r="A1384" s="111">
        <v>1381</v>
      </c>
      <c r="B1384" s="10" t="s">
        <v>2768</v>
      </c>
      <c r="C1384" s="351" t="s">
        <v>2769</v>
      </c>
      <c r="D1384" s="10" t="s">
        <v>14</v>
      </c>
      <c r="E1384" s="10"/>
      <c r="F1384" s="10"/>
      <c r="G1384" s="165">
        <v>0</v>
      </c>
      <c r="H1384" s="10">
        <f t="shared" si="75"/>
        <v>0</v>
      </c>
      <c r="I1384" s="3">
        <f t="shared" si="76"/>
        <v>0</v>
      </c>
      <c r="J1384" s="33">
        <f t="shared" si="77"/>
        <v>0</v>
      </c>
      <c r="K1384" s="33"/>
      <c r="L1384" s="3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</row>
    <row r="1385" spans="1:74" hidden="1">
      <c r="A1385" s="111">
        <v>1382</v>
      </c>
      <c r="B1385" s="10" t="s">
        <v>2770</v>
      </c>
      <c r="C1385" s="351" t="s">
        <v>2771</v>
      </c>
      <c r="D1385" s="10" t="s">
        <v>14</v>
      </c>
      <c r="E1385" s="10"/>
      <c r="F1385" s="10"/>
      <c r="G1385" s="165">
        <v>0</v>
      </c>
      <c r="H1385" s="10">
        <f t="shared" si="75"/>
        <v>0</v>
      </c>
      <c r="I1385" s="3">
        <f t="shared" si="76"/>
        <v>0</v>
      </c>
      <c r="J1385" s="33">
        <f t="shared" si="77"/>
        <v>0</v>
      </c>
      <c r="K1385" s="33"/>
      <c r="L1385" s="3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</row>
    <row r="1386" spans="1:74" hidden="1">
      <c r="A1386" s="111">
        <v>1383</v>
      </c>
      <c r="B1386" s="10" t="s">
        <v>2772</v>
      </c>
      <c r="C1386" s="351" t="s">
        <v>2773</v>
      </c>
      <c r="D1386" s="10" t="s">
        <v>14</v>
      </c>
      <c r="E1386" s="10"/>
      <c r="F1386" s="10"/>
      <c r="G1386" s="165">
        <v>0</v>
      </c>
      <c r="H1386" s="10">
        <f t="shared" si="75"/>
        <v>0</v>
      </c>
      <c r="I1386" s="3">
        <f t="shared" si="76"/>
        <v>0</v>
      </c>
      <c r="J1386" s="33">
        <f t="shared" si="77"/>
        <v>0</v>
      </c>
      <c r="K1386" s="33"/>
      <c r="L1386" s="3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</row>
    <row r="1387" spans="1:74" hidden="1">
      <c r="A1387" s="111">
        <v>1384</v>
      </c>
      <c r="B1387" s="10" t="s">
        <v>2774</v>
      </c>
      <c r="C1387" s="351" t="s">
        <v>2775</v>
      </c>
      <c r="D1387" s="10" t="s">
        <v>14</v>
      </c>
      <c r="E1387" s="10"/>
      <c r="F1387" s="10"/>
      <c r="G1387" s="165">
        <v>0</v>
      </c>
      <c r="H1387" s="10">
        <f t="shared" si="75"/>
        <v>0</v>
      </c>
      <c r="I1387" s="3">
        <f t="shared" si="76"/>
        <v>0</v>
      </c>
      <c r="J1387" s="33">
        <f t="shared" si="77"/>
        <v>0</v>
      </c>
      <c r="K1387" s="33"/>
      <c r="L1387" s="3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</row>
    <row r="1388" spans="1:74" hidden="1">
      <c r="A1388" s="111">
        <v>1385</v>
      </c>
      <c r="B1388" s="10" t="s">
        <v>2776</v>
      </c>
      <c r="C1388" s="351" t="s">
        <v>2777</v>
      </c>
      <c r="D1388" s="10" t="s">
        <v>14</v>
      </c>
      <c r="E1388" s="10"/>
      <c r="F1388" s="10"/>
      <c r="G1388" s="165">
        <v>0</v>
      </c>
      <c r="H1388" s="10">
        <f t="shared" si="75"/>
        <v>0</v>
      </c>
      <c r="I1388" s="3">
        <f t="shared" si="76"/>
        <v>0</v>
      </c>
      <c r="J1388" s="33">
        <f t="shared" si="77"/>
        <v>0</v>
      </c>
      <c r="K1388" s="33"/>
      <c r="L1388" s="3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</row>
    <row r="1389" spans="1:74" hidden="1">
      <c r="A1389" s="109">
        <v>1386</v>
      </c>
      <c r="B1389" s="121" t="s">
        <v>2778</v>
      </c>
      <c r="C1389" s="135" t="s">
        <v>2779</v>
      </c>
      <c r="D1389" s="121" t="s">
        <v>14</v>
      </c>
      <c r="E1389" s="121"/>
      <c r="F1389" s="121"/>
      <c r="G1389" s="165">
        <v>74</v>
      </c>
      <c r="H1389" s="10">
        <f t="shared" si="75"/>
        <v>0</v>
      </c>
      <c r="I1389" s="3">
        <f t="shared" si="76"/>
        <v>0</v>
      </c>
      <c r="J1389" s="33">
        <f t="shared" si="77"/>
        <v>74</v>
      </c>
      <c r="K1389" s="33"/>
      <c r="L1389" s="3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</row>
    <row r="1390" spans="1:74" hidden="1">
      <c r="A1390" s="142">
        <v>1387</v>
      </c>
      <c r="B1390" s="256" t="s">
        <v>2780</v>
      </c>
      <c r="C1390" s="290" t="s">
        <v>2781</v>
      </c>
      <c r="D1390" s="256" t="s">
        <v>14</v>
      </c>
      <c r="E1390" s="121"/>
      <c r="F1390" s="121"/>
      <c r="G1390" s="165">
        <v>0</v>
      </c>
      <c r="H1390" s="10">
        <f t="shared" si="75"/>
        <v>0</v>
      </c>
      <c r="I1390" s="3">
        <f t="shared" si="76"/>
        <v>0</v>
      </c>
      <c r="J1390" s="33">
        <f t="shared" si="77"/>
        <v>0</v>
      </c>
      <c r="K1390" s="33"/>
      <c r="L1390" s="3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</row>
    <row r="1391" spans="1:74" hidden="1">
      <c r="A1391" s="142">
        <v>1388</v>
      </c>
      <c r="B1391" s="256" t="s">
        <v>2782</v>
      </c>
      <c r="C1391" s="290" t="s">
        <v>2783</v>
      </c>
      <c r="D1391" s="256" t="s">
        <v>21</v>
      </c>
      <c r="E1391" s="121"/>
      <c r="F1391" s="121"/>
      <c r="G1391" s="165">
        <v>0</v>
      </c>
      <c r="H1391" s="10">
        <f t="shared" si="75"/>
        <v>0</v>
      </c>
      <c r="I1391" s="3">
        <f t="shared" si="76"/>
        <v>0</v>
      </c>
      <c r="J1391" s="33">
        <f t="shared" si="77"/>
        <v>0</v>
      </c>
      <c r="K1391" s="33"/>
      <c r="L1391" s="3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</row>
    <row r="1392" spans="1:74" hidden="1">
      <c r="A1392" s="142">
        <v>1389</v>
      </c>
      <c r="B1392" s="256" t="s">
        <v>2784</v>
      </c>
      <c r="C1392" s="290" t="s">
        <v>2785</v>
      </c>
      <c r="D1392" s="256" t="s">
        <v>21</v>
      </c>
      <c r="E1392" s="121"/>
      <c r="F1392" s="121"/>
      <c r="G1392" s="165">
        <v>0</v>
      </c>
      <c r="H1392" s="10">
        <f t="shared" si="75"/>
        <v>0</v>
      </c>
      <c r="I1392" s="3">
        <f t="shared" si="76"/>
        <v>0</v>
      </c>
      <c r="J1392" s="33">
        <f t="shared" si="77"/>
        <v>0</v>
      </c>
      <c r="K1392" s="33"/>
      <c r="L1392" s="3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</row>
    <row r="1393" spans="1:74" ht="30" hidden="1">
      <c r="A1393" s="142">
        <v>1390</v>
      </c>
      <c r="B1393" s="256" t="s">
        <v>2786</v>
      </c>
      <c r="C1393" s="290" t="s">
        <v>2787</v>
      </c>
      <c r="D1393" s="256" t="s">
        <v>21</v>
      </c>
      <c r="E1393" s="121"/>
      <c r="F1393" s="121"/>
      <c r="G1393" s="165">
        <v>0</v>
      </c>
      <c r="H1393" s="10">
        <f t="shared" si="75"/>
        <v>0</v>
      </c>
      <c r="I1393" s="3">
        <f t="shared" si="76"/>
        <v>0</v>
      </c>
      <c r="J1393" s="33">
        <f t="shared" si="77"/>
        <v>0</v>
      </c>
      <c r="K1393" s="33"/>
      <c r="L1393" s="3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</row>
    <row r="1394" spans="1:74" ht="30" hidden="1">
      <c r="A1394" s="142">
        <v>1391</v>
      </c>
      <c r="B1394" s="256" t="s">
        <v>2788</v>
      </c>
      <c r="C1394" s="290" t="s">
        <v>2789</v>
      </c>
      <c r="D1394" s="256" t="s">
        <v>21</v>
      </c>
      <c r="E1394" s="121"/>
      <c r="F1394" s="121"/>
      <c r="G1394" s="183">
        <v>0</v>
      </c>
      <c r="H1394" s="121">
        <f t="shared" si="75"/>
        <v>0</v>
      </c>
      <c r="I1394" s="26">
        <f t="shared" si="76"/>
        <v>0</v>
      </c>
      <c r="J1394" s="30">
        <f t="shared" si="77"/>
        <v>0</v>
      </c>
      <c r="K1394" s="30"/>
      <c r="L1394" s="30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</row>
    <row r="1395" spans="1:74" hidden="1">
      <c r="A1395" s="142">
        <v>1392</v>
      </c>
      <c r="B1395" s="256" t="s">
        <v>2790</v>
      </c>
      <c r="C1395" s="290" t="s">
        <v>2791</v>
      </c>
      <c r="D1395" s="256" t="s">
        <v>21</v>
      </c>
      <c r="E1395" s="121"/>
      <c r="F1395" s="121"/>
      <c r="G1395" s="165">
        <v>0</v>
      </c>
      <c r="H1395" s="10">
        <f t="shared" si="75"/>
        <v>0</v>
      </c>
      <c r="I1395" s="3">
        <f t="shared" si="76"/>
        <v>0</v>
      </c>
      <c r="J1395" s="33">
        <f t="shared" si="77"/>
        <v>0</v>
      </c>
      <c r="K1395" s="33"/>
      <c r="L1395" s="3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</row>
    <row r="1396" spans="1:74" ht="30" hidden="1">
      <c r="A1396" s="142">
        <v>1393</v>
      </c>
      <c r="B1396" s="256" t="s">
        <v>2792</v>
      </c>
      <c r="C1396" s="290" t="s">
        <v>2793</v>
      </c>
      <c r="D1396" s="256" t="s">
        <v>21</v>
      </c>
      <c r="E1396" s="121"/>
      <c r="F1396" s="121"/>
      <c r="G1396" s="165">
        <v>0</v>
      </c>
      <c r="H1396" s="10">
        <f t="shared" si="75"/>
        <v>0</v>
      </c>
      <c r="I1396" s="3">
        <f t="shared" si="76"/>
        <v>0</v>
      </c>
      <c r="J1396" s="33">
        <f t="shared" si="77"/>
        <v>0</v>
      </c>
      <c r="K1396" s="33"/>
      <c r="L1396" s="3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</row>
    <row r="1397" spans="1:74" hidden="1">
      <c r="A1397" s="142">
        <v>1394</v>
      </c>
      <c r="B1397" s="256" t="s">
        <v>2794</v>
      </c>
      <c r="C1397" s="290" t="s">
        <v>2795</v>
      </c>
      <c r="D1397" s="256" t="s">
        <v>21</v>
      </c>
      <c r="E1397" s="121"/>
      <c r="F1397" s="121"/>
      <c r="G1397" s="183">
        <v>0</v>
      </c>
      <c r="H1397" s="121">
        <f t="shared" si="75"/>
        <v>0</v>
      </c>
      <c r="I1397" s="26">
        <f t="shared" si="76"/>
        <v>0</v>
      </c>
      <c r="J1397" s="30">
        <f t="shared" si="77"/>
        <v>0</v>
      </c>
      <c r="K1397" s="30"/>
      <c r="L1397" s="30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</row>
    <row r="1398" spans="1:74" hidden="1">
      <c r="A1398" s="142">
        <v>1395</v>
      </c>
      <c r="B1398" s="256" t="s">
        <v>2796</v>
      </c>
      <c r="C1398" s="290" t="s">
        <v>2797</v>
      </c>
      <c r="D1398" s="256" t="s">
        <v>21</v>
      </c>
      <c r="E1398" s="121"/>
      <c r="F1398" s="121"/>
      <c r="G1398" s="165">
        <v>0</v>
      </c>
      <c r="H1398" s="10">
        <f t="shared" si="75"/>
        <v>0</v>
      </c>
      <c r="I1398" s="3">
        <f t="shared" si="76"/>
        <v>0</v>
      </c>
      <c r="J1398" s="33">
        <f t="shared" si="77"/>
        <v>0</v>
      </c>
      <c r="K1398" s="33"/>
      <c r="L1398" s="3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</row>
    <row r="1399" spans="1:74" hidden="1">
      <c r="A1399" s="142">
        <v>1396</v>
      </c>
      <c r="B1399" s="256" t="s">
        <v>2798</v>
      </c>
      <c r="C1399" s="290" t="s">
        <v>2799</v>
      </c>
      <c r="D1399" s="256" t="s">
        <v>21</v>
      </c>
      <c r="E1399" s="121"/>
      <c r="F1399" s="121"/>
      <c r="G1399" s="165">
        <v>0</v>
      </c>
      <c r="H1399" s="10">
        <f t="shared" si="75"/>
        <v>0</v>
      </c>
      <c r="I1399" s="3">
        <f t="shared" si="76"/>
        <v>0</v>
      </c>
      <c r="J1399" s="33">
        <f t="shared" si="77"/>
        <v>0</v>
      </c>
      <c r="K1399" s="33"/>
      <c r="L1399" s="3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</row>
    <row r="1400" spans="1:74" hidden="1">
      <c r="A1400" s="142">
        <v>1397</v>
      </c>
      <c r="B1400" s="318" t="s">
        <v>2800</v>
      </c>
      <c r="C1400" s="360" t="s">
        <v>2801</v>
      </c>
      <c r="D1400" s="256" t="s">
        <v>21</v>
      </c>
      <c r="E1400" s="121"/>
      <c r="F1400" s="121"/>
      <c r="G1400" s="165">
        <v>0</v>
      </c>
      <c r="H1400" s="10">
        <f t="shared" si="75"/>
        <v>0</v>
      </c>
      <c r="I1400" s="3">
        <f t="shared" si="76"/>
        <v>0</v>
      </c>
      <c r="J1400" s="33">
        <f t="shared" si="77"/>
        <v>0</v>
      </c>
      <c r="K1400" s="33"/>
      <c r="L1400" s="3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</row>
    <row r="1401" spans="1:74" hidden="1">
      <c r="A1401" s="142">
        <v>1398</v>
      </c>
      <c r="B1401" s="318" t="s">
        <v>2802</v>
      </c>
      <c r="C1401" s="360" t="s">
        <v>2803</v>
      </c>
      <c r="D1401" s="256" t="s">
        <v>21</v>
      </c>
      <c r="E1401" s="121"/>
      <c r="F1401" s="121"/>
      <c r="G1401" s="165">
        <v>0</v>
      </c>
      <c r="H1401" s="10">
        <f t="shared" si="75"/>
        <v>0</v>
      </c>
      <c r="I1401" s="3">
        <f t="shared" si="76"/>
        <v>0</v>
      </c>
      <c r="J1401" s="33">
        <f t="shared" si="77"/>
        <v>0</v>
      </c>
      <c r="K1401" s="33"/>
      <c r="L1401" s="3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</row>
    <row r="1402" spans="1:74" hidden="1">
      <c r="A1402" s="142">
        <v>1399</v>
      </c>
      <c r="B1402" s="318" t="s">
        <v>2804</v>
      </c>
      <c r="C1402" s="376" t="s">
        <v>2805</v>
      </c>
      <c r="D1402" s="256" t="s">
        <v>21</v>
      </c>
      <c r="E1402" s="121"/>
      <c r="F1402" s="121"/>
      <c r="G1402" s="165">
        <v>0</v>
      </c>
      <c r="H1402" s="10">
        <f t="shared" si="75"/>
        <v>0</v>
      </c>
      <c r="I1402" s="3">
        <f t="shared" si="76"/>
        <v>0</v>
      </c>
      <c r="J1402" s="33">
        <f t="shared" si="77"/>
        <v>0</v>
      </c>
      <c r="K1402" s="33"/>
      <c r="L1402" s="3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</row>
    <row r="1403" spans="1:74" hidden="1">
      <c r="A1403" s="142">
        <v>1400</v>
      </c>
      <c r="B1403" s="377" t="s">
        <v>2806</v>
      </c>
      <c r="C1403" s="378" t="s">
        <v>2807</v>
      </c>
      <c r="D1403" s="256" t="s">
        <v>21</v>
      </c>
      <c r="E1403" s="121"/>
      <c r="F1403" s="121"/>
      <c r="G1403" s="165">
        <v>0</v>
      </c>
      <c r="H1403" s="10">
        <f t="shared" si="75"/>
        <v>0</v>
      </c>
      <c r="I1403" s="3">
        <f t="shared" si="76"/>
        <v>0</v>
      </c>
      <c r="J1403" s="33">
        <f t="shared" si="77"/>
        <v>0</v>
      </c>
      <c r="K1403" s="33"/>
      <c r="L1403" s="3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</row>
    <row r="1404" spans="1:74" hidden="1">
      <c r="A1404" s="142">
        <v>1401</v>
      </c>
      <c r="B1404" s="316" t="s">
        <v>2808</v>
      </c>
      <c r="C1404" s="378" t="s">
        <v>2809</v>
      </c>
      <c r="D1404" s="256" t="s">
        <v>21</v>
      </c>
      <c r="E1404" s="121"/>
      <c r="F1404" s="121"/>
      <c r="G1404" s="165">
        <v>0</v>
      </c>
      <c r="H1404" s="10">
        <f t="shared" si="75"/>
        <v>0</v>
      </c>
      <c r="I1404" s="3">
        <f t="shared" si="76"/>
        <v>0</v>
      </c>
      <c r="J1404" s="33">
        <f t="shared" si="77"/>
        <v>0</v>
      </c>
      <c r="K1404" s="33"/>
      <c r="L1404" s="3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</row>
    <row r="1405" spans="1:74" ht="29.25" hidden="1">
      <c r="A1405" s="142">
        <v>1402</v>
      </c>
      <c r="B1405" s="316" t="s">
        <v>2810</v>
      </c>
      <c r="C1405" s="378" t="s">
        <v>2811</v>
      </c>
      <c r="D1405" s="256" t="s">
        <v>21</v>
      </c>
      <c r="E1405" s="121"/>
      <c r="F1405" s="121"/>
      <c r="G1405" s="165">
        <v>0</v>
      </c>
      <c r="H1405" s="10">
        <f t="shared" si="75"/>
        <v>0</v>
      </c>
      <c r="I1405" s="3">
        <f t="shared" si="76"/>
        <v>0</v>
      </c>
      <c r="J1405" s="33">
        <f t="shared" si="77"/>
        <v>0</v>
      </c>
      <c r="K1405" s="33"/>
      <c r="L1405" s="3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</row>
    <row r="1406" spans="1:74" hidden="1">
      <c r="A1406" s="142">
        <v>1403</v>
      </c>
      <c r="B1406" s="316" t="s">
        <v>2812</v>
      </c>
      <c r="C1406" s="378" t="s">
        <v>2813</v>
      </c>
      <c r="D1406" s="256" t="s">
        <v>21</v>
      </c>
      <c r="E1406" s="121"/>
      <c r="F1406" s="121"/>
      <c r="G1406" s="165">
        <v>0</v>
      </c>
      <c r="H1406" s="10">
        <f t="shared" si="75"/>
        <v>0</v>
      </c>
      <c r="I1406" s="3">
        <f t="shared" si="76"/>
        <v>0</v>
      </c>
      <c r="J1406" s="33">
        <f t="shared" si="77"/>
        <v>0</v>
      </c>
      <c r="K1406" s="33"/>
      <c r="L1406" s="3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</row>
    <row r="1407" spans="1:74" hidden="1">
      <c r="A1407" s="142">
        <v>1404</v>
      </c>
      <c r="B1407" s="256" t="s">
        <v>2814</v>
      </c>
      <c r="C1407" s="290" t="s">
        <v>2815</v>
      </c>
      <c r="D1407" s="256" t="s">
        <v>21</v>
      </c>
      <c r="E1407" s="121"/>
      <c r="F1407" s="121"/>
      <c r="G1407" s="165">
        <v>0</v>
      </c>
      <c r="H1407" s="10">
        <f t="shared" si="75"/>
        <v>0</v>
      </c>
      <c r="I1407" s="3">
        <f t="shared" si="76"/>
        <v>0</v>
      </c>
      <c r="J1407" s="33">
        <f t="shared" si="77"/>
        <v>0</v>
      </c>
      <c r="K1407" s="33"/>
      <c r="L1407" s="3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</row>
    <row r="1408" spans="1:74" hidden="1">
      <c r="A1408" s="142">
        <v>1405</v>
      </c>
      <c r="B1408" s="256" t="s">
        <v>2816</v>
      </c>
      <c r="C1408" s="290" t="s">
        <v>2817</v>
      </c>
      <c r="D1408" s="256" t="s">
        <v>21</v>
      </c>
      <c r="E1408" s="121"/>
      <c r="F1408" s="121"/>
      <c r="G1408" s="165">
        <v>0</v>
      </c>
      <c r="H1408" s="10">
        <f t="shared" si="75"/>
        <v>0</v>
      </c>
      <c r="I1408" s="3">
        <f t="shared" si="76"/>
        <v>0</v>
      </c>
      <c r="J1408" s="33">
        <f t="shared" si="77"/>
        <v>0</v>
      </c>
      <c r="K1408" s="33"/>
      <c r="L1408" s="3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</row>
    <row r="1409" spans="1:74" hidden="1">
      <c r="A1409" s="109">
        <v>1406</v>
      </c>
      <c r="B1409" s="164" t="s">
        <v>2818</v>
      </c>
      <c r="C1409" s="214" t="s">
        <v>2819</v>
      </c>
      <c r="D1409" s="121" t="s">
        <v>14</v>
      </c>
      <c r="E1409" s="121"/>
      <c r="F1409" s="121"/>
      <c r="G1409" s="165">
        <v>60</v>
      </c>
      <c r="H1409" s="10">
        <f t="shared" si="75"/>
        <v>0</v>
      </c>
      <c r="I1409" s="3">
        <f t="shared" ref="I1409:I1421" si="78">SUM(N1409+P1409+R1409+T1409+V1409+X1409+Z1409+AB1409+AD1409+AF1409+AH1409+AJ1409+AL1409+AN1409+AP1409+AR1409+AT1409+AV1409+AX1409+AZ1409+BB1409+BD1409+BF1409+BH1409+BJ1409+BL1409+BN1409+BP1409+BR1409+BT1409+BV1409)</f>
        <v>0</v>
      </c>
      <c r="J1409" s="33">
        <f t="shared" si="77"/>
        <v>60</v>
      </c>
      <c r="K1409" s="33"/>
      <c r="L1409" s="3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</row>
    <row r="1410" spans="1:74" hidden="1">
      <c r="A1410" s="142">
        <v>1407</v>
      </c>
      <c r="B1410" s="299" t="s">
        <v>2820</v>
      </c>
      <c r="C1410" s="300" t="s">
        <v>2821</v>
      </c>
      <c r="D1410" s="256" t="s">
        <v>14</v>
      </c>
      <c r="E1410" s="121"/>
      <c r="F1410" s="121"/>
      <c r="G1410" s="165">
        <v>0</v>
      </c>
      <c r="H1410" s="10">
        <f t="shared" si="75"/>
        <v>0</v>
      </c>
      <c r="I1410" s="3">
        <f t="shared" si="78"/>
        <v>0</v>
      </c>
      <c r="J1410" s="33">
        <f t="shared" si="77"/>
        <v>0</v>
      </c>
      <c r="K1410" s="33"/>
      <c r="L1410" s="3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</row>
    <row r="1411" spans="1:74" hidden="1">
      <c r="A1411" s="142">
        <v>1408</v>
      </c>
      <c r="B1411" s="316" t="s">
        <v>2822</v>
      </c>
      <c r="C1411" s="300" t="s">
        <v>2823</v>
      </c>
      <c r="D1411" s="256" t="s">
        <v>14</v>
      </c>
      <c r="E1411" s="121"/>
      <c r="F1411" s="121"/>
      <c r="G1411" s="165">
        <v>0</v>
      </c>
      <c r="H1411" s="10">
        <f t="shared" si="75"/>
        <v>0</v>
      </c>
      <c r="I1411" s="3">
        <f t="shared" si="78"/>
        <v>0</v>
      </c>
      <c r="J1411" s="33">
        <f t="shared" si="77"/>
        <v>0</v>
      </c>
      <c r="K1411" s="33"/>
      <c r="L1411" s="3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</row>
    <row r="1412" spans="1:74" hidden="1">
      <c r="A1412" s="142">
        <v>1409</v>
      </c>
      <c r="B1412" s="265" t="s">
        <v>2824</v>
      </c>
      <c r="C1412" s="379" t="s">
        <v>2825</v>
      </c>
      <c r="D1412" s="267" t="s">
        <v>14</v>
      </c>
      <c r="E1412" s="160"/>
      <c r="F1412" s="160"/>
      <c r="G1412" s="165">
        <v>0</v>
      </c>
      <c r="H1412" s="10">
        <f t="shared" si="75"/>
        <v>0</v>
      </c>
      <c r="I1412" s="3">
        <f t="shared" si="78"/>
        <v>0</v>
      </c>
      <c r="J1412" s="33">
        <f t="shared" si="77"/>
        <v>0</v>
      </c>
      <c r="K1412" s="33"/>
      <c r="L1412" s="3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</row>
    <row r="1413" spans="1:74" hidden="1">
      <c r="A1413" s="142">
        <v>1410</v>
      </c>
      <c r="B1413" s="265" t="s">
        <v>2826</v>
      </c>
      <c r="C1413" s="264" t="s">
        <v>2827</v>
      </c>
      <c r="D1413" s="267" t="s">
        <v>21</v>
      </c>
      <c r="E1413" s="160"/>
      <c r="F1413" s="160"/>
      <c r="G1413" s="165">
        <v>0</v>
      </c>
      <c r="H1413" s="10">
        <f t="shared" si="75"/>
        <v>0</v>
      </c>
      <c r="I1413" s="3">
        <f t="shared" si="78"/>
        <v>0</v>
      </c>
      <c r="J1413" s="33">
        <f t="shared" si="77"/>
        <v>0</v>
      </c>
      <c r="K1413" s="33"/>
      <c r="L1413" s="3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</row>
    <row r="1414" spans="1:74" hidden="1">
      <c r="A1414" s="142">
        <v>1411</v>
      </c>
      <c r="B1414" s="265" t="s">
        <v>2828</v>
      </c>
      <c r="C1414" s="379" t="s">
        <v>2829</v>
      </c>
      <c r="D1414" s="267" t="s">
        <v>21</v>
      </c>
      <c r="E1414" s="160"/>
      <c r="F1414" s="160"/>
      <c r="G1414" s="165">
        <v>0</v>
      </c>
      <c r="H1414" s="10">
        <f t="shared" si="75"/>
        <v>0</v>
      </c>
      <c r="I1414" s="3">
        <f t="shared" si="78"/>
        <v>0</v>
      </c>
      <c r="J1414" s="33">
        <f t="shared" si="77"/>
        <v>0</v>
      </c>
      <c r="K1414" s="33"/>
      <c r="L1414" s="3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</row>
    <row r="1415" spans="1:74" hidden="1">
      <c r="A1415" s="142">
        <v>1412</v>
      </c>
      <c r="B1415" s="265" t="s">
        <v>2830</v>
      </c>
      <c r="C1415" s="264" t="s">
        <v>2831</v>
      </c>
      <c r="D1415" s="267" t="s">
        <v>21</v>
      </c>
      <c r="E1415" s="160"/>
      <c r="F1415" s="160"/>
      <c r="G1415" s="165">
        <v>0</v>
      </c>
      <c r="H1415" s="10">
        <f t="shared" si="75"/>
        <v>0</v>
      </c>
      <c r="I1415" s="3">
        <f t="shared" si="78"/>
        <v>0</v>
      </c>
      <c r="J1415" s="33">
        <f t="shared" si="77"/>
        <v>0</v>
      </c>
      <c r="K1415" s="33"/>
      <c r="L1415" s="3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</row>
    <row r="1416" spans="1:74" hidden="1">
      <c r="A1416" s="142">
        <v>1413</v>
      </c>
      <c r="B1416" s="333" t="s">
        <v>2832</v>
      </c>
      <c r="C1416" s="264" t="s">
        <v>2833</v>
      </c>
      <c r="D1416" s="267" t="s">
        <v>21</v>
      </c>
      <c r="E1416" s="160"/>
      <c r="F1416" s="160"/>
      <c r="G1416" s="165">
        <v>0</v>
      </c>
      <c r="H1416" s="10">
        <f t="shared" si="75"/>
        <v>0</v>
      </c>
      <c r="I1416" s="3">
        <f t="shared" si="78"/>
        <v>0</v>
      </c>
      <c r="J1416" s="33">
        <f t="shared" si="77"/>
        <v>0</v>
      </c>
      <c r="K1416" s="33"/>
      <c r="L1416" s="3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</row>
    <row r="1417" spans="1:74" hidden="1">
      <c r="A1417" s="142">
        <v>1414</v>
      </c>
      <c r="B1417" s="256" t="s">
        <v>2834</v>
      </c>
      <c r="C1417" s="290" t="s">
        <v>2835</v>
      </c>
      <c r="D1417" s="256" t="s">
        <v>21</v>
      </c>
      <c r="E1417" s="121"/>
      <c r="F1417" s="121"/>
      <c r="G1417" s="165">
        <v>0</v>
      </c>
      <c r="H1417" s="10">
        <f t="shared" si="75"/>
        <v>0</v>
      </c>
      <c r="I1417" s="3">
        <f t="shared" si="78"/>
        <v>0</v>
      </c>
      <c r="J1417" s="33">
        <f t="shared" si="77"/>
        <v>0</v>
      </c>
      <c r="K1417" s="33"/>
      <c r="L1417" s="3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</row>
    <row r="1418" spans="1:74" ht="15" hidden="1" customHeight="1">
      <c r="A1418" s="109">
        <v>1415</v>
      </c>
      <c r="B1418" s="121" t="s">
        <v>2836</v>
      </c>
      <c r="C1418" s="135" t="s">
        <v>2837</v>
      </c>
      <c r="D1418" s="121" t="s">
        <v>14</v>
      </c>
      <c r="E1418" s="121"/>
      <c r="F1418" s="121"/>
      <c r="G1418" s="165">
        <v>3</v>
      </c>
      <c r="H1418" s="10">
        <f t="shared" si="75"/>
        <v>0</v>
      </c>
      <c r="I1418" s="3">
        <f t="shared" si="78"/>
        <v>0</v>
      </c>
      <c r="J1418" s="33">
        <f t="shared" si="77"/>
        <v>3</v>
      </c>
      <c r="K1418" s="33"/>
      <c r="L1418" s="3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</row>
    <row r="1419" spans="1:74" ht="30" hidden="1" customHeight="1">
      <c r="A1419" s="109">
        <v>1416</v>
      </c>
      <c r="B1419" s="121" t="s">
        <v>2838</v>
      </c>
      <c r="C1419" s="135" t="s">
        <v>2839</v>
      </c>
      <c r="D1419" s="121" t="s">
        <v>14</v>
      </c>
      <c r="E1419" s="121"/>
      <c r="F1419" s="121"/>
      <c r="G1419" s="165">
        <v>0</v>
      </c>
      <c r="H1419" s="10">
        <f t="shared" si="75"/>
        <v>0</v>
      </c>
      <c r="I1419" s="3">
        <f t="shared" si="78"/>
        <v>0</v>
      </c>
      <c r="J1419" s="33">
        <f t="shared" si="77"/>
        <v>0</v>
      </c>
      <c r="K1419" s="33"/>
      <c r="L1419" s="3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</row>
    <row r="1420" spans="1:74" hidden="1">
      <c r="A1420" s="142">
        <v>1417</v>
      </c>
      <c r="B1420" s="256" t="s">
        <v>2840</v>
      </c>
      <c r="C1420" s="290" t="s">
        <v>2841</v>
      </c>
      <c r="D1420" s="256" t="s">
        <v>21</v>
      </c>
      <c r="E1420" s="121"/>
      <c r="F1420" s="121"/>
      <c r="G1420" s="165">
        <v>0</v>
      </c>
      <c r="H1420" s="10">
        <f t="shared" si="75"/>
        <v>0</v>
      </c>
      <c r="I1420" s="3">
        <f t="shared" si="78"/>
        <v>0</v>
      </c>
      <c r="J1420" s="33">
        <f t="shared" si="77"/>
        <v>0</v>
      </c>
      <c r="K1420" s="33"/>
      <c r="L1420" s="3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</row>
    <row r="1421" spans="1:74" hidden="1">
      <c r="A1421" s="142">
        <v>1418</v>
      </c>
      <c r="B1421" s="265" t="s">
        <v>2842</v>
      </c>
      <c r="C1421" s="264" t="s">
        <v>2843</v>
      </c>
      <c r="D1421" s="263" t="s">
        <v>21</v>
      </c>
      <c r="E1421" s="161"/>
      <c r="F1421" s="161"/>
      <c r="G1421" s="165">
        <v>0</v>
      </c>
      <c r="H1421" s="10">
        <f t="shared" si="75"/>
        <v>0</v>
      </c>
      <c r="I1421" s="3">
        <f t="shared" si="78"/>
        <v>0</v>
      </c>
      <c r="J1421" s="33">
        <f t="shared" si="77"/>
        <v>0</v>
      </c>
      <c r="K1421" s="33"/>
      <c r="L1421" s="3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</row>
    <row r="1422" spans="1:74" hidden="1">
      <c r="A1422" s="142">
        <v>1419</v>
      </c>
      <c r="B1422" s="333" t="s">
        <v>2844</v>
      </c>
      <c r="C1422" s="264" t="s">
        <v>2845</v>
      </c>
      <c r="D1422" s="263" t="s">
        <v>21</v>
      </c>
      <c r="E1422" s="161"/>
      <c r="F1422" s="161"/>
      <c r="G1422" s="165">
        <v>0</v>
      </c>
      <c r="H1422" s="10">
        <f t="shared" ref="H1422:H1433" si="79">SUM(M1422+O1422+Q1422+S1422+U1422+W1422+Y1422+AA1422+AC1422+AE1422+AG1422+AI1422+AK1422+AM1422+AO1422+AQ1422+AS1422+AU1422+AW1422+AY1422+BA1422+BC1422+BE1422+BG1422+BI1422+BK1422+BM1422+BO1422+BQ1422+BS1422+BU1422)</f>
        <v>0</v>
      </c>
      <c r="I1422" s="3">
        <f t="shared" ref="I1422:I1433" si="80">SUM(N1422+P1422+R1422+T1422+V1422+X1422+Z1422+AB1422+AD1422+AF1422+AH1422+AJ1422+AL1422+AN1422+AP1422+AR1422+AT1422+AV1422+AX1422+AZ1422+BB1422+BD1422+BF1422+BH1422+BJ1422+BL1422+BN1422+BP1422+BR1422+BT1422+BV1422)</f>
        <v>0</v>
      </c>
      <c r="J1422" s="33">
        <f t="shared" ref="J1422:J1433" si="81">G1422+H1422-I1422</f>
        <v>0</v>
      </c>
      <c r="K1422" s="33"/>
      <c r="L1422" s="3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</row>
    <row r="1423" spans="1:74" hidden="1">
      <c r="A1423" s="142">
        <v>1420</v>
      </c>
      <c r="B1423" s="333" t="s">
        <v>2846</v>
      </c>
      <c r="C1423" s="264" t="s">
        <v>2847</v>
      </c>
      <c r="D1423" s="263" t="s">
        <v>21</v>
      </c>
      <c r="E1423" s="161"/>
      <c r="F1423" s="161"/>
      <c r="G1423" s="165">
        <v>0</v>
      </c>
      <c r="H1423" s="10">
        <f t="shared" si="79"/>
        <v>0</v>
      </c>
      <c r="I1423" s="3">
        <f t="shared" si="80"/>
        <v>0</v>
      </c>
      <c r="J1423" s="33">
        <f t="shared" si="81"/>
        <v>0</v>
      </c>
      <c r="K1423" s="33"/>
      <c r="L1423" s="3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</row>
    <row r="1424" spans="1:74" hidden="1">
      <c r="A1424" s="142">
        <v>1421</v>
      </c>
      <c r="B1424" s="333" t="s">
        <v>2848</v>
      </c>
      <c r="C1424" s="380" t="s">
        <v>2849</v>
      </c>
      <c r="D1424" s="263" t="s">
        <v>21</v>
      </c>
      <c r="E1424" s="161"/>
      <c r="F1424" s="161"/>
      <c r="G1424" s="165">
        <v>0</v>
      </c>
      <c r="H1424" s="10">
        <f t="shared" si="79"/>
        <v>0</v>
      </c>
      <c r="I1424" s="3">
        <f t="shared" si="80"/>
        <v>0</v>
      </c>
      <c r="J1424" s="33">
        <f t="shared" si="81"/>
        <v>0</v>
      </c>
      <c r="K1424" s="33"/>
      <c r="L1424" s="3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</row>
    <row r="1425" spans="1:74" hidden="1">
      <c r="A1425" s="142">
        <v>1422</v>
      </c>
      <c r="B1425" s="265" t="s">
        <v>2850</v>
      </c>
      <c r="C1425" s="305" t="s">
        <v>2851</v>
      </c>
      <c r="D1425" s="263" t="s">
        <v>21</v>
      </c>
      <c r="E1425" s="161"/>
      <c r="F1425" s="161"/>
      <c r="G1425" s="165">
        <v>0</v>
      </c>
      <c r="H1425" s="10">
        <f t="shared" si="79"/>
        <v>0</v>
      </c>
      <c r="I1425" s="3">
        <f t="shared" si="80"/>
        <v>0</v>
      </c>
      <c r="J1425" s="33">
        <f t="shared" si="81"/>
        <v>0</v>
      </c>
      <c r="K1425" s="33"/>
      <c r="L1425" s="3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</row>
    <row r="1426" spans="1:74" hidden="1">
      <c r="A1426" s="142">
        <v>1423</v>
      </c>
      <c r="B1426" s="265" t="s">
        <v>2852</v>
      </c>
      <c r="C1426" s="305" t="s">
        <v>2853</v>
      </c>
      <c r="D1426" s="263" t="s">
        <v>21</v>
      </c>
      <c r="E1426" s="161"/>
      <c r="F1426" s="161"/>
      <c r="G1426" s="165">
        <v>0</v>
      </c>
      <c r="H1426" s="10">
        <f t="shared" si="79"/>
        <v>0</v>
      </c>
      <c r="I1426" s="3">
        <f t="shared" si="80"/>
        <v>0</v>
      </c>
      <c r="J1426" s="33">
        <f t="shared" si="81"/>
        <v>0</v>
      </c>
      <c r="K1426" s="33"/>
      <c r="L1426" s="3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</row>
    <row r="1427" spans="1:74" hidden="1">
      <c r="A1427" s="142">
        <v>1424</v>
      </c>
      <c r="B1427" s="333" t="s">
        <v>2854</v>
      </c>
      <c r="C1427" s="264" t="s">
        <v>2855</v>
      </c>
      <c r="D1427" s="263" t="s">
        <v>21</v>
      </c>
      <c r="E1427" s="161"/>
      <c r="F1427" s="161"/>
      <c r="G1427" s="165">
        <v>0</v>
      </c>
      <c r="H1427" s="10">
        <f t="shared" si="79"/>
        <v>0</v>
      </c>
      <c r="I1427" s="3">
        <f t="shared" si="80"/>
        <v>0</v>
      </c>
      <c r="J1427" s="33">
        <f t="shared" si="81"/>
        <v>0</v>
      </c>
      <c r="K1427" s="33"/>
      <c r="L1427" s="3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</row>
    <row r="1428" spans="1:74" hidden="1">
      <c r="A1428" s="142">
        <v>1425</v>
      </c>
      <c r="B1428" s="287" t="s">
        <v>2856</v>
      </c>
      <c r="C1428" s="288" t="s">
        <v>2857</v>
      </c>
      <c r="D1428" s="289" t="s">
        <v>21</v>
      </c>
      <c r="E1428" s="171"/>
      <c r="F1428" s="171"/>
      <c r="G1428" s="165">
        <v>0</v>
      </c>
      <c r="H1428" s="10">
        <f t="shared" si="79"/>
        <v>0</v>
      </c>
      <c r="I1428" s="3">
        <f t="shared" si="80"/>
        <v>0</v>
      </c>
      <c r="J1428" s="33">
        <f t="shared" si="81"/>
        <v>0</v>
      </c>
      <c r="K1428" s="33"/>
      <c r="L1428" s="3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</row>
    <row r="1429" spans="1:74" hidden="1">
      <c r="A1429" s="109">
        <v>1426</v>
      </c>
      <c r="B1429" s="182" t="s">
        <v>2858</v>
      </c>
      <c r="C1429" s="175" t="s">
        <v>2859</v>
      </c>
      <c r="D1429" s="160" t="s">
        <v>21</v>
      </c>
      <c r="E1429" s="171"/>
      <c r="F1429" s="171"/>
      <c r="G1429" s="215">
        <v>0</v>
      </c>
      <c r="H1429" s="174">
        <f t="shared" si="79"/>
        <v>0</v>
      </c>
      <c r="I1429" s="127">
        <f t="shared" si="80"/>
        <v>0</v>
      </c>
      <c r="J1429" s="173">
        <f t="shared" si="81"/>
        <v>0</v>
      </c>
      <c r="K1429" s="173"/>
      <c r="L1429" s="173"/>
      <c r="M1429" s="216"/>
      <c r="N1429" s="216"/>
      <c r="O1429" s="216"/>
      <c r="P1429" s="216"/>
      <c r="Q1429" s="216"/>
      <c r="R1429" s="216"/>
      <c r="S1429" s="216"/>
      <c r="T1429" s="216"/>
      <c r="U1429" s="216"/>
      <c r="V1429" s="216"/>
      <c r="W1429" s="216"/>
      <c r="X1429" s="216"/>
      <c r="Y1429" s="216"/>
      <c r="Z1429" s="216"/>
      <c r="AA1429" s="216"/>
      <c r="AB1429" s="216"/>
      <c r="AC1429" s="216"/>
      <c r="AD1429" s="216"/>
      <c r="AE1429" s="216"/>
      <c r="AF1429" s="216"/>
      <c r="AG1429" s="216"/>
      <c r="AH1429" s="216"/>
      <c r="AI1429" s="216"/>
      <c r="AJ1429" s="216"/>
      <c r="AK1429" s="216"/>
      <c r="AL1429" s="216"/>
      <c r="AM1429" s="216"/>
      <c r="AN1429" s="216"/>
      <c r="AO1429" s="216"/>
      <c r="AP1429" s="216"/>
      <c r="AQ1429" s="216"/>
      <c r="AR1429" s="216"/>
      <c r="AS1429" s="216"/>
      <c r="AT1429" s="216"/>
      <c r="AU1429" s="216"/>
      <c r="AV1429" s="216"/>
      <c r="AW1429" s="216"/>
      <c r="AX1429" s="216"/>
      <c r="AY1429" s="216"/>
      <c r="AZ1429" s="216"/>
      <c r="BA1429" s="216"/>
      <c r="BB1429" s="216"/>
      <c r="BC1429" s="216"/>
      <c r="BD1429" s="216"/>
      <c r="BE1429" s="216"/>
      <c r="BF1429" s="216"/>
      <c r="BG1429" s="216"/>
      <c r="BH1429" s="216"/>
      <c r="BI1429" s="216"/>
      <c r="BJ1429" s="216"/>
      <c r="BK1429" s="216"/>
      <c r="BL1429" s="216"/>
      <c r="BM1429" s="216"/>
      <c r="BN1429" s="216"/>
      <c r="BO1429" s="216"/>
      <c r="BP1429" s="216"/>
      <c r="BQ1429" s="216"/>
      <c r="BR1429" s="216"/>
      <c r="BS1429" s="216"/>
      <c r="BT1429" s="216"/>
      <c r="BU1429" s="216"/>
      <c r="BV1429" s="216"/>
    </row>
    <row r="1430" spans="1:74" hidden="1">
      <c r="A1430" s="109">
        <v>1427</v>
      </c>
      <c r="B1430" s="154" t="s">
        <v>2860</v>
      </c>
      <c r="C1430" s="175" t="s">
        <v>2861</v>
      </c>
      <c r="D1430" s="160" t="s">
        <v>14</v>
      </c>
      <c r="E1430" s="160"/>
      <c r="F1430" s="160"/>
      <c r="G1430" s="165">
        <v>0</v>
      </c>
      <c r="H1430" s="174">
        <f t="shared" si="79"/>
        <v>0</v>
      </c>
      <c r="I1430" s="127">
        <f t="shared" si="80"/>
        <v>0</v>
      </c>
      <c r="J1430" s="173">
        <f t="shared" si="81"/>
        <v>0</v>
      </c>
      <c r="K1430" s="173"/>
      <c r="L1430" s="17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</row>
    <row r="1431" spans="1:74" hidden="1">
      <c r="A1431" s="109">
        <v>1428</v>
      </c>
      <c r="B1431" s="154" t="s">
        <v>2862</v>
      </c>
      <c r="C1431" s="217" t="s">
        <v>2863</v>
      </c>
      <c r="D1431" s="171" t="s">
        <v>14</v>
      </c>
      <c r="E1431" s="171"/>
      <c r="F1431" s="171"/>
      <c r="G1431" s="165">
        <v>11</v>
      </c>
      <c r="H1431" s="174">
        <f t="shared" si="79"/>
        <v>0</v>
      </c>
      <c r="I1431" s="127">
        <f t="shared" si="80"/>
        <v>0</v>
      </c>
      <c r="J1431" s="173">
        <f t="shared" si="81"/>
        <v>11</v>
      </c>
      <c r="K1431" s="173"/>
      <c r="L1431" s="17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</row>
    <row r="1432" spans="1:74" hidden="1">
      <c r="A1432" s="142">
        <v>1429</v>
      </c>
      <c r="B1432" s="316" t="s">
        <v>2864</v>
      </c>
      <c r="C1432" s="421" t="s">
        <v>2865</v>
      </c>
      <c r="D1432" s="256" t="s">
        <v>14</v>
      </c>
      <c r="E1432" s="191"/>
      <c r="F1432" s="191"/>
      <c r="G1432" s="218">
        <v>0</v>
      </c>
      <c r="H1432" s="174">
        <f t="shared" si="79"/>
        <v>0</v>
      </c>
      <c r="I1432" s="127">
        <f t="shared" si="80"/>
        <v>0</v>
      </c>
      <c r="J1432" s="173">
        <f t="shared" si="81"/>
        <v>0</v>
      </c>
      <c r="K1432" s="173"/>
      <c r="L1432" s="173"/>
      <c r="M1432" s="202"/>
      <c r="N1432" s="202"/>
      <c r="O1432" s="202"/>
      <c r="P1432" s="202"/>
      <c r="Q1432" s="202"/>
      <c r="R1432" s="202"/>
      <c r="S1432" s="202"/>
      <c r="T1432" s="202"/>
      <c r="U1432" s="202"/>
      <c r="V1432" s="202"/>
      <c r="W1432" s="202"/>
      <c r="X1432" s="202"/>
      <c r="Y1432" s="202"/>
      <c r="Z1432" s="202"/>
      <c r="AA1432" s="202"/>
      <c r="AB1432" s="202"/>
      <c r="AC1432" s="202"/>
      <c r="AD1432" s="202"/>
      <c r="AE1432" s="202"/>
      <c r="AF1432" s="202"/>
      <c r="AG1432" s="202"/>
      <c r="AH1432" s="202"/>
      <c r="AI1432" s="202"/>
      <c r="AJ1432" s="202"/>
      <c r="AK1432" s="202"/>
      <c r="AL1432" s="202"/>
      <c r="AM1432" s="202"/>
      <c r="AN1432" s="202"/>
      <c r="AO1432" s="202"/>
      <c r="AP1432" s="202"/>
      <c r="AQ1432" s="202"/>
      <c r="AR1432" s="202"/>
      <c r="AS1432" s="202"/>
      <c r="AT1432" s="202"/>
      <c r="AU1432" s="202"/>
      <c r="AV1432" s="202"/>
      <c r="AW1432" s="202"/>
      <c r="AX1432" s="202"/>
      <c r="AY1432" s="202"/>
      <c r="AZ1432" s="202"/>
      <c r="BA1432" s="202"/>
      <c r="BB1432" s="202"/>
      <c r="BC1432" s="202"/>
      <c r="BD1432" s="202"/>
      <c r="BE1432" s="202"/>
      <c r="BF1432" s="202"/>
      <c r="BG1432" s="202"/>
      <c r="BH1432" s="202"/>
      <c r="BI1432" s="202"/>
      <c r="BJ1432" s="202"/>
      <c r="BK1432" s="202"/>
      <c r="BL1432" s="202"/>
      <c r="BM1432" s="202"/>
      <c r="BN1432" s="202"/>
      <c r="BO1432" s="202"/>
      <c r="BP1432" s="202"/>
      <c r="BQ1432" s="202"/>
      <c r="BR1432" s="202"/>
      <c r="BS1432" s="202"/>
      <c r="BT1432" s="202"/>
      <c r="BU1432" s="202"/>
      <c r="BV1432" s="202"/>
    </row>
    <row r="1433" spans="1:74" s="97" customFormat="1" hidden="1">
      <c r="A1433" s="109">
        <v>1430</v>
      </c>
      <c r="B1433" s="163" t="s">
        <v>2866</v>
      </c>
      <c r="C1433" s="219" t="s">
        <v>2867</v>
      </c>
      <c r="D1433" s="160" t="s">
        <v>14</v>
      </c>
      <c r="E1433" s="160"/>
      <c r="F1433" s="160"/>
      <c r="G1433" s="165">
        <v>2</v>
      </c>
      <c r="H1433" s="10">
        <f t="shared" si="79"/>
        <v>0</v>
      </c>
      <c r="I1433" s="3">
        <f t="shared" si="80"/>
        <v>0</v>
      </c>
      <c r="J1433" s="33">
        <f t="shared" si="81"/>
        <v>2</v>
      </c>
      <c r="K1433" s="33"/>
      <c r="L1433" s="3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</row>
    <row r="1434" spans="1:74" s="98" customFormat="1" hidden="1">
      <c r="A1434" s="109">
        <v>1431</v>
      </c>
      <c r="B1434" s="163" t="s">
        <v>2868</v>
      </c>
      <c r="C1434" s="219" t="s">
        <v>2869</v>
      </c>
      <c r="D1434" s="160" t="s">
        <v>21</v>
      </c>
      <c r="E1434" s="160"/>
      <c r="F1434" s="160"/>
      <c r="G1434" s="220">
        <v>6</v>
      </c>
      <c r="H1434" s="10">
        <f t="shared" ref="H1434:H1440" si="82">SUM(M1434+O1434+Q1434+S1434+U1434+W1434+Y1434+AA1434+AC1434+AE1434+AG1434+AI1434+AK1434+AM1434+AO1434+AQ1434+AS1434+AU1434+AW1434+AY1434+BA1434+BC1434+BE1434+BG1434+BI1434+BK1434+BM1434+BO1434+BQ1434+BS1434+BU1434)</f>
        <v>0</v>
      </c>
      <c r="I1434" s="3">
        <f t="shared" ref="I1434:I1440" si="83">SUM(N1434+P1434+R1434+T1434+V1434+X1434+Z1434+AB1434+AD1434+AF1434+AH1434+AJ1434+AL1434+AN1434+AP1434+AR1434+AT1434+AV1434+AX1434+AZ1434+BB1434+BD1434+BF1434+BH1434+BJ1434+BL1434+BN1434+BP1434+BR1434+BT1434+BV1434)</f>
        <v>0</v>
      </c>
      <c r="J1434" s="33">
        <f t="shared" ref="J1434:J1440" si="84">G1434+H1434-I1434</f>
        <v>6</v>
      </c>
      <c r="K1434" s="33"/>
      <c r="L1434" s="33"/>
      <c r="M1434" s="221"/>
      <c r="N1434" s="91"/>
      <c r="O1434" s="221"/>
      <c r="P1434" s="221"/>
      <c r="Q1434" s="91"/>
      <c r="R1434" s="221"/>
      <c r="S1434" s="221"/>
      <c r="T1434" s="221"/>
      <c r="U1434" s="221"/>
      <c r="V1434" s="221"/>
      <c r="W1434" s="221"/>
      <c r="X1434" s="221"/>
      <c r="Y1434" s="221"/>
      <c r="Z1434" s="221"/>
      <c r="AA1434" s="221"/>
      <c r="AB1434" s="221"/>
      <c r="AC1434" s="221"/>
      <c r="AD1434" s="221"/>
      <c r="AE1434" s="221"/>
      <c r="AF1434" s="221"/>
      <c r="AG1434" s="221"/>
      <c r="AH1434" s="221"/>
      <c r="AI1434" s="221"/>
      <c r="AJ1434" s="221"/>
      <c r="AK1434" s="221"/>
      <c r="AL1434" s="221"/>
      <c r="AM1434" s="221"/>
      <c r="AN1434" s="221"/>
      <c r="AO1434" s="221"/>
      <c r="AP1434" s="221"/>
      <c r="AQ1434" s="221"/>
      <c r="AR1434" s="221"/>
      <c r="AS1434" s="221"/>
      <c r="AT1434" s="221"/>
      <c r="AU1434" s="221"/>
      <c r="AV1434" s="221"/>
      <c r="AW1434" s="91"/>
      <c r="AX1434" s="221"/>
      <c r="AY1434" s="221"/>
      <c r="AZ1434" s="221"/>
      <c r="BA1434" s="221"/>
      <c r="BB1434" s="221"/>
      <c r="BC1434" s="221"/>
      <c r="BD1434" s="221"/>
      <c r="BE1434" s="221"/>
      <c r="BF1434" s="221"/>
      <c r="BG1434" s="221"/>
      <c r="BH1434" s="221"/>
      <c r="BI1434" s="221"/>
      <c r="BJ1434" s="221"/>
      <c r="BK1434" s="221"/>
      <c r="BL1434" s="221"/>
      <c r="BM1434" s="221"/>
      <c r="BN1434" s="221"/>
      <c r="BO1434" s="221"/>
      <c r="BP1434" s="221"/>
      <c r="BQ1434" s="221"/>
      <c r="BR1434" s="221"/>
      <c r="BS1434" s="221"/>
      <c r="BT1434" s="221"/>
      <c r="BU1434" s="221"/>
      <c r="BV1434" s="221"/>
    </row>
    <row r="1435" spans="1:74" s="98" customFormat="1" hidden="1">
      <c r="A1435" s="109">
        <v>1432</v>
      </c>
      <c r="B1435" s="164" t="s">
        <v>2870</v>
      </c>
      <c r="C1435" s="219" t="s">
        <v>2871</v>
      </c>
      <c r="D1435" s="160" t="s">
        <v>21</v>
      </c>
      <c r="E1435" s="160"/>
      <c r="F1435" s="160"/>
      <c r="G1435" s="220">
        <v>0</v>
      </c>
      <c r="H1435" s="10">
        <f t="shared" si="82"/>
        <v>0</v>
      </c>
      <c r="I1435" s="3">
        <f t="shared" si="83"/>
        <v>0</v>
      </c>
      <c r="J1435" s="33">
        <f t="shared" si="84"/>
        <v>0</v>
      </c>
      <c r="K1435" s="33"/>
      <c r="L1435" s="33"/>
      <c r="M1435" s="221"/>
      <c r="N1435" s="91"/>
      <c r="O1435" s="221"/>
      <c r="P1435" s="221"/>
      <c r="Q1435" s="221"/>
      <c r="R1435" s="221"/>
      <c r="S1435" s="221"/>
      <c r="T1435" s="221"/>
      <c r="U1435" s="221"/>
      <c r="V1435" s="221"/>
      <c r="W1435" s="221"/>
      <c r="X1435" s="221"/>
      <c r="Y1435" s="221"/>
      <c r="Z1435" s="221"/>
      <c r="AA1435" s="221"/>
      <c r="AB1435" s="221"/>
      <c r="AC1435" s="221"/>
      <c r="AD1435" s="221"/>
      <c r="AE1435" s="221"/>
      <c r="AF1435" s="221"/>
      <c r="AG1435" s="221"/>
      <c r="AH1435" s="221"/>
      <c r="AI1435" s="221"/>
      <c r="AJ1435" s="221"/>
      <c r="AK1435" s="221"/>
      <c r="AL1435" s="221"/>
      <c r="AM1435" s="221"/>
      <c r="AN1435" s="221"/>
      <c r="AO1435" s="221"/>
      <c r="AP1435" s="221"/>
      <c r="AQ1435" s="221"/>
      <c r="AR1435" s="221"/>
      <c r="AS1435" s="221"/>
      <c r="AT1435" s="221"/>
      <c r="AU1435" s="221"/>
      <c r="AV1435" s="221"/>
      <c r="AW1435" s="91"/>
      <c r="AX1435" s="221"/>
      <c r="AY1435" s="221"/>
      <c r="AZ1435" s="221"/>
      <c r="BA1435" s="221"/>
      <c r="BB1435" s="221"/>
      <c r="BC1435" s="221"/>
      <c r="BD1435" s="221"/>
      <c r="BE1435" s="221"/>
      <c r="BF1435" s="221"/>
      <c r="BG1435" s="221"/>
      <c r="BH1435" s="221"/>
      <c r="BI1435" s="221"/>
      <c r="BJ1435" s="221"/>
      <c r="BK1435" s="221"/>
      <c r="BL1435" s="221"/>
      <c r="BM1435" s="221"/>
      <c r="BN1435" s="221"/>
      <c r="BO1435" s="221"/>
      <c r="BP1435" s="221"/>
      <c r="BQ1435" s="221"/>
      <c r="BR1435" s="221"/>
      <c r="BS1435" s="221"/>
      <c r="BT1435" s="221"/>
      <c r="BU1435" s="221"/>
      <c r="BV1435" s="221"/>
    </row>
    <row r="1436" spans="1:74" s="98" customFormat="1" hidden="1">
      <c r="A1436" s="109">
        <v>1433</v>
      </c>
      <c r="B1436" s="164" t="s">
        <v>2872</v>
      </c>
      <c r="C1436" s="219" t="s">
        <v>2873</v>
      </c>
      <c r="D1436" s="160" t="s">
        <v>21</v>
      </c>
      <c r="E1436" s="160"/>
      <c r="F1436" s="160"/>
      <c r="G1436" s="220">
        <v>0</v>
      </c>
      <c r="H1436" s="10">
        <f t="shared" si="82"/>
        <v>0</v>
      </c>
      <c r="I1436" s="3">
        <f t="shared" si="83"/>
        <v>0</v>
      </c>
      <c r="J1436" s="33">
        <f t="shared" si="84"/>
        <v>0</v>
      </c>
      <c r="K1436" s="33"/>
      <c r="L1436" s="33"/>
      <c r="M1436" s="221"/>
      <c r="N1436" s="91"/>
      <c r="O1436" s="221"/>
      <c r="P1436" s="221"/>
      <c r="Q1436" s="221"/>
      <c r="R1436" s="221"/>
      <c r="S1436" s="221"/>
      <c r="T1436" s="221"/>
      <c r="U1436" s="221"/>
      <c r="V1436" s="221"/>
      <c r="W1436" s="221"/>
      <c r="X1436" s="221"/>
      <c r="Y1436" s="221"/>
      <c r="Z1436" s="221"/>
      <c r="AA1436" s="221"/>
      <c r="AB1436" s="221"/>
      <c r="AC1436" s="221"/>
      <c r="AD1436" s="221"/>
      <c r="AE1436" s="221"/>
      <c r="AF1436" s="221"/>
      <c r="AG1436" s="221"/>
      <c r="AH1436" s="221"/>
      <c r="AI1436" s="221"/>
      <c r="AJ1436" s="221"/>
      <c r="AK1436" s="221"/>
      <c r="AL1436" s="221"/>
      <c r="AM1436" s="221"/>
      <c r="AN1436" s="221"/>
      <c r="AO1436" s="221"/>
      <c r="AP1436" s="221"/>
      <c r="AQ1436" s="221"/>
      <c r="AR1436" s="221"/>
      <c r="AS1436" s="221"/>
      <c r="AT1436" s="221"/>
      <c r="AU1436" s="221"/>
      <c r="AV1436" s="221"/>
      <c r="AW1436" s="91"/>
      <c r="AX1436" s="221"/>
      <c r="AY1436" s="221"/>
      <c r="AZ1436" s="221"/>
      <c r="BA1436" s="221"/>
      <c r="BB1436" s="221"/>
      <c r="BC1436" s="221"/>
      <c r="BD1436" s="221"/>
      <c r="BE1436" s="221"/>
      <c r="BF1436" s="221"/>
      <c r="BG1436" s="221"/>
      <c r="BH1436" s="221"/>
      <c r="BI1436" s="221"/>
      <c r="BJ1436" s="221"/>
      <c r="BK1436" s="221"/>
      <c r="BL1436" s="221"/>
      <c r="BM1436" s="221"/>
      <c r="BN1436" s="221"/>
      <c r="BO1436" s="221"/>
      <c r="BP1436" s="221"/>
      <c r="BQ1436" s="221"/>
      <c r="BR1436" s="221"/>
      <c r="BS1436" s="221"/>
      <c r="BT1436" s="221"/>
      <c r="BU1436" s="221"/>
      <c r="BV1436" s="221"/>
    </row>
    <row r="1437" spans="1:74" s="98" customFormat="1" hidden="1">
      <c r="A1437" s="142">
        <v>1434</v>
      </c>
      <c r="B1437" s="316" t="s">
        <v>2874</v>
      </c>
      <c r="C1437" s="397" t="s">
        <v>2875</v>
      </c>
      <c r="D1437" s="267" t="s">
        <v>21</v>
      </c>
      <c r="E1437" s="160"/>
      <c r="F1437" s="160"/>
      <c r="G1437" s="220">
        <v>51</v>
      </c>
      <c r="H1437" s="10">
        <f t="shared" si="82"/>
        <v>41</v>
      </c>
      <c r="I1437" s="3">
        <f t="shared" si="83"/>
        <v>90</v>
      </c>
      <c r="J1437" s="33">
        <f t="shared" si="84"/>
        <v>2</v>
      </c>
      <c r="K1437" s="33"/>
      <c r="L1437" s="33"/>
      <c r="M1437" s="221"/>
      <c r="N1437" s="221"/>
      <c r="O1437" s="221">
        <v>41</v>
      </c>
      <c r="P1437" s="221">
        <v>50</v>
      </c>
      <c r="Q1437" s="91"/>
      <c r="R1437" s="221"/>
      <c r="S1437" s="221"/>
      <c r="T1437" s="221"/>
      <c r="U1437" s="221"/>
      <c r="V1437" s="221"/>
      <c r="W1437" s="221"/>
      <c r="X1437" s="221"/>
      <c r="Y1437" s="221"/>
      <c r="Z1437" s="221"/>
      <c r="AA1437" s="221"/>
      <c r="AB1437" s="221"/>
      <c r="AC1437" s="221"/>
      <c r="AD1437" s="221"/>
      <c r="AE1437" s="221"/>
      <c r="AF1437" s="221"/>
      <c r="AG1437" s="221"/>
      <c r="AH1437" s="221"/>
      <c r="AI1437" s="221"/>
      <c r="AJ1437" s="221"/>
      <c r="AK1437" s="221"/>
      <c r="AL1437" s="221">
        <v>40</v>
      </c>
      <c r="AM1437" s="221"/>
      <c r="AN1437" s="221"/>
      <c r="AO1437" s="221"/>
      <c r="AP1437" s="221"/>
      <c r="AQ1437" s="221"/>
      <c r="AR1437" s="91"/>
      <c r="AS1437" s="221"/>
      <c r="AT1437" s="221"/>
      <c r="AU1437" s="221"/>
      <c r="AV1437" s="221"/>
      <c r="AW1437" s="91"/>
      <c r="AX1437" s="221"/>
      <c r="AY1437" s="221"/>
      <c r="AZ1437" s="221"/>
      <c r="BA1437" s="221"/>
      <c r="BB1437" s="221"/>
      <c r="BC1437" s="221"/>
      <c r="BD1437" s="221"/>
      <c r="BE1437" s="221"/>
      <c r="BF1437" s="221"/>
      <c r="BG1437" s="221"/>
      <c r="BH1437" s="221"/>
      <c r="BI1437" s="221"/>
      <c r="BJ1437" s="221"/>
      <c r="BK1437" s="221"/>
      <c r="BL1437" s="221"/>
      <c r="BM1437" s="221"/>
      <c r="BN1437" s="221"/>
      <c r="BO1437" s="221"/>
      <c r="BP1437" s="221"/>
      <c r="BQ1437" s="221"/>
      <c r="BR1437" s="221"/>
      <c r="BS1437" s="221"/>
      <c r="BT1437" s="221"/>
      <c r="BU1437" s="221"/>
      <c r="BV1437" s="221"/>
    </row>
    <row r="1438" spans="1:74" s="98" customFormat="1" hidden="1">
      <c r="A1438" s="403">
        <v>1435</v>
      </c>
      <c r="B1438" s="406" t="s">
        <v>2876</v>
      </c>
      <c r="C1438" s="407" t="s">
        <v>2877</v>
      </c>
      <c r="D1438" s="408" t="s">
        <v>21</v>
      </c>
      <c r="E1438" s="160"/>
      <c r="F1438" s="160"/>
      <c r="G1438" s="220">
        <v>24</v>
      </c>
      <c r="H1438" s="10">
        <f t="shared" si="82"/>
        <v>0</v>
      </c>
      <c r="I1438" s="3">
        <f t="shared" si="83"/>
        <v>23</v>
      </c>
      <c r="J1438" s="33">
        <f t="shared" si="84"/>
        <v>1</v>
      </c>
      <c r="K1438" s="33"/>
      <c r="L1438" s="33"/>
      <c r="M1438" s="221"/>
      <c r="N1438" s="221"/>
      <c r="O1438" s="221"/>
      <c r="P1438" s="221"/>
      <c r="Q1438" s="91"/>
      <c r="R1438" s="221"/>
      <c r="S1438" s="221"/>
      <c r="T1438" s="221"/>
      <c r="U1438" s="221"/>
      <c r="V1438" s="221"/>
      <c r="W1438" s="221"/>
      <c r="X1438" s="221"/>
      <c r="Y1438" s="221"/>
      <c r="Z1438" s="221">
        <v>23</v>
      </c>
      <c r="AA1438" s="221"/>
      <c r="AB1438" s="221"/>
      <c r="AC1438" s="221"/>
      <c r="AD1438" s="221"/>
      <c r="AE1438" s="221"/>
      <c r="AF1438" s="221"/>
      <c r="AG1438" s="221"/>
      <c r="AH1438" s="221"/>
      <c r="AI1438" s="221"/>
      <c r="AJ1438" s="221"/>
      <c r="AK1438" s="221"/>
      <c r="AL1438" s="221"/>
      <c r="AM1438" s="221"/>
      <c r="AN1438" s="221"/>
      <c r="AO1438" s="221"/>
      <c r="AP1438" s="221"/>
      <c r="AQ1438" s="221"/>
      <c r="AR1438" s="91"/>
      <c r="AS1438" s="221"/>
      <c r="AT1438" s="221"/>
      <c r="AU1438" s="221"/>
      <c r="AV1438" s="221"/>
      <c r="AW1438" s="91"/>
      <c r="AX1438" s="221"/>
      <c r="AY1438" s="221"/>
      <c r="AZ1438" s="221"/>
      <c r="BA1438" s="221"/>
      <c r="BB1438" s="221"/>
      <c r="BC1438" s="221"/>
      <c r="BD1438" s="221"/>
      <c r="BE1438" s="221"/>
      <c r="BF1438" s="221"/>
      <c r="BG1438" s="221"/>
      <c r="BH1438" s="221"/>
      <c r="BI1438" s="221"/>
      <c r="BJ1438" s="221"/>
      <c r="BK1438" s="221"/>
      <c r="BL1438" s="221"/>
      <c r="BM1438" s="221"/>
      <c r="BN1438" s="221"/>
      <c r="BO1438" s="221"/>
      <c r="BP1438" s="221"/>
      <c r="BQ1438" s="221"/>
      <c r="BR1438" s="221"/>
      <c r="BS1438" s="221"/>
      <c r="BT1438" s="221"/>
      <c r="BU1438" s="221"/>
      <c r="BV1438" s="221"/>
    </row>
    <row r="1439" spans="1:74" s="98" customFormat="1" hidden="1">
      <c r="A1439" s="142">
        <v>1436</v>
      </c>
      <c r="B1439" s="316" t="s">
        <v>2878</v>
      </c>
      <c r="C1439" s="397" t="s">
        <v>2879</v>
      </c>
      <c r="D1439" s="267" t="s">
        <v>21</v>
      </c>
      <c r="E1439" s="160"/>
      <c r="F1439" s="160"/>
      <c r="G1439" s="220">
        <v>0</v>
      </c>
      <c r="H1439" s="10">
        <f t="shared" si="82"/>
        <v>0</v>
      </c>
      <c r="I1439" s="3">
        <f t="shared" si="83"/>
        <v>0</v>
      </c>
      <c r="J1439" s="33">
        <f t="shared" si="84"/>
        <v>0</v>
      </c>
      <c r="K1439" s="33"/>
      <c r="L1439" s="33"/>
      <c r="M1439" s="221"/>
      <c r="N1439" s="221"/>
      <c r="O1439" s="221"/>
      <c r="P1439" s="221"/>
      <c r="Q1439" s="221"/>
      <c r="R1439" s="221"/>
      <c r="S1439" s="221"/>
      <c r="T1439" s="221"/>
      <c r="U1439" s="221"/>
      <c r="V1439" s="221"/>
      <c r="W1439" s="221"/>
      <c r="X1439" s="221"/>
      <c r="Y1439" s="221"/>
      <c r="Z1439" s="221"/>
      <c r="AA1439" s="221"/>
      <c r="AB1439" s="221"/>
      <c r="AC1439" s="221"/>
      <c r="AD1439" s="221"/>
      <c r="AE1439" s="221"/>
      <c r="AF1439" s="221"/>
      <c r="AG1439" s="221"/>
      <c r="AH1439" s="221"/>
      <c r="AI1439" s="221"/>
      <c r="AJ1439" s="221"/>
      <c r="AK1439" s="221"/>
      <c r="AL1439" s="221"/>
      <c r="AM1439" s="221"/>
      <c r="AN1439" s="221"/>
      <c r="AO1439" s="221"/>
      <c r="AP1439" s="221"/>
      <c r="AQ1439" s="221"/>
      <c r="AR1439" s="221"/>
      <c r="AS1439" s="221"/>
      <c r="AT1439" s="221"/>
      <c r="AU1439" s="221"/>
      <c r="AV1439" s="221"/>
      <c r="AW1439" s="91"/>
      <c r="AX1439" s="221"/>
      <c r="AY1439" s="221"/>
      <c r="AZ1439" s="221"/>
      <c r="BA1439" s="221"/>
      <c r="BB1439" s="221"/>
      <c r="BC1439" s="221"/>
      <c r="BD1439" s="221"/>
      <c r="BE1439" s="221"/>
      <c r="BF1439" s="221"/>
      <c r="BG1439" s="221"/>
      <c r="BH1439" s="221"/>
      <c r="BI1439" s="221"/>
      <c r="BJ1439" s="221"/>
      <c r="BK1439" s="221"/>
      <c r="BL1439" s="221"/>
      <c r="BM1439" s="221"/>
      <c r="BN1439" s="221"/>
      <c r="BO1439" s="221"/>
      <c r="BP1439" s="221"/>
      <c r="BQ1439" s="221"/>
      <c r="BR1439" s="221"/>
      <c r="BS1439" s="221"/>
      <c r="BT1439" s="221"/>
      <c r="BU1439" s="221"/>
      <c r="BV1439" s="221"/>
    </row>
    <row r="1440" spans="1:74" s="98" customFormat="1" hidden="1">
      <c r="A1440" s="142">
        <v>1437</v>
      </c>
      <c r="B1440" s="316" t="s">
        <v>2880</v>
      </c>
      <c r="C1440" s="360" t="s">
        <v>2881</v>
      </c>
      <c r="D1440" s="267" t="s">
        <v>21</v>
      </c>
      <c r="E1440" s="160"/>
      <c r="F1440" s="160"/>
      <c r="G1440" s="220">
        <v>0</v>
      </c>
      <c r="H1440" s="10">
        <f t="shared" si="82"/>
        <v>0</v>
      </c>
      <c r="I1440" s="3">
        <f t="shared" si="83"/>
        <v>0</v>
      </c>
      <c r="J1440" s="33">
        <f t="shared" si="84"/>
        <v>0</v>
      </c>
      <c r="K1440" s="33"/>
      <c r="L1440" s="33"/>
      <c r="M1440" s="221"/>
      <c r="N1440" s="221"/>
      <c r="O1440" s="221"/>
      <c r="P1440" s="221"/>
      <c r="Q1440" s="221"/>
      <c r="R1440" s="221"/>
      <c r="S1440" s="221"/>
      <c r="T1440" s="221"/>
      <c r="U1440" s="221"/>
      <c r="V1440" s="221"/>
      <c r="W1440" s="221"/>
      <c r="X1440" s="221"/>
      <c r="Y1440" s="221"/>
      <c r="Z1440" s="221"/>
      <c r="AA1440" s="221"/>
      <c r="AB1440" s="221"/>
      <c r="AC1440" s="221"/>
      <c r="AD1440" s="221"/>
      <c r="AE1440" s="221"/>
      <c r="AF1440" s="221"/>
      <c r="AG1440" s="221"/>
      <c r="AH1440" s="221"/>
      <c r="AI1440" s="221"/>
      <c r="AJ1440" s="221"/>
      <c r="AK1440" s="221"/>
      <c r="AL1440" s="221"/>
      <c r="AM1440" s="221"/>
      <c r="AN1440" s="221"/>
      <c r="AO1440" s="221"/>
      <c r="AP1440" s="221"/>
      <c r="AQ1440" s="221"/>
      <c r="AR1440" s="221"/>
      <c r="AS1440" s="221"/>
      <c r="AT1440" s="221"/>
      <c r="AU1440" s="221"/>
      <c r="AV1440" s="221"/>
      <c r="AW1440" s="91"/>
      <c r="AX1440" s="221"/>
      <c r="AY1440" s="221"/>
      <c r="AZ1440" s="221"/>
      <c r="BA1440" s="221"/>
      <c r="BB1440" s="221"/>
      <c r="BC1440" s="221"/>
      <c r="BD1440" s="221"/>
      <c r="BE1440" s="221"/>
      <c r="BF1440" s="221"/>
      <c r="BG1440" s="221"/>
      <c r="BH1440" s="221"/>
      <c r="BI1440" s="221"/>
      <c r="BJ1440" s="221"/>
      <c r="BK1440" s="221"/>
      <c r="BL1440" s="221"/>
      <c r="BM1440" s="221"/>
      <c r="BN1440" s="221"/>
      <c r="BO1440" s="221"/>
      <c r="BP1440" s="221"/>
      <c r="BQ1440" s="221"/>
      <c r="BR1440" s="221"/>
      <c r="BS1440" s="221"/>
      <c r="BT1440" s="221"/>
      <c r="BU1440" s="221"/>
      <c r="BV1440" s="221"/>
    </row>
    <row r="1441" spans="1:74" ht="45" hidden="1">
      <c r="A1441" s="142">
        <v>1438</v>
      </c>
      <c r="B1441" s="316" t="s">
        <v>2882</v>
      </c>
      <c r="C1441" s="360" t="s">
        <v>2883</v>
      </c>
      <c r="D1441" s="267" t="s">
        <v>14</v>
      </c>
      <c r="E1441" s="160"/>
      <c r="F1441" s="160"/>
      <c r="G1441" s="220">
        <v>0</v>
      </c>
      <c r="H1441" s="10">
        <f t="shared" ref="H1441:H1473" si="85">SUM(M1441+O1441+Q1441+S1441+U1441+W1441+Y1441+AA1441+AC1441+AE1441+AG1441+AI1441+AK1441+AM1441+AO1441+AQ1441+AS1441+AU1441+AW1441+AY1441+BA1441+BC1441+BE1441+BG1441+BI1441+BK1441+BM1441+BO1441+BQ1441+BS1441+BU1441)</f>
        <v>0</v>
      </c>
      <c r="I1441" s="3">
        <f t="shared" ref="I1441:I1473" si="86">SUM(N1441+P1441+R1441+T1441+V1441+X1441+Z1441+AB1441+AD1441+AF1441+AH1441+AJ1441+AL1441+AN1441+AP1441+AR1441+AT1441+AV1441+AX1441+AZ1441+BB1441+BD1441+BF1441+BH1441+BJ1441+BL1441+BN1441+BP1441+BR1441+BT1441+BV1441)</f>
        <v>0</v>
      </c>
      <c r="J1441" s="33">
        <f t="shared" ref="J1441:J1473" si="87">G1441+H1441-I1441</f>
        <v>0</v>
      </c>
      <c r="K1441" s="33"/>
      <c r="L1441" s="33"/>
      <c r="M1441" s="91"/>
      <c r="N1441" s="91"/>
      <c r="O1441" s="91"/>
      <c r="P1441" s="91"/>
      <c r="Q1441" s="91"/>
      <c r="R1441" s="91"/>
      <c r="S1441" s="91"/>
      <c r="T1441" s="91"/>
      <c r="U1441" s="91"/>
      <c r="V1441" s="91"/>
      <c r="W1441" s="91"/>
      <c r="X1441" s="91"/>
      <c r="Y1441" s="91"/>
      <c r="Z1441" s="91"/>
      <c r="AA1441" s="91"/>
      <c r="AB1441" s="91"/>
      <c r="AC1441" s="91"/>
      <c r="AD1441" s="91"/>
      <c r="AE1441" s="91"/>
      <c r="AF1441" s="91"/>
      <c r="AG1441" s="91"/>
      <c r="AH1441" s="91"/>
      <c r="AI1441" s="91"/>
      <c r="AJ1441" s="91"/>
      <c r="AK1441" s="91"/>
      <c r="AL1441" s="91"/>
      <c r="AM1441" s="91"/>
      <c r="AN1441" s="91"/>
      <c r="AO1441" s="91"/>
      <c r="AP1441" s="91"/>
      <c r="AQ1441" s="91"/>
      <c r="AR1441" s="91"/>
      <c r="AS1441" s="91"/>
      <c r="AT1441" s="91"/>
      <c r="AU1441" s="91"/>
      <c r="AV1441" s="91"/>
      <c r="AW1441" s="91"/>
      <c r="AX1441" s="91"/>
      <c r="AY1441" s="91"/>
      <c r="AZ1441" s="91"/>
      <c r="BA1441" s="91"/>
      <c r="BB1441" s="91"/>
      <c r="BC1441" s="91"/>
      <c r="BD1441" s="91"/>
      <c r="BE1441" s="91"/>
      <c r="BF1441" s="91"/>
      <c r="BG1441" s="91"/>
      <c r="BH1441" s="91"/>
      <c r="BI1441" s="91"/>
      <c r="BJ1441" s="91"/>
      <c r="BK1441" s="91"/>
      <c r="BL1441" s="91"/>
      <c r="BM1441" s="91"/>
      <c r="BN1441" s="91"/>
      <c r="BO1441" s="91"/>
      <c r="BP1441" s="91"/>
      <c r="BQ1441" s="91"/>
      <c r="BR1441" s="91"/>
      <c r="BS1441" s="91"/>
      <c r="BT1441" s="91"/>
      <c r="BU1441" s="91"/>
      <c r="BV1441" s="91"/>
    </row>
    <row r="1442" spans="1:74" ht="30" hidden="1">
      <c r="A1442" s="142">
        <v>1439</v>
      </c>
      <c r="B1442" s="299" t="s">
        <v>2884</v>
      </c>
      <c r="C1442" s="360" t="s">
        <v>2885</v>
      </c>
      <c r="D1442" s="267" t="s">
        <v>14</v>
      </c>
      <c r="E1442" s="160"/>
      <c r="F1442" s="160"/>
      <c r="G1442" s="220">
        <v>0</v>
      </c>
      <c r="H1442" s="10">
        <f t="shared" si="85"/>
        <v>0</v>
      </c>
      <c r="I1442" s="3">
        <f t="shared" si="86"/>
        <v>0</v>
      </c>
      <c r="J1442" s="33">
        <f t="shared" si="87"/>
        <v>0</v>
      </c>
      <c r="K1442" s="33"/>
      <c r="L1442" s="33"/>
      <c r="M1442" s="91"/>
      <c r="N1442" s="91"/>
      <c r="O1442" s="91"/>
      <c r="P1442" s="91"/>
      <c r="Q1442" s="91"/>
      <c r="R1442" s="91"/>
      <c r="S1442" s="91"/>
      <c r="T1442" s="91"/>
      <c r="U1442" s="91"/>
      <c r="V1442" s="91"/>
      <c r="W1442" s="91"/>
      <c r="X1442" s="91"/>
      <c r="Y1442" s="91"/>
      <c r="Z1442" s="91"/>
      <c r="AA1442" s="91"/>
      <c r="AB1442" s="91"/>
      <c r="AC1442" s="91"/>
      <c r="AD1442" s="91"/>
      <c r="AE1442" s="91"/>
      <c r="AF1442" s="91"/>
      <c r="AG1442" s="91"/>
      <c r="AH1442" s="91"/>
      <c r="AI1442" s="91"/>
      <c r="AJ1442" s="91"/>
      <c r="AK1442" s="91"/>
      <c r="AL1442" s="91"/>
      <c r="AM1442" s="91"/>
      <c r="AN1442" s="91"/>
      <c r="AO1442" s="91"/>
      <c r="AP1442" s="91"/>
      <c r="AQ1442" s="91"/>
      <c r="AR1442" s="91"/>
      <c r="AS1442" s="91"/>
      <c r="AT1442" s="91"/>
      <c r="AU1442" s="91"/>
      <c r="AV1442" s="91"/>
      <c r="AW1442" s="91"/>
      <c r="AX1442" s="91"/>
      <c r="AY1442" s="91"/>
      <c r="AZ1442" s="91"/>
      <c r="BA1442" s="91"/>
      <c r="BB1442" s="91"/>
      <c r="BC1442" s="91"/>
      <c r="BD1442" s="91"/>
      <c r="BE1442" s="91"/>
      <c r="BF1442" s="91"/>
      <c r="BG1442" s="91"/>
      <c r="BH1442" s="91"/>
      <c r="BI1442" s="91"/>
      <c r="BJ1442" s="91"/>
      <c r="BK1442" s="91"/>
      <c r="BL1442" s="91"/>
      <c r="BM1442" s="91"/>
      <c r="BN1442" s="91"/>
      <c r="BO1442" s="91"/>
      <c r="BP1442" s="91"/>
      <c r="BQ1442" s="91"/>
      <c r="BR1442" s="91"/>
      <c r="BS1442" s="91"/>
      <c r="BT1442" s="91"/>
      <c r="BU1442" s="91"/>
      <c r="BV1442" s="91"/>
    </row>
    <row r="1443" spans="1:74" ht="30" hidden="1">
      <c r="A1443" s="142">
        <v>1440</v>
      </c>
      <c r="B1443" s="316" t="s">
        <v>2886</v>
      </c>
      <c r="C1443" s="360" t="s">
        <v>2887</v>
      </c>
      <c r="D1443" s="267" t="s">
        <v>14</v>
      </c>
      <c r="E1443" s="160"/>
      <c r="F1443" s="160"/>
      <c r="G1443" s="220">
        <v>0</v>
      </c>
      <c r="H1443" s="10">
        <f t="shared" si="85"/>
        <v>0</v>
      </c>
      <c r="I1443" s="3">
        <f t="shared" si="86"/>
        <v>0</v>
      </c>
      <c r="J1443" s="33">
        <f t="shared" si="87"/>
        <v>0</v>
      </c>
      <c r="K1443" s="33"/>
      <c r="L1443" s="33"/>
      <c r="M1443" s="91"/>
      <c r="N1443" s="91"/>
      <c r="O1443" s="91"/>
      <c r="P1443" s="91"/>
      <c r="Q1443" s="91"/>
      <c r="R1443" s="91"/>
      <c r="S1443" s="91"/>
      <c r="T1443" s="91"/>
      <c r="U1443" s="91"/>
      <c r="V1443" s="91"/>
      <c r="W1443" s="91"/>
      <c r="X1443" s="91"/>
      <c r="Y1443" s="91"/>
      <c r="Z1443" s="91"/>
      <c r="AA1443" s="91"/>
      <c r="AB1443" s="91"/>
      <c r="AC1443" s="91"/>
      <c r="AD1443" s="91"/>
      <c r="AE1443" s="91"/>
      <c r="AF1443" s="91"/>
      <c r="AG1443" s="91"/>
      <c r="AH1443" s="91"/>
      <c r="AI1443" s="91"/>
      <c r="AJ1443" s="91"/>
      <c r="AK1443" s="91"/>
      <c r="AL1443" s="91"/>
      <c r="AM1443" s="91"/>
      <c r="AN1443" s="91"/>
      <c r="AO1443" s="91"/>
      <c r="AP1443" s="91"/>
      <c r="AQ1443" s="91"/>
      <c r="AR1443" s="91"/>
      <c r="AS1443" s="91"/>
      <c r="AT1443" s="91"/>
      <c r="AU1443" s="91"/>
      <c r="AV1443" s="91"/>
      <c r="AW1443" s="91"/>
      <c r="AX1443" s="91"/>
      <c r="AY1443" s="91"/>
      <c r="AZ1443" s="91"/>
      <c r="BA1443" s="91"/>
      <c r="BB1443" s="91"/>
      <c r="BC1443" s="91"/>
      <c r="BD1443" s="91"/>
      <c r="BE1443" s="91"/>
      <c r="BF1443" s="91"/>
      <c r="BG1443" s="91"/>
      <c r="BH1443" s="91"/>
      <c r="BI1443" s="91"/>
      <c r="BJ1443" s="91"/>
      <c r="BK1443" s="91"/>
      <c r="BL1443" s="91"/>
      <c r="BM1443" s="91"/>
      <c r="BN1443" s="91"/>
      <c r="BO1443" s="91"/>
      <c r="BP1443" s="91"/>
      <c r="BQ1443" s="91"/>
      <c r="BR1443" s="91"/>
      <c r="BS1443" s="91"/>
      <c r="BT1443" s="91"/>
      <c r="BU1443" s="91"/>
      <c r="BV1443" s="91"/>
    </row>
    <row r="1444" spans="1:74" ht="30" hidden="1">
      <c r="A1444" s="142">
        <v>1441</v>
      </c>
      <c r="B1444" s="316" t="s">
        <v>2888</v>
      </c>
      <c r="C1444" s="360" t="s">
        <v>2889</v>
      </c>
      <c r="D1444" s="267" t="s">
        <v>14</v>
      </c>
      <c r="E1444" s="160"/>
      <c r="F1444" s="160"/>
      <c r="G1444" s="220">
        <v>0</v>
      </c>
      <c r="H1444" s="10">
        <f t="shared" si="85"/>
        <v>0</v>
      </c>
      <c r="I1444" s="3">
        <f t="shared" si="86"/>
        <v>0</v>
      </c>
      <c r="J1444" s="33">
        <f t="shared" si="87"/>
        <v>0</v>
      </c>
      <c r="K1444" s="33"/>
      <c r="L1444" s="33"/>
      <c r="M1444" s="91"/>
      <c r="N1444" s="91"/>
      <c r="O1444" s="91"/>
      <c r="P1444" s="91"/>
      <c r="Q1444" s="91"/>
      <c r="R1444" s="91"/>
      <c r="S1444" s="91"/>
      <c r="T1444" s="91"/>
      <c r="U1444" s="91"/>
      <c r="V1444" s="91"/>
      <c r="W1444" s="91"/>
      <c r="X1444" s="91"/>
      <c r="Y1444" s="91"/>
      <c r="Z1444" s="91"/>
      <c r="AA1444" s="91"/>
      <c r="AB1444" s="91"/>
      <c r="AC1444" s="91"/>
      <c r="AD1444" s="91"/>
      <c r="AE1444" s="91"/>
      <c r="AF1444" s="91"/>
      <c r="AG1444" s="91"/>
      <c r="AH1444" s="91"/>
      <c r="AI1444" s="91"/>
      <c r="AJ1444" s="91"/>
      <c r="AK1444" s="91"/>
      <c r="AL1444" s="91"/>
      <c r="AM1444" s="91"/>
      <c r="AN1444" s="91"/>
      <c r="AO1444" s="91"/>
      <c r="AP1444" s="91"/>
      <c r="AQ1444" s="91"/>
      <c r="AR1444" s="91"/>
      <c r="AS1444" s="91"/>
      <c r="AT1444" s="91"/>
      <c r="AU1444" s="91"/>
      <c r="AV1444" s="91"/>
      <c r="AW1444" s="91"/>
      <c r="AX1444" s="91"/>
      <c r="AY1444" s="91"/>
      <c r="AZ1444" s="91"/>
      <c r="BA1444" s="91"/>
      <c r="BB1444" s="91"/>
      <c r="BC1444" s="91"/>
      <c r="BD1444" s="91"/>
      <c r="BE1444" s="91"/>
      <c r="BF1444" s="91"/>
      <c r="BG1444" s="91"/>
      <c r="BH1444" s="91"/>
      <c r="BI1444" s="91"/>
      <c r="BJ1444" s="91"/>
      <c r="BK1444" s="91"/>
      <c r="BL1444" s="91"/>
      <c r="BM1444" s="91"/>
      <c r="BN1444" s="91"/>
      <c r="BO1444" s="91"/>
      <c r="BP1444" s="91"/>
      <c r="BQ1444" s="91"/>
      <c r="BR1444" s="91"/>
      <c r="BS1444" s="91"/>
      <c r="BT1444" s="91"/>
      <c r="BU1444" s="91"/>
      <c r="BV1444" s="91"/>
    </row>
    <row r="1445" spans="1:74" hidden="1">
      <c r="A1445" s="142">
        <v>1442</v>
      </c>
      <c r="B1445" s="316" t="s">
        <v>2890</v>
      </c>
      <c r="C1445" s="300" t="s">
        <v>2891</v>
      </c>
      <c r="D1445" s="267" t="s">
        <v>21</v>
      </c>
      <c r="E1445" s="160"/>
      <c r="F1445" s="160"/>
      <c r="G1445" s="220">
        <v>0</v>
      </c>
      <c r="H1445" s="10">
        <f t="shared" si="85"/>
        <v>0</v>
      </c>
      <c r="I1445" s="3">
        <f t="shared" si="86"/>
        <v>0</v>
      </c>
      <c r="J1445" s="33">
        <f t="shared" si="87"/>
        <v>0</v>
      </c>
      <c r="K1445" s="33"/>
      <c r="L1445" s="33"/>
      <c r="M1445" s="91"/>
      <c r="N1445" s="91"/>
      <c r="O1445" s="91"/>
      <c r="P1445" s="91"/>
      <c r="Q1445" s="91"/>
      <c r="R1445" s="91"/>
      <c r="S1445" s="91"/>
      <c r="T1445" s="91"/>
      <c r="U1445" s="91"/>
      <c r="V1445" s="91"/>
      <c r="W1445" s="91"/>
      <c r="X1445" s="91"/>
      <c r="Y1445" s="91"/>
      <c r="Z1445" s="91"/>
      <c r="AA1445" s="91"/>
      <c r="AB1445" s="91"/>
      <c r="AC1445" s="91"/>
      <c r="AD1445" s="91"/>
      <c r="AE1445" s="91"/>
      <c r="AF1445" s="91"/>
      <c r="AG1445" s="91"/>
      <c r="AH1445" s="91"/>
      <c r="AI1445" s="91"/>
      <c r="AJ1445" s="91"/>
      <c r="AK1445" s="91"/>
      <c r="AL1445" s="91"/>
      <c r="AM1445" s="91"/>
      <c r="AN1445" s="91"/>
      <c r="AO1445" s="91"/>
      <c r="AP1445" s="91"/>
      <c r="AQ1445" s="91"/>
      <c r="AR1445" s="91"/>
      <c r="AS1445" s="91"/>
      <c r="AT1445" s="91"/>
      <c r="AU1445" s="91"/>
      <c r="AV1445" s="91"/>
      <c r="AW1445" s="91"/>
      <c r="AX1445" s="91"/>
      <c r="AY1445" s="91"/>
      <c r="AZ1445" s="91"/>
      <c r="BA1445" s="91"/>
      <c r="BB1445" s="91"/>
      <c r="BC1445" s="91"/>
      <c r="BD1445" s="91"/>
      <c r="BE1445" s="91"/>
      <c r="BF1445" s="91"/>
      <c r="BG1445" s="91"/>
      <c r="BH1445" s="91"/>
      <c r="BI1445" s="91"/>
      <c r="BJ1445" s="91"/>
      <c r="BK1445" s="91"/>
      <c r="BL1445" s="91"/>
      <c r="BM1445" s="91"/>
      <c r="BN1445" s="91"/>
      <c r="BO1445" s="91"/>
      <c r="BP1445" s="91"/>
      <c r="BQ1445" s="91"/>
      <c r="BR1445" s="91"/>
      <c r="BS1445" s="91"/>
      <c r="BT1445" s="91"/>
      <c r="BU1445" s="91"/>
      <c r="BV1445" s="91"/>
    </row>
    <row r="1446" spans="1:74" hidden="1">
      <c r="A1446" s="142">
        <v>1443</v>
      </c>
      <c r="B1446" s="316" t="s">
        <v>2892</v>
      </c>
      <c r="C1446" s="300" t="s">
        <v>2893</v>
      </c>
      <c r="D1446" s="267" t="s">
        <v>21</v>
      </c>
      <c r="E1446" s="160"/>
      <c r="F1446" s="160"/>
      <c r="G1446" s="220">
        <v>0</v>
      </c>
      <c r="H1446" s="10">
        <f t="shared" si="85"/>
        <v>0</v>
      </c>
      <c r="I1446" s="3">
        <f t="shared" si="86"/>
        <v>0</v>
      </c>
      <c r="J1446" s="33">
        <f t="shared" si="87"/>
        <v>0</v>
      </c>
      <c r="K1446" s="33"/>
      <c r="L1446" s="33"/>
      <c r="M1446" s="91"/>
      <c r="N1446" s="91"/>
      <c r="O1446" s="91"/>
      <c r="P1446" s="91"/>
      <c r="Q1446" s="91"/>
      <c r="R1446" s="91"/>
      <c r="S1446" s="91"/>
      <c r="T1446" s="91"/>
      <c r="U1446" s="91"/>
      <c r="V1446" s="91"/>
      <c r="W1446" s="91"/>
      <c r="X1446" s="91"/>
      <c r="Y1446" s="91"/>
      <c r="Z1446" s="91"/>
      <c r="AA1446" s="91"/>
      <c r="AB1446" s="91"/>
      <c r="AC1446" s="91"/>
      <c r="AD1446" s="91"/>
      <c r="AE1446" s="91"/>
      <c r="AF1446" s="91"/>
      <c r="AG1446" s="91"/>
      <c r="AH1446" s="91"/>
      <c r="AI1446" s="91"/>
      <c r="AJ1446" s="91"/>
      <c r="AK1446" s="91"/>
      <c r="AL1446" s="91"/>
      <c r="AM1446" s="91"/>
      <c r="AN1446" s="91"/>
      <c r="AO1446" s="91"/>
      <c r="AP1446" s="91"/>
      <c r="AQ1446" s="91"/>
      <c r="AR1446" s="91"/>
      <c r="AS1446" s="91"/>
      <c r="AT1446" s="91"/>
      <c r="AU1446" s="91"/>
      <c r="AV1446" s="91"/>
      <c r="AW1446" s="91"/>
      <c r="AX1446" s="91"/>
      <c r="AY1446" s="91"/>
      <c r="AZ1446" s="91"/>
      <c r="BA1446" s="91"/>
      <c r="BB1446" s="91"/>
      <c r="BC1446" s="91"/>
      <c r="BD1446" s="91"/>
      <c r="BE1446" s="91"/>
      <c r="BF1446" s="91"/>
      <c r="BG1446" s="91"/>
      <c r="BH1446" s="91"/>
      <c r="BI1446" s="91"/>
      <c r="BJ1446" s="91"/>
      <c r="BK1446" s="91"/>
      <c r="BL1446" s="91"/>
      <c r="BM1446" s="91"/>
      <c r="BN1446" s="91"/>
      <c r="BO1446" s="91"/>
      <c r="BP1446" s="91"/>
      <c r="BQ1446" s="91"/>
      <c r="BR1446" s="91"/>
      <c r="BS1446" s="91"/>
      <c r="BT1446" s="91"/>
      <c r="BU1446" s="91"/>
      <c r="BV1446" s="91"/>
    </row>
    <row r="1447" spans="1:74" hidden="1">
      <c r="A1447" s="142">
        <v>1444</v>
      </c>
      <c r="B1447" s="316" t="s">
        <v>2894</v>
      </c>
      <c r="C1447" s="300" t="s">
        <v>2895</v>
      </c>
      <c r="D1447" s="267" t="s">
        <v>21</v>
      </c>
      <c r="E1447" s="160"/>
      <c r="F1447" s="160"/>
      <c r="G1447" s="220">
        <v>0</v>
      </c>
      <c r="H1447" s="10">
        <f t="shared" si="85"/>
        <v>0</v>
      </c>
      <c r="I1447" s="3">
        <f t="shared" si="86"/>
        <v>0</v>
      </c>
      <c r="J1447" s="33">
        <f t="shared" si="87"/>
        <v>0</v>
      </c>
      <c r="K1447" s="33"/>
      <c r="L1447" s="33"/>
      <c r="M1447" s="91"/>
      <c r="N1447" s="91"/>
      <c r="O1447" s="91"/>
      <c r="P1447" s="91"/>
      <c r="Q1447" s="91"/>
      <c r="R1447" s="91"/>
      <c r="S1447" s="91"/>
      <c r="T1447" s="91"/>
      <c r="U1447" s="91"/>
      <c r="V1447" s="91"/>
      <c r="W1447" s="91"/>
      <c r="X1447" s="91"/>
      <c r="Y1447" s="91"/>
      <c r="Z1447" s="91"/>
      <c r="AA1447" s="91"/>
      <c r="AB1447" s="91"/>
      <c r="AC1447" s="91"/>
      <c r="AD1447" s="91"/>
      <c r="AE1447" s="91"/>
      <c r="AF1447" s="91"/>
      <c r="AG1447" s="91"/>
      <c r="AH1447" s="91"/>
      <c r="AI1447" s="91"/>
      <c r="AJ1447" s="91"/>
      <c r="AK1447" s="91"/>
      <c r="AL1447" s="91"/>
      <c r="AM1447" s="91"/>
      <c r="AN1447" s="91"/>
      <c r="AO1447" s="91"/>
      <c r="AP1447" s="91"/>
      <c r="AQ1447" s="91"/>
      <c r="AR1447" s="91"/>
      <c r="AS1447" s="91"/>
      <c r="AT1447" s="91"/>
      <c r="AU1447" s="91"/>
      <c r="AV1447" s="91"/>
      <c r="AW1447" s="91"/>
      <c r="AX1447" s="91"/>
      <c r="AY1447" s="91"/>
      <c r="AZ1447" s="91"/>
      <c r="BA1447" s="91"/>
      <c r="BB1447" s="91"/>
      <c r="BC1447" s="91"/>
      <c r="BD1447" s="91"/>
      <c r="BE1447" s="91"/>
      <c r="BF1447" s="91"/>
      <c r="BG1447" s="91"/>
      <c r="BH1447" s="91"/>
      <c r="BI1447" s="91"/>
      <c r="BJ1447" s="91"/>
      <c r="BK1447" s="91"/>
      <c r="BL1447" s="91"/>
      <c r="BM1447" s="91"/>
      <c r="BN1447" s="91"/>
      <c r="BO1447" s="91"/>
      <c r="BP1447" s="91"/>
      <c r="BQ1447" s="91"/>
      <c r="BR1447" s="91"/>
      <c r="BS1447" s="91"/>
      <c r="BT1447" s="91"/>
      <c r="BU1447" s="91"/>
      <c r="BV1447" s="91"/>
    </row>
    <row r="1448" spans="1:74" hidden="1">
      <c r="A1448" s="142">
        <v>1445</v>
      </c>
      <c r="B1448" s="316" t="s">
        <v>2896</v>
      </c>
      <c r="C1448" s="300" t="s">
        <v>2897</v>
      </c>
      <c r="D1448" s="267" t="s">
        <v>21</v>
      </c>
      <c r="E1448" s="160"/>
      <c r="F1448" s="160"/>
      <c r="G1448" s="220">
        <v>0</v>
      </c>
      <c r="H1448" s="10">
        <f t="shared" si="85"/>
        <v>0</v>
      </c>
      <c r="I1448" s="3">
        <f t="shared" si="86"/>
        <v>0</v>
      </c>
      <c r="J1448" s="33">
        <f t="shared" si="87"/>
        <v>0</v>
      </c>
      <c r="K1448" s="33"/>
      <c r="L1448" s="33"/>
      <c r="M1448" s="91"/>
      <c r="N1448" s="91"/>
      <c r="O1448" s="91"/>
      <c r="P1448" s="91"/>
      <c r="Q1448" s="91"/>
      <c r="R1448" s="91"/>
      <c r="S1448" s="91"/>
      <c r="T1448" s="91"/>
      <c r="U1448" s="91"/>
      <c r="V1448" s="91"/>
      <c r="W1448" s="91"/>
      <c r="X1448" s="91"/>
      <c r="Y1448" s="91"/>
      <c r="Z1448" s="91"/>
      <c r="AA1448" s="91"/>
      <c r="AB1448" s="91"/>
      <c r="AC1448" s="91"/>
      <c r="AD1448" s="91"/>
      <c r="AE1448" s="91"/>
      <c r="AF1448" s="91"/>
      <c r="AG1448" s="91"/>
      <c r="AH1448" s="91"/>
      <c r="AI1448" s="91"/>
      <c r="AJ1448" s="91"/>
      <c r="AK1448" s="91"/>
      <c r="AL1448" s="91"/>
      <c r="AM1448" s="91"/>
      <c r="AN1448" s="91"/>
      <c r="AO1448" s="91"/>
      <c r="AP1448" s="91"/>
      <c r="AQ1448" s="91"/>
      <c r="AR1448" s="91"/>
      <c r="AS1448" s="91"/>
      <c r="AT1448" s="91"/>
      <c r="AU1448" s="91"/>
      <c r="AV1448" s="91"/>
      <c r="AW1448" s="91"/>
      <c r="AX1448" s="91"/>
      <c r="AY1448" s="91"/>
      <c r="AZ1448" s="91"/>
      <c r="BA1448" s="91"/>
      <c r="BB1448" s="91"/>
      <c r="BC1448" s="91"/>
      <c r="BD1448" s="91"/>
      <c r="BE1448" s="91"/>
      <c r="BF1448" s="91"/>
      <c r="BG1448" s="91"/>
      <c r="BH1448" s="91"/>
      <c r="BI1448" s="91"/>
      <c r="BJ1448" s="91"/>
      <c r="BK1448" s="91"/>
      <c r="BL1448" s="91"/>
      <c r="BM1448" s="91"/>
      <c r="BN1448" s="91"/>
      <c r="BO1448" s="91"/>
      <c r="BP1448" s="91"/>
      <c r="BQ1448" s="91"/>
      <c r="BR1448" s="91"/>
      <c r="BS1448" s="91"/>
      <c r="BT1448" s="91"/>
      <c r="BU1448" s="91"/>
      <c r="BV1448" s="91"/>
    </row>
    <row r="1449" spans="1:74" hidden="1">
      <c r="A1449" s="142">
        <v>1446</v>
      </c>
      <c r="B1449" s="316" t="s">
        <v>2898</v>
      </c>
      <c r="C1449" s="360" t="s">
        <v>2899</v>
      </c>
      <c r="D1449" s="267" t="s">
        <v>21</v>
      </c>
      <c r="E1449" s="160"/>
      <c r="F1449" s="160"/>
      <c r="G1449" s="220">
        <v>0</v>
      </c>
      <c r="H1449" s="10">
        <f t="shared" si="85"/>
        <v>0</v>
      </c>
      <c r="I1449" s="3">
        <f t="shared" si="86"/>
        <v>0</v>
      </c>
      <c r="J1449" s="33">
        <f t="shared" si="87"/>
        <v>0</v>
      </c>
      <c r="K1449" s="33"/>
      <c r="L1449" s="33"/>
      <c r="M1449" s="91"/>
      <c r="N1449" s="91"/>
      <c r="O1449" s="91"/>
      <c r="P1449" s="91"/>
      <c r="Q1449" s="91"/>
      <c r="R1449" s="91"/>
      <c r="S1449" s="91"/>
      <c r="T1449" s="91"/>
      <c r="U1449" s="91"/>
      <c r="V1449" s="91"/>
      <c r="W1449" s="91"/>
      <c r="X1449" s="91"/>
      <c r="Y1449" s="91"/>
      <c r="Z1449" s="91"/>
      <c r="AA1449" s="91"/>
      <c r="AB1449" s="91"/>
      <c r="AC1449" s="91"/>
      <c r="AD1449" s="91"/>
      <c r="AE1449" s="91"/>
      <c r="AF1449" s="91"/>
      <c r="AG1449" s="91"/>
      <c r="AH1449" s="91"/>
      <c r="AI1449" s="91"/>
      <c r="AJ1449" s="91"/>
      <c r="AK1449" s="91"/>
      <c r="AL1449" s="91"/>
      <c r="AM1449" s="91"/>
      <c r="AN1449" s="91"/>
      <c r="AO1449" s="91"/>
      <c r="AP1449" s="91"/>
      <c r="AQ1449" s="91"/>
      <c r="AR1449" s="91"/>
      <c r="AS1449" s="91"/>
      <c r="AT1449" s="91"/>
      <c r="AU1449" s="91"/>
      <c r="AV1449" s="91"/>
      <c r="AW1449" s="91"/>
      <c r="AX1449" s="91"/>
      <c r="AY1449" s="91"/>
      <c r="AZ1449" s="91"/>
      <c r="BA1449" s="91"/>
      <c r="BB1449" s="91"/>
      <c r="BC1449" s="91"/>
      <c r="BD1449" s="91"/>
      <c r="BE1449" s="91"/>
      <c r="BF1449" s="91"/>
      <c r="BG1449" s="91"/>
      <c r="BH1449" s="91"/>
      <c r="BI1449" s="91"/>
      <c r="BJ1449" s="91"/>
      <c r="BK1449" s="91"/>
      <c r="BL1449" s="91"/>
      <c r="BM1449" s="91"/>
      <c r="BN1449" s="91"/>
      <c r="BO1449" s="91"/>
      <c r="BP1449" s="91"/>
      <c r="BQ1449" s="91"/>
      <c r="BR1449" s="91"/>
      <c r="BS1449" s="91"/>
      <c r="BT1449" s="91"/>
      <c r="BU1449" s="91"/>
      <c r="BV1449" s="91"/>
    </row>
    <row r="1450" spans="1:74" ht="30" hidden="1">
      <c r="A1450" s="142">
        <v>1447</v>
      </c>
      <c r="B1450" s="316" t="s">
        <v>2900</v>
      </c>
      <c r="C1450" s="360" t="s">
        <v>2901</v>
      </c>
      <c r="D1450" s="267" t="s">
        <v>21</v>
      </c>
      <c r="E1450" s="160"/>
      <c r="F1450" s="160"/>
      <c r="G1450" s="220">
        <v>0</v>
      </c>
      <c r="H1450" s="10">
        <f t="shared" si="85"/>
        <v>0</v>
      </c>
      <c r="I1450" s="3">
        <f t="shared" si="86"/>
        <v>0</v>
      </c>
      <c r="J1450" s="33">
        <f t="shared" si="87"/>
        <v>0</v>
      </c>
      <c r="K1450" s="33"/>
      <c r="L1450" s="33"/>
      <c r="M1450" s="91"/>
      <c r="N1450" s="91"/>
      <c r="O1450" s="91"/>
      <c r="P1450" s="91"/>
      <c r="Q1450" s="91"/>
      <c r="R1450" s="91"/>
      <c r="S1450" s="91"/>
      <c r="T1450" s="91"/>
      <c r="U1450" s="91"/>
      <c r="V1450" s="91"/>
      <c r="W1450" s="91"/>
      <c r="X1450" s="91"/>
      <c r="Y1450" s="91"/>
      <c r="Z1450" s="91"/>
      <c r="AA1450" s="91"/>
      <c r="AB1450" s="91"/>
      <c r="AC1450" s="91"/>
      <c r="AD1450" s="91"/>
      <c r="AE1450" s="91"/>
      <c r="AF1450" s="91"/>
      <c r="AG1450" s="91"/>
      <c r="AH1450" s="91"/>
      <c r="AI1450" s="91"/>
      <c r="AJ1450" s="91"/>
      <c r="AK1450" s="91"/>
      <c r="AL1450" s="91"/>
      <c r="AM1450" s="91"/>
      <c r="AN1450" s="91"/>
      <c r="AO1450" s="91"/>
      <c r="AP1450" s="91"/>
      <c r="AQ1450" s="91"/>
      <c r="AR1450" s="91"/>
      <c r="AS1450" s="91"/>
      <c r="AT1450" s="91"/>
      <c r="AU1450" s="91"/>
      <c r="AV1450" s="91"/>
      <c r="AW1450" s="91"/>
      <c r="AX1450" s="91"/>
      <c r="AY1450" s="91"/>
      <c r="AZ1450" s="91"/>
      <c r="BA1450" s="91"/>
      <c r="BB1450" s="91"/>
      <c r="BC1450" s="91"/>
      <c r="BD1450" s="91"/>
      <c r="BE1450" s="91"/>
      <c r="BF1450" s="91"/>
      <c r="BG1450" s="91"/>
      <c r="BH1450" s="91"/>
      <c r="BI1450" s="91"/>
      <c r="BJ1450" s="91"/>
      <c r="BK1450" s="91"/>
      <c r="BL1450" s="91"/>
      <c r="BM1450" s="91"/>
      <c r="BN1450" s="91"/>
      <c r="BO1450" s="91"/>
      <c r="BP1450" s="91"/>
      <c r="BQ1450" s="91"/>
      <c r="BR1450" s="91"/>
      <c r="BS1450" s="91"/>
      <c r="BT1450" s="91"/>
      <c r="BU1450" s="91"/>
      <c r="BV1450" s="91"/>
    </row>
    <row r="1451" spans="1:74" ht="30" hidden="1">
      <c r="A1451" s="142">
        <v>1448</v>
      </c>
      <c r="B1451" s="316" t="s">
        <v>2902</v>
      </c>
      <c r="C1451" s="360" t="s">
        <v>2903</v>
      </c>
      <c r="D1451" s="267" t="s">
        <v>21</v>
      </c>
      <c r="E1451" s="160"/>
      <c r="F1451" s="160"/>
      <c r="G1451" s="220">
        <v>0</v>
      </c>
      <c r="H1451" s="10">
        <f t="shared" si="85"/>
        <v>0</v>
      </c>
      <c r="I1451" s="3">
        <f t="shared" si="86"/>
        <v>0</v>
      </c>
      <c r="J1451" s="33">
        <f t="shared" si="87"/>
        <v>0</v>
      </c>
      <c r="K1451" s="33"/>
      <c r="L1451" s="33"/>
      <c r="M1451" s="91"/>
      <c r="N1451" s="91"/>
      <c r="O1451" s="91"/>
      <c r="P1451" s="91"/>
      <c r="Q1451" s="91"/>
      <c r="R1451" s="91"/>
      <c r="S1451" s="91"/>
      <c r="T1451" s="91"/>
      <c r="U1451" s="91"/>
      <c r="V1451" s="91"/>
      <c r="W1451" s="91"/>
      <c r="X1451" s="91"/>
      <c r="Y1451" s="91"/>
      <c r="Z1451" s="91"/>
      <c r="AA1451" s="91"/>
      <c r="AB1451" s="91"/>
      <c r="AC1451" s="91"/>
      <c r="AD1451" s="91"/>
      <c r="AE1451" s="91"/>
      <c r="AF1451" s="91"/>
      <c r="AG1451" s="91"/>
      <c r="AH1451" s="91"/>
      <c r="AI1451" s="91"/>
      <c r="AJ1451" s="91"/>
      <c r="AK1451" s="91"/>
      <c r="AL1451" s="91"/>
      <c r="AM1451" s="91"/>
      <c r="AN1451" s="91"/>
      <c r="AO1451" s="91"/>
      <c r="AP1451" s="91"/>
      <c r="AQ1451" s="91"/>
      <c r="AR1451" s="91"/>
      <c r="AS1451" s="91"/>
      <c r="AT1451" s="91"/>
      <c r="AU1451" s="91"/>
      <c r="AV1451" s="91"/>
      <c r="AW1451" s="91"/>
      <c r="AX1451" s="91"/>
      <c r="AY1451" s="91"/>
      <c r="AZ1451" s="91"/>
      <c r="BA1451" s="91"/>
      <c r="BB1451" s="91"/>
      <c r="BC1451" s="91"/>
      <c r="BD1451" s="91"/>
      <c r="BE1451" s="91"/>
      <c r="BF1451" s="91"/>
      <c r="BG1451" s="91"/>
      <c r="BH1451" s="91"/>
      <c r="BI1451" s="91"/>
      <c r="BJ1451" s="91"/>
      <c r="BK1451" s="91"/>
      <c r="BL1451" s="91"/>
      <c r="BM1451" s="91"/>
      <c r="BN1451" s="91"/>
      <c r="BO1451" s="91"/>
      <c r="BP1451" s="91"/>
      <c r="BQ1451" s="91"/>
      <c r="BR1451" s="91"/>
      <c r="BS1451" s="91"/>
      <c r="BT1451" s="91"/>
      <c r="BU1451" s="91"/>
      <c r="BV1451" s="91"/>
    </row>
    <row r="1452" spans="1:74" ht="45" hidden="1">
      <c r="A1452" s="142">
        <v>1449</v>
      </c>
      <c r="B1452" s="316" t="s">
        <v>2904</v>
      </c>
      <c r="C1452" s="385" t="s">
        <v>2905</v>
      </c>
      <c r="D1452" s="267" t="s">
        <v>14</v>
      </c>
      <c r="E1452" s="160"/>
      <c r="F1452" s="160"/>
      <c r="G1452" s="220">
        <v>6</v>
      </c>
      <c r="H1452" s="10">
        <f t="shared" si="85"/>
        <v>0</v>
      </c>
      <c r="I1452" s="3">
        <f t="shared" si="86"/>
        <v>0</v>
      </c>
      <c r="J1452" s="33">
        <f t="shared" si="87"/>
        <v>6</v>
      </c>
      <c r="K1452" s="33"/>
      <c r="L1452" s="33"/>
      <c r="M1452" s="91"/>
      <c r="N1452" s="91"/>
      <c r="O1452" s="91"/>
      <c r="P1452" s="91"/>
      <c r="Q1452" s="91"/>
      <c r="R1452" s="91"/>
      <c r="S1452" s="91"/>
      <c r="T1452" s="91"/>
      <c r="U1452" s="91"/>
      <c r="V1452" s="91"/>
      <c r="W1452" s="91"/>
      <c r="X1452" s="91"/>
      <c r="Y1452" s="91"/>
      <c r="Z1452" s="91"/>
      <c r="AA1452" s="91"/>
      <c r="AB1452" s="91"/>
      <c r="AC1452" s="91"/>
      <c r="AD1452" s="91"/>
      <c r="AE1452" s="91"/>
      <c r="AF1452" s="91"/>
      <c r="AG1452" s="91"/>
      <c r="AH1452" s="91"/>
      <c r="AI1452" s="91"/>
      <c r="AJ1452" s="91"/>
      <c r="AK1452" s="91"/>
      <c r="AL1452" s="91"/>
      <c r="AM1452" s="91"/>
      <c r="AN1452" s="91"/>
      <c r="AO1452" s="91"/>
      <c r="AP1452" s="91"/>
      <c r="AQ1452" s="91"/>
      <c r="AR1452" s="91"/>
      <c r="AS1452" s="91"/>
      <c r="AT1452" s="91"/>
      <c r="AU1452" s="91"/>
      <c r="AV1452" s="91"/>
      <c r="AW1452" s="91"/>
      <c r="AX1452" s="91"/>
      <c r="AY1452" s="91"/>
      <c r="AZ1452" s="91"/>
      <c r="BA1452" s="91"/>
      <c r="BB1452" s="91"/>
      <c r="BC1452" s="91"/>
      <c r="BD1452" s="91"/>
      <c r="BE1452" s="91"/>
      <c r="BF1452" s="91"/>
      <c r="BG1452" s="91"/>
      <c r="BH1452" s="91"/>
      <c r="BI1452" s="91"/>
      <c r="BJ1452" s="91"/>
      <c r="BK1452" s="91"/>
      <c r="BL1452" s="91"/>
      <c r="BM1452" s="91"/>
      <c r="BN1452" s="91"/>
      <c r="BO1452" s="91"/>
      <c r="BP1452" s="91"/>
      <c r="BQ1452" s="91"/>
      <c r="BR1452" s="91"/>
      <c r="BS1452" s="91"/>
      <c r="BT1452" s="91"/>
      <c r="BU1452" s="91"/>
      <c r="BV1452" s="91"/>
    </row>
    <row r="1453" spans="1:74" ht="30" hidden="1">
      <c r="A1453" s="142">
        <v>1450</v>
      </c>
      <c r="B1453" s="316" t="s">
        <v>2906</v>
      </c>
      <c r="C1453" s="360" t="s">
        <v>2907</v>
      </c>
      <c r="D1453" s="267" t="s">
        <v>14</v>
      </c>
      <c r="E1453" s="160"/>
      <c r="F1453" s="160"/>
      <c r="G1453" s="222">
        <v>4</v>
      </c>
      <c r="H1453" s="121">
        <f t="shared" si="85"/>
        <v>0</v>
      </c>
      <c r="I1453" s="26">
        <f t="shared" si="86"/>
        <v>0</v>
      </c>
      <c r="J1453" s="30">
        <f t="shared" si="87"/>
        <v>4</v>
      </c>
      <c r="K1453" s="30"/>
      <c r="L1453" s="30"/>
      <c r="M1453" s="91"/>
      <c r="N1453" s="91"/>
      <c r="O1453" s="91"/>
      <c r="P1453" s="91"/>
      <c r="Q1453" s="91"/>
      <c r="R1453" s="91"/>
      <c r="S1453" s="91"/>
      <c r="T1453" s="91"/>
      <c r="U1453" s="91"/>
      <c r="V1453" s="91"/>
      <c r="W1453" s="91"/>
      <c r="X1453" s="91"/>
      <c r="Y1453" s="91"/>
      <c r="Z1453" s="91"/>
      <c r="AA1453" s="91"/>
      <c r="AB1453" s="91"/>
      <c r="AC1453" s="91"/>
      <c r="AD1453" s="91"/>
      <c r="AE1453" s="91"/>
      <c r="AF1453" s="91"/>
      <c r="AG1453" s="91"/>
      <c r="AH1453" s="91"/>
      <c r="AI1453" s="91"/>
      <c r="AJ1453" s="91"/>
      <c r="AK1453" s="91"/>
      <c r="AL1453" s="91"/>
      <c r="AM1453" s="91"/>
      <c r="AN1453" s="91"/>
      <c r="AO1453" s="91"/>
      <c r="AP1453" s="91"/>
      <c r="AQ1453" s="91"/>
      <c r="AR1453" s="91"/>
      <c r="AS1453" s="91"/>
      <c r="AT1453" s="91"/>
      <c r="AU1453" s="91"/>
      <c r="AV1453" s="91"/>
      <c r="AW1453" s="91"/>
      <c r="AX1453" s="91"/>
      <c r="AY1453" s="91"/>
      <c r="AZ1453" s="91"/>
      <c r="BA1453" s="91"/>
      <c r="BB1453" s="91"/>
      <c r="BC1453" s="91"/>
      <c r="BD1453" s="91"/>
      <c r="BE1453" s="91"/>
      <c r="BF1453" s="91"/>
      <c r="BG1453" s="91"/>
      <c r="BH1453" s="91"/>
      <c r="BI1453" s="91"/>
      <c r="BJ1453" s="91"/>
      <c r="BK1453" s="91"/>
      <c r="BL1453" s="91"/>
      <c r="BM1453" s="91"/>
      <c r="BN1453" s="91"/>
      <c r="BO1453" s="91"/>
      <c r="BP1453" s="91"/>
      <c r="BQ1453" s="91"/>
      <c r="BR1453" s="91"/>
      <c r="BS1453" s="91"/>
      <c r="BT1453" s="91"/>
      <c r="BU1453" s="91"/>
      <c r="BV1453" s="91"/>
    </row>
    <row r="1454" spans="1:74" ht="30" hidden="1">
      <c r="A1454" s="109">
        <v>1451</v>
      </c>
      <c r="B1454" s="164" t="s">
        <v>2908</v>
      </c>
      <c r="C1454" s="155" t="s">
        <v>2909</v>
      </c>
      <c r="D1454" s="160" t="s">
        <v>14</v>
      </c>
      <c r="E1454" s="160"/>
      <c r="F1454" s="160"/>
      <c r="G1454" s="220">
        <v>0</v>
      </c>
      <c r="H1454" s="10">
        <f t="shared" si="85"/>
        <v>0</v>
      </c>
      <c r="I1454" s="3">
        <f t="shared" si="86"/>
        <v>0</v>
      </c>
      <c r="J1454" s="33">
        <f t="shared" si="87"/>
        <v>0</v>
      </c>
      <c r="K1454" s="33"/>
      <c r="L1454" s="33"/>
      <c r="M1454" s="91"/>
      <c r="N1454" s="91"/>
      <c r="O1454" s="91"/>
      <c r="P1454" s="91"/>
      <c r="Q1454" s="91"/>
      <c r="R1454" s="91"/>
      <c r="S1454" s="91"/>
      <c r="T1454" s="91"/>
      <c r="U1454" s="91"/>
      <c r="V1454" s="91"/>
      <c r="W1454" s="91"/>
      <c r="X1454" s="91"/>
      <c r="Y1454" s="91"/>
      <c r="Z1454" s="91"/>
      <c r="AA1454" s="91"/>
      <c r="AB1454" s="91"/>
      <c r="AC1454" s="91"/>
      <c r="AD1454" s="91"/>
      <c r="AE1454" s="91"/>
      <c r="AF1454" s="91"/>
      <c r="AG1454" s="91"/>
      <c r="AH1454" s="91"/>
      <c r="AI1454" s="91"/>
      <c r="AJ1454" s="91"/>
      <c r="AK1454" s="91"/>
      <c r="AL1454" s="91"/>
      <c r="AM1454" s="91"/>
      <c r="AN1454" s="91"/>
      <c r="AO1454" s="91"/>
      <c r="AP1454" s="91"/>
      <c r="AQ1454" s="91"/>
      <c r="AR1454" s="91"/>
      <c r="AS1454" s="91"/>
      <c r="AT1454" s="91"/>
      <c r="AU1454" s="91"/>
      <c r="AV1454" s="91"/>
      <c r="AW1454" s="91"/>
      <c r="AX1454" s="91"/>
      <c r="AY1454" s="91"/>
      <c r="AZ1454" s="91"/>
      <c r="BA1454" s="91"/>
      <c r="BB1454" s="91"/>
      <c r="BC1454" s="91"/>
      <c r="BD1454" s="91"/>
      <c r="BE1454" s="91"/>
      <c r="BF1454" s="91"/>
      <c r="BG1454" s="91"/>
      <c r="BH1454" s="91"/>
      <c r="BI1454" s="91"/>
      <c r="BJ1454" s="91"/>
      <c r="BK1454" s="91"/>
      <c r="BL1454" s="91"/>
      <c r="BM1454" s="91"/>
      <c r="BN1454" s="91"/>
      <c r="BO1454" s="91"/>
      <c r="BP1454" s="91"/>
      <c r="BQ1454" s="91"/>
      <c r="BR1454" s="91"/>
      <c r="BS1454" s="91"/>
      <c r="BT1454" s="91"/>
      <c r="BU1454" s="91"/>
      <c r="BV1454" s="91"/>
    </row>
    <row r="1455" spans="1:74" hidden="1">
      <c r="A1455" s="109">
        <v>1452</v>
      </c>
      <c r="B1455" s="164" t="s">
        <v>2910</v>
      </c>
      <c r="C1455" s="158" t="s">
        <v>2911</v>
      </c>
      <c r="D1455" s="160" t="s">
        <v>14</v>
      </c>
      <c r="E1455" s="160"/>
      <c r="F1455" s="160"/>
      <c r="G1455" s="220">
        <v>0</v>
      </c>
      <c r="H1455" s="10">
        <f t="shared" si="85"/>
        <v>0</v>
      </c>
      <c r="I1455" s="3">
        <f t="shared" si="86"/>
        <v>0</v>
      </c>
      <c r="J1455" s="33">
        <f t="shared" si="87"/>
        <v>0</v>
      </c>
      <c r="K1455" s="33"/>
      <c r="L1455" s="33"/>
      <c r="M1455" s="91"/>
      <c r="N1455" s="91"/>
      <c r="O1455" s="91"/>
      <c r="P1455" s="91"/>
      <c r="Q1455" s="91"/>
      <c r="R1455" s="91"/>
      <c r="S1455" s="91"/>
      <c r="T1455" s="91"/>
      <c r="U1455" s="91"/>
      <c r="V1455" s="91"/>
      <c r="W1455" s="91"/>
      <c r="X1455" s="91"/>
      <c r="Y1455" s="91"/>
      <c r="Z1455" s="91"/>
      <c r="AA1455" s="91"/>
      <c r="AB1455" s="91"/>
      <c r="AC1455" s="91"/>
      <c r="AD1455" s="91"/>
      <c r="AE1455" s="91"/>
      <c r="AF1455" s="91"/>
      <c r="AG1455" s="91"/>
      <c r="AH1455" s="91"/>
      <c r="AI1455" s="91"/>
      <c r="AJ1455" s="91"/>
      <c r="AK1455" s="91"/>
      <c r="AL1455" s="91"/>
      <c r="AM1455" s="91"/>
      <c r="AN1455" s="91"/>
      <c r="AO1455" s="91"/>
      <c r="AP1455" s="91"/>
      <c r="AQ1455" s="91"/>
      <c r="AR1455" s="91"/>
      <c r="AS1455" s="91"/>
      <c r="AT1455" s="91"/>
      <c r="AU1455" s="91"/>
      <c r="AV1455" s="91"/>
      <c r="AW1455" s="91"/>
      <c r="AX1455" s="91"/>
      <c r="AY1455" s="91"/>
      <c r="AZ1455" s="91"/>
      <c r="BA1455" s="91"/>
      <c r="BB1455" s="91"/>
      <c r="BC1455" s="91"/>
      <c r="BD1455" s="91"/>
      <c r="BE1455" s="91"/>
      <c r="BF1455" s="91"/>
      <c r="BG1455" s="91"/>
      <c r="BH1455" s="91"/>
      <c r="BI1455" s="91"/>
      <c r="BJ1455" s="91"/>
      <c r="BK1455" s="91"/>
      <c r="BL1455" s="91"/>
      <c r="BM1455" s="91"/>
      <c r="BN1455" s="91"/>
      <c r="BO1455" s="91"/>
      <c r="BP1455" s="91"/>
      <c r="BQ1455" s="91"/>
      <c r="BR1455" s="91"/>
      <c r="BS1455" s="91"/>
      <c r="BT1455" s="91"/>
      <c r="BU1455" s="91"/>
      <c r="BV1455" s="91"/>
    </row>
    <row r="1456" spans="1:74" hidden="1">
      <c r="A1456" s="109">
        <v>1453</v>
      </c>
      <c r="B1456" s="164" t="s">
        <v>2912</v>
      </c>
      <c r="C1456" s="158" t="s">
        <v>2913</v>
      </c>
      <c r="D1456" s="160" t="s">
        <v>21</v>
      </c>
      <c r="E1456" s="160"/>
      <c r="F1456" s="160"/>
      <c r="G1456" s="220">
        <v>6</v>
      </c>
      <c r="H1456" s="10">
        <f t="shared" si="85"/>
        <v>0</v>
      </c>
      <c r="I1456" s="3">
        <f t="shared" si="86"/>
        <v>0</v>
      </c>
      <c r="J1456" s="33">
        <f t="shared" si="87"/>
        <v>6</v>
      </c>
      <c r="K1456" s="33"/>
      <c r="L1456" s="33"/>
      <c r="M1456" s="91"/>
      <c r="N1456" s="91"/>
      <c r="O1456" s="91"/>
      <c r="P1456" s="91"/>
      <c r="Q1456" s="91"/>
      <c r="R1456" s="91"/>
      <c r="S1456" s="91"/>
      <c r="T1456" s="91"/>
      <c r="U1456" s="91"/>
      <c r="V1456" s="91"/>
      <c r="W1456" s="91"/>
      <c r="X1456" s="91"/>
      <c r="Y1456" s="91"/>
      <c r="Z1456" s="91"/>
      <c r="AA1456" s="91"/>
      <c r="AB1456" s="91"/>
      <c r="AC1456" s="91"/>
      <c r="AD1456" s="91"/>
      <c r="AE1456" s="91"/>
      <c r="AF1456" s="91"/>
      <c r="AG1456" s="91"/>
      <c r="AH1456" s="91"/>
      <c r="AI1456" s="91"/>
      <c r="AJ1456" s="91"/>
      <c r="AK1456" s="91"/>
      <c r="AL1456" s="91"/>
      <c r="AM1456" s="91"/>
      <c r="AN1456" s="91"/>
      <c r="AO1456" s="91"/>
      <c r="AP1456" s="91"/>
      <c r="AQ1456" s="91"/>
      <c r="AR1456" s="91"/>
      <c r="AS1456" s="91"/>
      <c r="AT1456" s="91"/>
      <c r="AU1456" s="91"/>
      <c r="AV1456" s="91"/>
      <c r="AW1456" s="91"/>
      <c r="AX1456" s="91"/>
      <c r="AY1456" s="91"/>
      <c r="AZ1456" s="91"/>
      <c r="BA1456" s="91"/>
      <c r="BB1456" s="91"/>
      <c r="BC1456" s="91"/>
      <c r="BD1456" s="91"/>
      <c r="BE1456" s="91"/>
      <c r="BF1456" s="91"/>
      <c r="BG1456" s="91"/>
      <c r="BH1456" s="91"/>
      <c r="BI1456" s="91"/>
      <c r="BJ1456" s="91"/>
      <c r="BK1456" s="91"/>
      <c r="BL1456" s="91"/>
      <c r="BM1456" s="91"/>
      <c r="BN1456" s="91"/>
      <c r="BO1456" s="91"/>
      <c r="BP1456" s="91"/>
      <c r="BQ1456" s="91"/>
      <c r="BR1456" s="91"/>
      <c r="BS1456" s="91"/>
      <c r="BT1456" s="91"/>
      <c r="BU1456" s="91"/>
      <c r="BV1456" s="91"/>
    </row>
    <row r="1457" spans="1:74" hidden="1">
      <c r="A1457" s="142">
        <v>1454</v>
      </c>
      <c r="B1457" s="316" t="s">
        <v>2914</v>
      </c>
      <c r="C1457" s="300" t="s">
        <v>2915</v>
      </c>
      <c r="D1457" s="267" t="s">
        <v>21</v>
      </c>
      <c r="E1457" s="160"/>
      <c r="F1457" s="160"/>
      <c r="G1457" s="220">
        <v>0</v>
      </c>
      <c r="H1457" s="10">
        <f t="shared" si="85"/>
        <v>0</v>
      </c>
      <c r="I1457" s="3">
        <f t="shared" si="86"/>
        <v>0</v>
      </c>
      <c r="J1457" s="33">
        <f t="shared" si="87"/>
        <v>0</v>
      </c>
      <c r="K1457" s="33"/>
      <c r="L1457" s="33"/>
      <c r="M1457" s="91"/>
      <c r="N1457" s="91"/>
      <c r="O1457" s="91"/>
      <c r="P1457" s="91"/>
      <c r="Q1457" s="91"/>
      <c r="R1457" s="91"/>
      <c r="S1457" s="91"/>
      <c r="T1457" s="91"/>
      <c r="U1457" s="91"/>
      <c r="V1457" s="91"/>
      <c r="W1457" s="91"/>
      <c r="X1457" s="91"/>
      <c r="Y1457" s="91"/>
      <c r="Z1457" s="91"/>
      <c r="AA1457" s="91"/>
      <c r="AB1457" s="91"/>
      <c r="AC1457" s="91"/>
      <c r="AD1457" s="91"/>
      <c r="AE1457" s="91"/>
      <c r="AF1457" s="91"/>
      <c r="AG1457" s="91"/>
      <c r="AH1457" s="91"/>
      <c r="AI1457" s="91"/>
      <c r="AJ1457" s="91"/>
      <c r="AK1457" s="91"/>
      <c r="AL1457" s="91"/>
      <c r="AM1457" s="91"/>
      <c r="AN1457" s="91"/>
      <c r="AO1457" s="91"/>
      <c r="AP1457" s="91"/>
      <c r="AQ1457" s="91"/>
      <c r="AR1457" s="91"/>
      <c r="AS1457" s="91"/>
      <c r="AT1457" s="91"/>
      <c r="AU1457" s="91"/>
      <c r="AV1457" s="91"/>
      <c r="AW1457" s="91"/>
      <c r="AX1457" s="91"/>
      <c r="AY1457" s="91"/>
      <c r="AZ1457" s="91"/>
      <c r="BA1457" s="91"/>
      <c r="BB1457" s="91"/>
      <c r="BC1457" s="91"/>
      <c r="BD1457" s="91"/>
      <c r="BE1457" s="91"/>
      <c r="BF1457" s="91"/>
      <c r="BG1457" s="91"/>
      <c r="BH1457" s="91"/>
      <c r="BI1457" s="91"/>
      <c r="BJ1457" s="91"/>
      <c r="BK1457" s="91"/>
      <c r="BL1457" s="91"/>
      <c r="BM1457" s="91"/>
      <c r="BN1457" s="91"/>
      <c r="BO1457" s="91"/>
      <c r="BP1457" s="91"/>
      <c r="BQ1457" s="91"/>
      <c r="BR1457" s="91"/>
      <c r="BS1457" s="91"/>
      <c r="BT1457" s="91"/>
      <c r="BU1457" s="91"/>
      <c r="BV1457" s="91"/>
    </row>
    <row r="1458" spans="1:74" hidden="1">
      <c r="A1458" s="142">
        <v>1455</v>
      </c>
      <c r="B1458" s="316" t="s">
        <v>2916</v>
      </c>
      <c r="C1458" s="385" t="s">
        <v>2917</v>
      </c>
      <c r="D1458" s="267" t="s">
        <v>21</v>
      </c>
      <c r="E1458" s="160"/>
      <c r="F1458" s="160"/>
      <c r="G1458" s="220">
        <v>0</v>
      </c>
      <c r="H1458" s="10">
        <f t="shared" si="85"/>
        <v>0</v>
      </c>
      <c r="I1458" s="3">
        <f t="shared" si="86"/>
        <v>0</v>
      </c>
      <c r="J1458" s="33">
        <f t="shared" si="87"/>
        <v>0</v>
      </c>
      <c r="K1458" s="33"/>
      <c r="L1458" s="33"/>
      <c r="M1458" s="91"/>
      <c r="N1458" s="91"/>
      <c r="O1458" s="91"/>
      <c r="P1458" s="91"/>
      <c r="Q1458" s="91"/>
      <c r="R1458" s="91"/>
      <c r="S1458" s="91"/>
      <c r="T1458" s="91"/>
      <c r="U1458" s="91"/>
      <c r="V1458" s="91"/>
      <c r="W1458" s="91"/>
      <c r="X1458" s="91"/>
      <c r="Y1458" s="91"/>
      <c r="Z1458" s="91"/>
      <c r="AA1458" s="91"/>
      <c r="AB1458" s="91"/>
      <c r="AC1458" s="91"/>
      <c r="AD1458" s="91"/>
      <c r="AE1458" s="91"/>
      <c r="AF1458" s="91"/>
      <c r="AG1458" s="91"/>
      <c r="AH1458" s="91"/>
      <c r="AI1458" s="91"/>
      <c r="AJ1458" s="91"/>
      <c r="AK1458" s="91"/>
      <c r="AL1458" s="91"/>
      <c r="AM1458" s="91"/>
      <c r="AN1458" s="91"/>
      <c r="AO1458" s="91"/>
      <c r="AP1458" s="91"/>
      <c r="AQ1458" s="91"/>
      <c r="AR1458" s="91"/>
      <c r="AS1458" s="91"/>
      <c r="AT1458" s="91"/>
      <c r="AU1458" s="91"/>
      <c r="AV1458" s="91"/>
      <c r="AW1458" s="91"/>
      <c r="AX1458" s="91"/>
      <c r="AY1458" s="91"/>
      <c r="AZ1458" s="91"/>
      <c r="BA1458" s="91"/>
      <c r="BB1458" s="91"/>
      <c r="BC1458" s="91"/>
      <c r="BD1458" s="91"/>
      <c r="BE1458" s="91"/>
      <c r="BF1458" s="91"/>
      <c r="BG1458" s="91"/>
      <c r="BH1458" s="91"/>
      <c r="BI1458" s="91"/>
      <c r="BJ1458" s="91"/>
      <c r="BK1458" s="91"/>
      <c r="BL1458" s="91"/>
      <c r="BM1458" s="91"/>
      <c r="BN1458" s="91"/>
      <c r="BO1458" s="91"/>
      <c r="BP1458" s="91"/>
      <c r="BQ1458" s="91"/>
      <c r="BR1458" s="91"/>
      <c r="BS1458" s="91"/>
      <c r="BT1458" s="91"/>
      <c r="BU1458" s="91"/>
      <c r="BV1458" s="91"/>
    </row>
    <row r="1459" spans="1:74" hidden="1">
      <c r="A1459" s="142">
        <v>1456</v>
      </c>
      <c r="B1459" s="295" t="s">
        <v>2918</v>
      </c>
      <c r="C1459" s="398" t="s">
        <v>2919</v>
      </c>
      <c r="D1459" s="256" t="s">
        <v>21</v>
      </c>
      <c r="E1459" s="121"/>
      <c r="F1459" s="121"/>
      <c r="G1459" s="220">
        <v>0</v>
      </c>
      <c r="H1459" s="10">
        <f t="shared" si="85"/>
        <v>0</v>
      </c>
      <c r="I1459" s="3">
        <f t="shared" si="86"/>
        <v>0</v>
      </c>
      <c r="J1459" s="33">
        <f t="shared" si="87"/>
        <v>0</v>
      </c>
      <c r="K1459" s="33"/>
      <c r="L1459" s="33"/>
      <c r="M1459" s="91"/>
      <c r="N1459" s="91"/>
      <c r="O1459" s="91"/>
      <c r="P1459" s="91"/>
      <c r="Q1459" s="91"/>
      <c r="R1459" s="91"/>
      <c r="S1459" s="91"/>
      <c r="T1459" s="91"/>
      <c r="U1459" s="91"/>
      <c r="V1459" s="91"/>
      <c r="W1459" s="91"/>
      <c r="X1459" s="91"/>
      <c r="Y1459" s="91"/>
      <c r="Z1459" s="91"/>
      <c r="AA1459" s="91"/>
      <c r="AB1459" s="91"/>
      <c r="AC1459" s="91"/>
      <c r="AD1459" s="91"/>
      <c r="AE1459" s="91"/>
      <c r="AF1459" s="91"/>
      <c r="AG1459" s="91"/>
      <c r="AH1459" s="91"/>
      <c r="AI1459" s="91"/>
      <c r="AJ1459" s="91"/>
      <c r="AK1459" s="91"/>
      <c r="AL1459" s="91"/>
      <c r="AM1459" s="91"/>
      <c r="AN1459" s="91"/>
      <c r="AO1459" s="91"/>
      <c r="AP1459" s="91"/>
      <c r="AQ1459" s="91"/>
      <c r="AR1459" s="91"/>
      <c r="AS1459" s="91"/>
      <c r="AT1459" s="91"/>
      <c r="AU1459" s="91"/>
      <c r="AV1459" s="91"/>
      <c r="AW1459" s="91"/>
      <c r="AX1459" s="91"/>
      <c r="AY1459" s="91"/>
      <c r="AZ1459" s="91"/>
      <c r="BA1459" s="91"/>
      <c r="BB1459" s="91"/>
      <c r="BC1459" s="91"/>
      <c r="BD1459" s="91"/>
      <c r="BE1459" s="91"/>
      <c r="BF1459" s="91"/>
      <c r="BG1459" s="91"/>
      <c r="BH1459" s="91"/>
      <c r="BI1459" s="91"/>
      <c r="BJ1459" s="91"/>
      <c r="BK1459" s="91"/>
      <c r="BL1459" s="91"/>
      <c r="BM1459" s="91"/>
      <c r="BN1459" s="91"/>
      <c r="BO1459" s="91"/>
      <c r="BP1459" s="91"/>
      <c r="BQ1459" s="91"/>
      <c r="BR1459" s="91"/>
      <c r="BS1459" s="91"/>
      <c r="BT1459" s="91"/>
      <c r="BU1459" s="91"/>
      <c r="BV1459" s="91"/>
    </row>
    <row r="1460" spans="1:74" hidden="1">
      <c r="A1460" s="142">
        <v>1457</v>
      </c>
      <c r="B1460" s="299" t="s">
        <v>2920</v>
      </c>
      <c r="C1460" s="321" t="s">
        <v>2921</v>
      </c>
      <c r="D1460" s="256" t="s">
        <v>21</v>
      </c>
      <c r="E1460" s="121"/>
      <c r="F1460" s="121"/>
      <c r="G1460" s="165">
        <v>29</v>
      </c>
      <c r="H1460" s="10">
        <f t="shared" si="85"/>
        <v>0</v>
      </c>
      <c r="I1460" s="3">
        <f t="shared" si="86"/>
        <v>0</v>
      </c>
      <c r="J1460" s="33">
        <f t="shared" si="87"/>
        <v>29</v>
      </c>
      <c r="K1460" s="33"/>
      <c r="L1460" s="3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</row>
    <row r="1461" spans="1:74" hidden="1">
      <c r="A1461" s="109">
        <v>1458</v>
      </c>
      <c r="B1461" s="240" t="s">
        <v>2922</v>
      </c>
      <c r="C1461" s="223" t="s">
        <v>2923</v>
      </c>
      <c r="D1461" s="121" t="s">
        <v>21</v>
      </c>
      <c r="E1461" s="121"/>
      <c r="F1461" s="121"/>
      <c r="G1461" s="165">
        <v>0</v>
      </c>
      <c r="H1461" s="10">
        <f t="shared" si="85"/>
        <v>0</v>
      </c>
      <c r="I1461" s="3">
        <f t="shared" si="86"/>
        <v>0</v>
      </c>
      <c r="J1461" s="33">
        <f t="shared" si="87"/>
        <v>0</v>
      </c>
      <c r="K1461" s="33"/>
      <c r="L1461" s="3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</row>
    <row r="1462" spans="1:74" hidden="1">
      <c r="A1462" s="142">
        <v>1459</v>
      </c>
      <c r="B1462" s="419" t="s">
        <v>2924</v>
      </c>
      <c r="C1462" s="420" t="s">
        <v>2925</v>
      </c>
      <c r="D1462" s="256" t="s">
        <v>14</v>
      </c>
      <c r="E1462" s="121"/>
      <c r="F1462" s="121"/>
      <c r="G1462" s="165">
        <v>62</v>
      </c>
      <c r="H1462" s="10">
        <f t="shared" si="85"/>
        <v>0</v>
      </c>
      <c r="I1462" s="3">
        <f t="shared" si="86"/>
        <v>0</v>
      </c>
      <c r="J1462" s="33">
        <f t="shared" si="87"/>
        <v>62</v>
      </c>
      <c r="K1462" s="33"/>
      <c r="L1462" s="3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3"/>
      <c r="BP1462" s="13"/>
      <c r="BQ1462" s="13"/>
      <c r="BR1462" s="13"/>
      <c r="BS1462" s="13"/>
      <c r="BT1462" s="13"/>
      <c r="BU1462" s="13"/>
      <c r="BV1462" s="13"/>
    </row>
    <row r="1463" spans="1:74" hidden="1">
      <c r="A1463" s="109">
        <v>1460</v>
      </c>
      <c r="B1463" s="224" t="s">
        <v>2926</v>
      </c>
      <c r="C1463" s="188" t="s">
        <v>2927</v>
      </c>
      <c r="D1463" s="191" t="s">
        <v>14</v>
      </c>
      <c r="E1463" s="191"/>
      <c r="F1463" s="191"/>
      <c r="G1463" s="165">
        <v>50</v>
      </c>
      <c r="H1463" s="10">
        <f t="shared" si="85"/>
        <v>0</v>
      </c>
      <c r="I1463" s="3">
        <f t="shared" si="86"/>
        <v>0</v>
      </c>
      <c r="J1463" s="33">
        <f t="shared" si="87"/>
        <v>50</v>
      </c>
      <c r="K1463" s="33"/>
      <c r="L1463" s="3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/>
    </row>
    <row r="1464" spans="1:74" s="92" customFormat="1" hidden="1">
      <c r="A1464" s="109">
        <v>1461</v>
      </c>
      <c r="B1464" s="393" t="s">
        <v>2928</v>
      </c>
      <c r="C1464" s="153" t="s">
        <v>2929</v>
      </c>
      <c r="D1464" s="160" t="s">
        <v>21</v>
      </c>
      <c r="E1464" s="171"/>
      <c r="F1464" s="171"/>
      <c r="G1464" s="394">
        <v>0</v>
      </c>
      <c r="H1464" s="191">
        <f t="shared" si="85"/>
        <v>0</v>
      </c>
      <c r="I1464" s="119">
        <f t="shared" si="86"/>
        <v>0</v>
      </c>
      <c r="J1464" s="395">
        <f t="shared" si="87"/>
        <v>0</v>
      </c>
      <c r="K1464" s="395"/>
      <c r="L1464" s="395"/>
      <c r="M1464" s="191"/>
      <c r="N1464" s="191"/>
      <c r="O1464" s="191"/>
      <c r="P1464" s="191"/>
      <c r="Q1464" s="191"/>
      <c r="R1464" s="191"/>
      <c r="S1464" s="191"/>
      <c r="T1464" s="191"/>
      <c r="U1464" s="191"/>
      <c r="V1464" s="191"/>
      <c r="W1464" s="191"/>
      <c r="X1464" s="191"/>
      <c r="Y1464" s="191"/>
      <c r="Z1464" s="191"/>
      <c r="AA1464" s="191"/>
      <c r="AB1464" s="191"/>
      <c r="AC1464" s="191"/>
      <c r="AD1464" s="191"/>
      <c r="AE1464" s="191"/>
      <c r="AF1464" s="191"/>
      <c r="AG1464" s="191"/>
      <c r="AH1464" s="191"/>
      <c r="AI1464" s="191"/>
      <c r="AJ1464" s="191"/>
      <c r="AK1464" s="191"/>
      <c r="AL1464" s="191"/>
      <c r="AM1464" s="191"/>
      <c r="AN1464" s="191"/>
      <c r="AO1464" s="191"/>
      <c r="AP1464" s="191"/>
      <c r="AQ1464" s="191"/>
      <c r="AR1464" s="191"/>
      <c r="AS1464" s="191"/>
      <c r="AT1464" s="191"/>
      <c r="AU1464" s="191"/>
      <c r="AV1464" s="191"/>
      <c r="AW1464" s="191"/>
      <c r="AX1464" s="191"/>
      <c r="AY1464" s="191"/>
      <c r="AZ1464" s="191"/>
      <c r="BA1464" s="191"/>
      <c r="BB1464" s="191"/>
      <c r="BC1464" s="191"/>
      <c r="BD1464" s="191"/>
      <c r="BE1464" s="191"/>
      <c r="BF1464" s="191"/>
      <c r="BG1464" s="191"/>
      <c r="BH1464" s="191"/>
      <c r="BI1464" s="191"/>
      <c r="BJ1464" s="191"/>
      <c r="BK1464" s="191"/>
      <c r="BL1464" s="191"/>
      <c r="BM1464" s="191"/>
      <c r="BN1464" s="191"/>
      <c r="BO1464" s="191"/>
      <c r="BP1464" s="191"/>
      <c r="BQ1464" s="191"/>
      <c r="BR1464" s="191"/>
      <c r="BS1464" s="191"/>
      <c r="BT1464" s="191"/>
      <c r="BU1464" s="191"/>
      <c r="BV1464" s="191"/>
    </row>
    <row r="1465" spans="1:74" hidden="1">
      <c r="A1465" s="142">
        <v>1462</v>
      </c>
      <c r="B1465" s="319" t="s">
        <v>2930</v>
      </c>
      <c r="C1465" s="320" t="s">
        <v>2931</v>
      </c>
      <c r="D1465" s="267" t="s">
        <v>21</v>
      </c>
      <c r="E1465" s="160"/>
      <c r="F1465" s="160"/>
      <c r="G1465" s="165">
        <v>95</v>
      </c>
      <c r="H1465" s="174">
        <f t="shared" si="85"/>
        <v>0</v>
      </c>
      <c r="I1465" s="127">
        <f t="shared" si="86"/>
        <v>0</v>
      </c>
      <c r="J1465" s="173">
        <f t="shared" si="87"/>
        <v>95</v>
      </c>
      <c r="K1465" s="173"/>
      <c r="L1465" s="17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</row>
    <row r="1466" spans="1:74" hidden="1">
      <c r="A1466" s="142">
        <v>1463</v>
      </c>
      <c r="B1466" s="318" t="s">
        <v>2932</v>
      </c>
      <c r="C1466" s="300" t="s">
        <v>2933</v>
      </c>
      <c r="D1466" s="256" t="s">
        <v>21</v>
      </c>
      <c r="E1466" s="121"/>
      <c r="F1466" s="121"/>
      <c r="G1466" s="165">
        <v>88</v>
      </c>
      <c r="H1466" s="10">
        <f t="shared" si="85"/>
        <v>0</v>
      </c>
      <c r="I1466" s="3">
        <f t="shared" si="86"/>
        <v>0</v>
      </c>
      <c r="J1466" s="33">
        <f t="shared" si="87"/>
        <v>88</v>
      </c>
      <c r="K1466" s="33"/>
      <c r="L1466" s="3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</row>
    <row r="1467" spans="1:74" hidden="1">
      <c r="A1467" s="109">
        <v>1464</v>
      </c>
      <c r="B1467" s="225" t="s">
        <v>2934</v>
      </c>
      <c r="C1467" s="158" t="s">
        <v>2935</v>
      </c>
      <c r="D1467" s="121" t="s">
        <v>14</v>
      </c>
      <c r="E1467" s="121"/>
      <c r="F1467" s="121"/>
      <c r="G1467" s="165">
        <v>50</v>
      </c>
      <c r="H1467" s="10">
        <f t="shared" si="85"/>
        <v>0</v>
      </c>
      <c r="I1467" s="3">
        <f t="shared" si="86"/>
        <v>0</v>
      </c>
      <c r="J1467" s="33">
        <f t="shared" si="87"/>
        <v>50</v>
      </c>
      <c r="K1467" s="33"/>
      <c r="L1467" s="3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/>
      <c r="BR1467" s="13"/>
      <c r="BS1467" s="13"/>
      <c r="BT1467" s="13"/>
      <c r="BU1467" s="13"/>
      <c r="BV1467" s="13"/>
    </row>
    <row r="1468" spans="1:74" hidden="1">
      <c r="A1468" s="109">
        <v>1465</v>
      </c>
      <c r="B1468" s="225" t="s">
        <v>2936</v>
      </c>
      <c r="C1468" s="158" t="s">
        <v>2937</v>
      </c>
      <c r="D1468" s="121" t="s">
        <v>14</v>
      </c>
      <c r="E1468" s="121"/>
      <c r="F1468" s="121"/>
      <c r="G1468" s="165">
        <v>49</v>
      </c>
      <c r="H1468" s="10">
        <f t="shared" si="85"/>
        <v>0</v>
      </c>
      <c r="I1468" s="3">
        <f t="shared" si="86"/>
        <v>0</v>
      </c>
      <c r="J1468" s="33">
        <f t="shared" si="87"/>
        <v>49</v>
      </c>
      <c r="K1468" s="33"/>
      <c r="L1468" s="3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/>
      <c r="BR1468" s="13"/>
      <c r="BS1468" s="13"/>
      <c r="BT1468" s="13"/>
      <c r="BU1468" s="13"/>
      <c r="BV1468" s="13"/>
    </row>
    <row r="1469" spans="1:74" hidden="1">
      <c r="A1469" s="109">
        <v>1466</v>
      </c>
      <c r="B1469" s="225" t="s">
        <v>2938</v>
      </c>
      <c r="C1469" s="158" t="s">
        <v>2939</v>
      </c>
      <c r="D1469" s="121" t="s">
        <v>14</v>
      </c>
      <c r="E1469" s="121"/>
      <c r="F1469" s="121"/>
      <c r="G1469" s="165">
        <v>50</v>
      </c>
      <c r="H1469" s="10">
        <f t="shared" si="85"/>
        <v>0</v>
      </c>
      <c r="I1469" s="3">
        <f t="shared" si="86"/>
        <v>0</v>
      </c>
      <c r="J1469" s="33">
        <f t="shared" si="87"/>
        <v>50</v>
      </c>
      <c r="K1469" s="33"/>
      <c r="L1469" s="3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</row>
    <row r="1470" spans="1:74" hidden="1">
      <c r="A1470" s="109">
        <v>1467</v>
      </c>
      <c r="B1470" s="225" t="s">
        <v>2940</v>
      </c>
      <c r="C1470" s="226" t="s">
        <v>2941</v>
      </c>
      <c r="D1470" s="225" t="s">
        <v>14</v>
      </c>
      <c r="E1470" s="225"/>
      <c r="F1470" s="225"/>
      <c r="G1470" s="165">
        <v>50</v>
      </c>
      <c r="H1470" s="10">
        <f t="shared" si="85"/>
        <v>0</v>
      </c>
      <c r="I1470" s="3">
        <f t="shared" si="86"/>
        <v>0</v>
      </c>
      <c r="J1470" s="33">
        <f t="shared" si="87"/>
        <v>50</v>
      </c>
      <c r="K1470" s="33"/>
      <c r="L1470" s="3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</row>
    <row r="1471" spans="1:74" hidden="1">
      <c r="A1471" s="109">
        <v>1468</v>
      </c>
      <c r="B1471" s="157" t="s">
        <v>2942</v>
      </c>
      <c r="C1471" s="158" t="s">
        <v>2943</v>
      </c>
      <c r="D1471" s="160" t="s">
        <v>14</v>
      </c>
      <c r="E1471" s="160"/>
      <c r="F1471" s="160"/>
      <c r="G1471" s="165">
        <v>210</v>
      </c>
      <c r="H1471" s="10">
        <f t="shared" si="85"/>
        <v>0</v>
      </c>
      <c r="I1471" s="3">
        <f t="shared" si="86"/>
        <v>0</v>
      </c>
      <c r="J1471" s="33">
        <f t="shared" si="87"/>
        <v>210</v>
      </c>
      <c r="K1471" s="33"/>
      <c r="L1471" s="3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</row>
    <row r="1472" spans="1:74" hidden="1">
      <c r="A1472" s="109">
        <v>1469</v>
      </c>
      <c r="B1472" s="225" t="s">
        <v>2944</v>
      </c>
      <c r="C1472" s="158" t="s">
        <v>2945</v>
      </c>
      <c r="D1472" s="160" t="s">
        <v>14</v>
      </c>
      <c r="E1472" s="160"/>
      <c r="F1472" s="160"/>
      <c r="G1472" s="220">
        <v>5</v>
      </c>
      <c r="H1472" s="12">
        <f t="shared" si="85"/>
        <v>0</v>
      </c>
      <c r="I1472" s="3">
        <f t="shared" si="86"/>
        <v>0</v>
      </c>
      <c r="J1472" s="33">
        <f t="shared" si="87"/>
        <v>5</v>
      </c>
      <c r="K1472" s="33"/>
      <c r="L1472" s="33"/>
      <c r="M1472" s="91"/>
      <c r="N1472" s="91"/>
      <c r="O1472" s="91"/>
      <c r="P1472" s="91"/>
      <c r="Q1472" s="91"/>
      <c r="R1472" s="91"/>
      <c r="S1472" s="91"/>
      <c r="T1472" s="91"/>
      <c r="U1472" s="91"/>
      <c r="V1472" s="91"/>
      <c r="W1472" s="91"/>
      <c r="X1472" s="91"/>
      <c r="Y1472" s="91"/>
      <c r="Z1472" s="91"/>
      <c r="AA1472" s="91"/>
      <c r="AB1472" s="91"/>
      <c r="AC1472" s="91"/>
      <c r="AD1472" s="91"/>
      <c r="AE1472" s="91"/>
      <c r="AF1472" s="91"/>
      <c r="AG1472" s="91"/>
      <c r="AH1472" s="91"/>
      <c r="AI1472" s="91"/>
      <c r="AJ1472" s="91"/>
      <c r="AK1472" s="91"/>
      <c r="AL1472" s="91"/>
      <c r="AM1472" s="91"/>
      <c r="AN1472" s="91"/>
      <c r="AO1472" s="91"/>
      <c r="AP1472" s="91"/>
      <c r="AQ1472" s="91"/>
      <c r="AR1472" s="91"/>
      <c r="AS1472" s="91"/>
      <c r="AT1472" s="91"/>
      <c r="AU1472" s="91"/>
      <c r="AV1472" s="91"/>
      <c r="AW1472" s="91"/>
      <c r="AX1472" s="91"/>
      <c r="AY1472" s="91"/>
      <c r="AZ1472" s="91"/>
      <c r="BA1472" s="91"/>
      <c r="BB1472" s="91"/>
      <c r="BC1472" s="91"/>
      <c r="BD1472" s="91"/>
      <c r="BE1472" s="91"/>
      <c r="BF1472" s="91"/>
      <c r="BG1472" s="91"/>
      <c r="BH1472" s="91"/>
      <c r="BI1472" s="91"/>
      <c r="BJ1472" s="91"/>
      <c r="BK1472" s="91"/>
      <c r="BL1472" s="91"/>
      <c r="BM1472" s="91"/>
      <c r="BN1472" s="91"/>
      <c r="BO1472" s="91"/>
      <c r="BP1472" s="91"/>
      <c r="BQ1472" s="91"/>
      <c r="BR1472" s="91"/>
      <c r="BS1472" s="91"/>
      <c r="BT1472" s="91"/>
      <c r="BU1472" s="91"/>
      <c r="BV1472" s="91"/>
    </row>
    <row r="1473" spans="1:74" hidden="1">
      <c r="A1473" s="109">
        <v>1470</v>
      </c>
      <c r="B1473" s="227" t="s">
        <v>2946</v>
      </c>
      <c r="C1473" s="192" t="s">
        <v>2947</v>
      </c>
      <c r="D1473" s="160" t="s">
        <v>21</v>
      </c>
      <c r="E1473" s="160"/>
      <c r="F1473" s="160"/>
      <c r="G1473" s="220">
        <v>2</v>
      </c>
      <c r="H1473" s="12">
        <f t="shared" si="85"/>
        <v>0</v>
      </c>
      <c r="I1473" s="3">
        <f t="shared" si="86"/>
        <v>0</v>
      </c>
      <c r="J1473" s="33">
        <f t="shared" si="87"/>
        <v>2</v>
      </c>
      <c r="K1473" s="33"/>
      <c r="L1473" s="33"/>
      <c r="M1473" s="91"/>
      <c r="N1473" s="91"/>
      <c r="O1473" s="91"/>
      <c r="P1473" s="91"/>
      <c r="Q1473" s="91"/>
      <c r="R1473" s="91"/>
      <c r="S1473" s="91"/>
      <c r="T1473" s="91"/>
      <c r="U1473" s="91"/>
      <c r="V1473" s="91"/>
      <c r="W1473" s="91"/>
      <c r="X1473" s="91"/>
      <c r="Y1473" s="91"/>
      <c r="Z1473" s="91"/>
      <c r="AA1473" s="91"/>
      <c r="AB1473" s="91"/>
      <c r="AC1473" s="91"/>
      <c r="AD1473" s="91"/>
      <c r="AE1473" s="91"/>
      <c r="AF1473" s="91"/>
      <c r="AG1473" s="91"/>
      <c r="AH1473" s="91"/>
      <c r="AI1473" s="91"/>
      <c r="AJ1473" s="91"/>
      <c r="AK1473" s="91"/>
      <c r="AL1473" s="91"/>
      <c r="AM1473" s="91"/>
      <c r="AN1473" s="91"/>
      <c r="AO1473" s="91"/>
      <c r="AP1473" s="91"/>
      <c r="AQ1473" s="91"/>
      <c r="AR1473" s="91"/>
      <c r="AS1473" s="91"/>
      <c r="AT1473" s="91"/>
      <c r="AU1473" s="91"/>
      <c r="AV1473" s="91"/>
      <c r="AW1473" s="91"/>
      <c r="AX1473" s="91"/>
      <c r="AY1473" s="91"/>
      <c r="AZ1473" s="91"/>
      <c r="BA1473" s="91"/>
      <c r="BB1473" s="91"/>
      <c r="BC1473" s="91"/>
      <c r="BD1473" s="91"/>
      <c r="BE1473" s="91"/>
      <c r="BF1473" s="91"/>
      <c r="BG1473" s="91"/>
      <c r="BH1473" s="91"/>
      <c r="BI1473" s="91"/>
      <c r="BJ1473" s="91"/>
      <c r="BK1473" s="91"/>
      <c r="BL1473" s="91"/>
      <c r="BM1473" s="91"/>
      <c r="BN1473" s="91"/>
      <c r="BO1473" s="91"/>
      <c r="BP1473" s="91"/>
      <c r="BQ1473" s="91"/>
      <c r="BR1473" s="91"/>
      <c r="BS1473" s="91"/>
      <c r="BT1473" s="91"/>
      <c r="BU1473" s="91"/>
      <c r="BV1473" s="91"/>
    </row>
    <row r="1474" spans="1:74" hidden="1">
      <c r="A1474" s="109">
        <v>1471</v>
      </c>
      <c r="B1474" s="225" t="s">
        <v>2948</v>
      </c>
      <c r="C1474" s="214" t="s">
        <v>2949</v>
      </c>
      <c r="D1474" s="160" t="s">
        <v>21</v>
      </c>
      <c r="E1474" s="160"/>
      <c r="F1474" s="160"/>
      <c r="G1474" s="220">
        <v>36</v>
      </c>
      <c r="H1474" s="12">
        <f t="shared" ref="H1474:H1498" si="88">SUM(M1474+O1474+Q1474+S1474+U1474+W1474+Y1474+AA1474+AC1474+AE1474+AG1474+AI1474+AK1474+AM1474+AO1474+AQ1474+AS1474+AU1474+AW1474+AY1474+BA1474+BC1474+BE1474+BG1474+BI1474+BK1474+BM1474+BO1474+BQ1474+BS1474+BU1474)</f>
        <v>0</v>
      </c>
      <c r="I1474" s="3">
        <f t="shared" ref="I1474:I1498" si="89">SUM(N1474+P1474+R1474+T1474+V1474+X1474+Z1474+AB1474+AD1474+AF1474+AH1474+AJ1474+AL1474+AN1474+AP1474+AR1474+AT1474+AV1474+AX1474+AZ1474+BB1474+BD1474+BF1474+BH1474+BJ1474+BL1474+BN1474+BP1474+BR1474+BT1474+BV1474)</f>
        <v>0</v>
      </c>
      <c r="J1474" s="33">
        <f t="shared" ref="J1474:J1498" si="90">G1474+H1474-I1474</f>
        <v>36</v>
      </c>
      <c r="K1474" s="33"/>
      <c r="L1474" s="33"/>
      <c r="M1474" s="91"/>
      <c r="N1474" s="91"/>
      <c r="O1474" s="91"/>
      <c r="P1474" s="91"/>
      <c r="Q1474" s="91"/>
      <c r="R1474" s="91"/>
      <c r="S1474" s="91"/>
      <c r="T1474" s="91"/>
      <c r="U1474" s="91"/>
      <c r="V1474" s="91"/>
      <c r="W1474" s="91"/>
      <c r="X1474" s="91"/>
      <c r="Y1474" s="91"/>
      <c r="Z1474" s="91"/>
      <c r="AA1474" s="91"/>
      <c r="AB1474" s="91"/>
      <c r="AC1474" s="91"/>
      <c r="AD1474" s="91"/>
      <c r="AE1474" s="91"/>
      <c r="AF1474" s="91"/>
      <c r="AG1474" s="91"/>
      <c r="AH1474" s="91"/>
      <c r="AI1474" s="91"/>
      <c r="AJ1474" s="91"/>
      <c r="AK1474" s="91"/>
      <c r="AL1474" s="91"/>
      <c r="AM1474" s="91"/>
      <c r="AN1474" s="91"/>
      <c r="AO1474" s="91"/>
      <c r="AP1474" s="91"/>
      <c r="AQ1474" s="91"/>
      <c r="AR1474" s="91"/>
      <c r="AS1474" s="91"/>
      <c r="AT1474" s="91"/>
      <c r="AU1474" s="91"/>
      <c r="AV1474" s="91"/>
      <c r="AW1474" s="91"/>
      <c r="AX1474" s="91"/>
      <c r="AY1474" s="91"/>
      <c r="AZ1474" s="91"/>
      <c r="BA1474" s="91"/>
      <c r="BB1474" s="91"/>
      <c r="BC1474" s="91"/>
      <c r="BD1474" s="91"/>
      <c r="BE1474" s="91"/>
      <c r="BF1474" s="91"/>
      <c r="BG1474" s="91"/>
      <c r="BH1474" s="91"/>
      <c r="BI1474" s="91"/>
      <c r="BJ1474" s="91"/>
      <c r="BK1474" s="91"/>
      <c r="BL1474" s="91"/>
      <c r="BM1474" s="91"/>
      <c r="BN1474" s="91"/>
      <c r="BO1474" s="91"/>
      <c r="BP1474" s="91"/>
      <c r="BQ1474" s="91"/>
      <c r="BR1474" s="91"/>
      <c r="BS1474" s="91"/>
      <c r="BT1474" s="91"/>
      <c r="BU1474" s="91"/>
      <c r="BV1474" s="91"/>
    </row>
    <row r="1475" spans="1:74" hidden="1">
      <c r="A1475" s="109">
        <v>1472</v>
      </c>
      <c r="B1475" s="160" t="s">
        <v>2950</v>
      </c>
      <c r="C1475" s="228" t="s">
        <v>2951</v>
      </c>
      <c r="D1475" s="160" t="s">
        <v>14</v>
      </c>
      <c r="E1475" s="160"/>
      <c r="F1475" s="160"/>
      <c r="G1475" s="220">
        <v>3</v>
      </c>
      <c r="H1475" s="12">
        <f t="shared" si="88"/>
        <v>0</v>
      </c>
      <c r="I1475" s="3">
        <f t="shared" si="89"/>
        <v>0</v>
      </c>
      <c r="J1475" s="33">
        <f t="shared" si="90"/>
        <v>3</v>
      </c>
      <c r="K1475" s="33"/>
      <c r="L1475" s="33"/>
      <c r="M1475" s="91"/>
      <c r="N1475" s="91"/>
      <c r="O1475" s="91"/>
      <c r="P1475" s="91"/>
      <c r="Q1475" s="91"/>
      <c r="R1475" s="91"/>
      <c r="S1475" s="91"/>
      <c r="T1475" s="91"/>
      <c r="U1475" s="91"/>
      <c r="V1475" s="91"/>
      <c r="W1475" s="91"/>
      <c r="X1475" s="91"/>
      <c r="Y1475" s="91"/>
      <c r="Z1475" s="91"/>
      <c r="AA1475" s="91"/>
      <c r="AB1475" s="91"/>
      <c r="AC1475" s="91"/>
      <c r="AD1475" s="91"/>
      <c r="AE1475" s="91"/>
      <c r="AF1475" s="91"/>
      <c r="AG1475" s="91"/>
      <c r="AH1475" s="91"/>
      <c r="AI1475" s="91"/>
      <c r="AJ1475" s="91"/>
      <c r="AK1475" s="91"/>
      <c r="AL1475" s="91"/>
      <c r="AM1475" s="91"/>
      <c r="AN1475" s="91"/>
      <c r="AO1475" s="91"/>
      <c r="AP1475" s="91"/>
      <c r="AQ1475" s="91"/>
      <c r="AR1475" s="91"/>
      <c r="AS1475" s="91"/>
      <c r="AT1475" s="91"/>
      <c r="AU1475" s="91"/>
      <c r="AV1475" s="91"/>
      <c r="AW1475" s="91"/>
      <c r="AX1475" s="91"/>
      <c r="AY1475" s="91"/>
      <c r="AZ1475" s="91"/>
      <c r="BA1475" s="91"/>
      <c r="BB1475" s="91"/>
      <c r="BC1475" s="91"/>
      <c r="BD1475" s="91"/>
      <c r="BE1475" s="91"/>
      <c r="BF1475" s="91"/>
      <c r="BG1475" s="91"/>
      <c r="BH1475" s="91"/>
      <c r="BI1475" s="91"/>
      <c r="BJ1475" s="91"/>
      <c r="BK1475" s="91"/>
      <c r="BL1475" s="91"/>
      <c r="BM1475" s="91"/>
      <c r="BN1475" s="91"/>
      <c r="BO1475" s="91"/>
      <c r="BP1475" s="91"/>
      <c r="BQ1475" s="91"/>
      <c r="BR1475" s="91"/>
      <c r="BS1475" s="91"/>
      <c r="BT1475" s="91"/>
      <c r="BU1475" s="91"/>
      <c r="BV1475" s="91"/>
    </row>
    <row r="1476" spans="1:74" hidden="1">
      <c r="A1476" s="109">
        <v>1473</v>
      </c>
      <c r="B1476" s="227" t="s">
        <v>2952</v>
      </c>
      <c r="C1476" s="229" t="s">
        <v>2953</v>
      </c>
      <c r="D1476" s="227" t="s">
        <v>21</v>
      </c>
      <c r="E1476" s="227"/>
      <c r="F1476" s="227"/>
      <c r="G1476" s="220">
        <v>1</v>
      </c>
      <c r="H1476" s="12">
        <f t="shared" si="88"/>
        <v>0</v>
      </c>
      <c r="I1476" s="3">
        <f t="shared" si="89"/>
        <v>0</v>
      </c>
      <c r="J1476" s="33">
        <f t="shared" si="90"/>
        <v>1</v>
      </c>
      <c r="K1476" s="33"/>
      <c r="L1476" s="33"/>
      <c r="M1476" s="91"/>
      <c r="N1476" s="91"/>
      <c r="O1476" s="91"/>
      <c r="P1476" s="91"/>
      <c r="Q1476" s="91"/>
      <c r="R1476" s="91"/>
      <c r="S1476" s="91"/>
      <c r="T1476" s="91"/>
      <c r="U1476" s="91"/>
      <c r="V1476" s="91"/>
      <c r="W1476" s="91"/>
      <c r="X1476" s="91"/>
      <c r="Y1476" s="91"/>
      <c r="Z1476" s="91"/>
      <c r="AA1476" s="91"/>
      <c r="AB1476" s="91"/>
      <c r="AC1476" s="91"/>
      <c r="AD1476" s="91"/>
      <c r="AE1476" s="91"/>
      <c r="AF1476" s="91"/>
      <c r="AG1476" s="91"/>
      <c r="AH1476" s="91"/>
      <c r="AI1476" s="91"/>
      <c r="AJ1476" s="91"/>
      <c r="AK1476" s="91"/>
      <c r="AL1476" s="91"/>
      <c r="AM1476" s="91"/>
      <c r="AN1476" s="91"/>
      <c r="AO1476" s="91"/>
      <c r="AP1476" s="91"/>
      <c r="AQ1476" s="91"/>
      <c r="AR1476" s="91"/>
      <c r="AS1476" s="91"/>
      <c r="AT1476" s="91"/>
      <c r="AU1476" s="91"/>
      <c r="AV1476" s="91"/>
      <c r="AW1476" s="91"/>
      <c r="AX1476" s="91"/>
      <c r="AY1476" s="91"/>
      <c r="AZ1476" s="91"/>
      <c r="BA1476" s="91"/>
      <c r="BB1476" s="91"/>
      <c r="BC1476" s="91"/>
      <c r="BD1476" s="91"/>
      <c r="BE1476" s="91"/>
      <c r="BF1476" s="91"/>
      <c r="BG1476" s="91"/>
      <c r="BH1476" s="91"/>
      <c r="BI1476" s="91"/>
      <c r="BJ1476" s="91"/>
      <c r="BK1476" s="91"/>
      <c r="BL1476" s="91"/>
      <c r="BM1476" s="91"/>
      <c r="BN1476" s="91"/>
      <c r="BO1476" s="91"/>
      <c r="BP1476" s="91"/>
      <c r="BQ1476" s="91"/>
      <c r="BR1476" s="91"/>
      <c r="BS1476" s="91"/>
      <c r="BT1476" s="91"/>
      <c r="BU1476" s="91"/>
      <c r="BV1476" s="91"/>
    </row>
    <row r="1477" spans="1:74" hidden="1">
      <c r="A1477" s="109">
        <v>1474</v>
      </c>
      <c r="B1477" s="227" t="s">
        <v>2954</v>
      </c>
      <c r="C1477" s="229" t="s">
        <v>2955</v>
      </c>
      <c r="D1477" s="227" t="s">
        <v>21</v>
      </c>
      <c r="E1477" s="227"/>
      <c r="F1477" s="227"/>
      <c r="G1477" s="220">
        <v>0</v>
      </c>
      <c r="H1477" s="12">
        <f t="shared" si="88"/>
        <v>0</v>
      </c>
      <c r="I1477" s="3">
        <f t="shared" si="89"/>
        <v>0</v>
      </c>
      <c r="J1477" s="33">
        <f t="shared" si="90"/>
        <v>0</v>
      </c>
      <c r="K1477" s="33"/>
      <c r="L1477" s="33"/>
      <c r="M1477" s="91"/>
      <c r="N1477" s="91"/>
      <c r="O1477" s="91"/>
      <c r="P1477" s="91"/>
      <c r="Q1477" s="91"/>
      <c r="R1477" s="91"/>
      <c r="S1477" s="91"/>
      <c r="T1477" s="91"/>
      <c r="U1477" s="91"/>
      <c r="V1477" s="91"/>
      <c r="W1477" s="91"/>
      <c r="X1477" s="91"/>
      <c r="Y1477" s="91"/>
      <c r="Z1477" s="91"/>
      <c r="AA1477" s="91"/>
      <c r="AB1477" s="91"/>
      <c r="AC1477" s="91"/>
      <c r="AD1477" s="91"/>
      <c r="AE1477" s="91"/>
      <c r="AF1477" s="91"/>
      <c r="AG1477" s="91"/>
      <c r="AH1477" s="91"/>
      <c r="AI1477" s="91"/>
      <c r="AJ1477" s="91"/>
      <c r="AK1477" s="91"/>
      <c r="AL1477" s="91"/>
      <c r="AM1477" s="91"/>
      <c r="AN1477" s="91"/>
      <c r="AO1477" s="91"/>
      <c r="AP1477" s="91"/>
      <c r="AQ1477" s="91"/>
      <c r="AR1477" s="91"/>
      <c r="AS1477" s="91"/>
      <c r="AT1477" s="91"/>
      <c r="AU1477" s="91"/>
      <c r="AV1477" s="91"/>
      <c r="AW1477" s="91"/>
      <c r="AX1477" s="91"/>
      <c r="AY1477" s="91"/>
      <c r="AZ1477" s="91"/>
      <c r="BA1477" s="91"/>
      <c r="BB1477" s="91"/>
      <c r="BC1477" s="91"/>
      <c r="BD1477" s="91"/>
      <c r="BE1477" s="91"/>
      <c r="BF1477" s="91"/>
      <c r="BG1477" s="91"/>
      <c r="BH1477" s="91"/>
      <c r="BI1477" s="91"/>
      <c r="BJ1477" s="91"/>
      <c r="BK1477" s="91"/>
      <c r="BL1477" s="91"/>
      <c r="BM1477" s="91"/>
      <c r="BN1477" s="91"/>
      <c r="BO1477" s="91"/>
      <c r="BP1477" s="91"/>
      <c r="BQ1477" s="91"/>
      <c r="BR1477" s="91"/>
      <c r="BS1477" s="91"/>
      <c r="BT1477" s="91"/>
      <c r="BU1477" s="91"/>
      <c r="BV1477" s="91"/>
    </row>
    <row r="1478" spans="1:74" hidden="1">
      <c r="A1478" s="109">
        <v>1475</v>
      </c>
      <c r="B1478" s="227" t="s">
        <v>2956</v>
      </c>
      <c r="C1478" s="229" t="s">
        <v>2957</v>
      </c>
      <c r="D1478" s="227" t="s">
        <v>21</v>
      </c>
      <c r="E1478" s="227"/>
      <c r="F1478" s="227"/>
      <c r="G1478" s="220">
        <v>0</v>
      </c>
      <c r="H1478" s="12">
        <f t="shared" si="88"/>
        <v>0</v>
      </c>
      <c r="I1478" s="3">
        <f t="shared" si="89"/>
        <v>0</v>
      </c>
      <c r="J1478" s="33">
        <f t="shared" si="90"/>
        <v>0</v>
      </c>
      <c r="K1478" s="33"/>
      <c r="L1478" s="33"/>
      <c r="M1478" s="91"/>
      <c r="N1478" s="91"/>
      <c r="O1478" s="91"/>
      <c r="P1478" s="91"/>
      <c r="Q1478" s="91"/>
      <c r="R1478" s="91"/>
      <c r="S1478" s="91"/>
      <c r="T1478" s="91"/>
      <c r="U1478" s="91"/>
      <c r="V1478" s="91"/>
      <c r="W1478" s="91"/>
      <c r="X1478" s="91"/>
      <c r="Y1478" s="91"/>
      <c r="Z1478" s="91"/>
      <c r="AA1478" s="91"/>
      <c r="AB1478" s="91"/>
      <c r="AC1478" s="91"/>
      <c r="AD1478" s="91"/>
      <c r="AE1478" s="91"/>
      <c r="AF1478" s="91"/>
      <c r="AG1478" s="91"/>
      <c r="AH1478" s="91"/>
      <c r="AI1478" s="91"/>
      <c r="AJ1478" s="91"/>
      <c r="AK1478" s="91"/>
      <c r="AL1478" s="91"/>
      <c r="AM1478" s="91"/>
      <c r="AN1478" s="91"/>
      <c r="AO1478" s="91"/>
      <c r="AP1478" s="91"/>
      <c r="AQ1478" s="91"/>
      <c r="AR1478" s="91"/>
      <c r="AS1478" s="91"/>
      <c r="AT1478" s="91"/>
      <c r="AU1478" s="91"/>
      <c r="AV1478" s="91"/>
      <c r="AW1478" s="91"/>
      <c r="AX1478" s="91"/>
      <c r="AY1478" s="91"/>
      <c r="AZ1478" s="91"/>
      <c r="BA1478" s="91"/>
      <c r="BB1478" s="91"/>
      <c r="BC1478" s="91"/>
      <c r="BD1478" s="91"/>
      <c r="BE1478" s="91"/>
      <c r="BF1478" s="91"/>
      <c r="BG1478" s="91"/>
      <c r="BH1478" s="91"/>
      <c r="BI1478" s="91"/>
      <c r="BJ1478" s="91"/>
      <c r="BK1478" s="91"/>
      <c r="BL1478" s="91"/>
      <c r="BM1478" s="91"/>
      <c r="BN1478" s="91"/>
      <c r="BO1478" s="91"/>
      <c r="BP1478" s="91"/>
      <c r="BQ1478" s="91"/>
      <c r="BR1478" s="91"/>
      <c r="BS1478" s="91"/>
      <c r="BT1478" s="91"/>
      <c r="BU1478" s="91"/>
      <c r="BV1478" s="91"/>
    </row>
    <row r="1479" spans="1:74" hidden="1">
      <c r="A1479" s="109">
        <v>1476</v>
      </c>
      <c r="B1479" s="227" t="s">
        <v>2958</v>
      </c>
      <c r="C1479" s="229" t="s">
        <v>2959</v>
      </c>
      <c r="D1479" s="227" t="s">
        <v>21</v>
      </c>
      <c r="E1479" s="227"/>
      <c r="F1479" s="227"/>
      <c r="G1479" s="220">
        <v>2</v>
      </c>
      <c r="H1479" s="12">
        <f t="shared" si="88"/>
        <v>0</v>
      </c>
      <c r="I1479" s="3">
        <f t="shared" si="89"/>
        <v>0</v>
      </c>
      <c r="J1479" s="33">
        <f t="shared" si="90"/>
        <v>2</v>
      </c>
      <c r="K1479" s="33"/>
      <c r="L1479" s="33"/>
      <c r="M1479" s="91"/>
      <c r="N1479" s="91"/>
      <c r="O1479" s="91"/>
      <c r="P1479" s="91"/>
      <c r="Q1479" s="91"/>
      <c r="R1479" s="91"/>
      <c r="S1479" s="91"/>
      <c r="T1479" s="91"/>
      <c r="U1479" s="91"/>
      <c r="V1479" s="91"/>
      <c r="W1479" s="91"/>
      <c r="X1479" s="91"/>
      <c r="Y1479" s="91"/>
      <c r="Z1479" s="91"/>
      <c r="AA1479" s="91"/>
      <c r="AB1479" s="91"/>
      <c r="AC1479" s="91"/>
      <c r="AD1479" s="91"/>
      <c r="AE1479" s="91"/>
      <c r="AF1479" s="91"/>
      <c r="AG1479" s="91"/>
      <c r="AH1479" s="91"/>
      <c r="AI1479" s="91"/>
      <c r="AJ1479" s="91"/>
      <c r="AK1479" s="91"/>
      <c r="AL1479" s="91"/>
      <c r="AM1479" s="91"/>
      <c r="AN1479" s="91"/>
      <c r="AO1479" s="91"/>
      <c r="AP1479" s="91"/>
      <c r="AQ1479" s="91"/>
      <c r="AR1479" s="91"/>
      <c r="AS1479" s="91"/>
      <c r="AT1479" s="91"/>
      <c r="AU1479" s="91"/>
      <c r="AV1479" s="91"/>
      <c r="AW1479" s="91"/>
      <c r="AX1479" s="91"/>
      <c r="AY1479" s="91"/>
      <c r="AZ1479" s="91"/>
      <c r="BA1479" s="91"/>
      <c r="BB1479" s="91"/>
      <c r="BC1479" s="91"/>
      <c r="BD1479" s="91"/>
      <c r="BE1479" s="91"/>
      <c r="BF1479" s="91"/>
      <c r="BG1479" s="91"/>
      <c r="BH1479" s="91"/>
      <c r="BI1479" s="91"/>
      <c r="BJ1479" s="91"/>
      <c r="BK1479" s="91"/>
      <c r="BL1479" s="91"/>
      <c r="BM1479" s="91"/>
      <c r="BN1479" s="91"/>
      <c r="BO1479" s="91"/>
      <c r="BP1479" s="91"/>
      <c r="BQ1479" s="91"/>
      <c r="BR1479" s="91"/>
      <c r="BS1479" s="91"/>
      <c r="BT1479" s="91"/>
      <c r="BU1479" s="91"/>
      <c r="BV1479" s="91"/>
    </row>
    <row r="1480" spans="1:74" hidden="1">
      <c r="A1480" s="142">
        <v>1477</v>
      </c>
      <c r="B1480" s="386" t="s">
        <v>2960</v>
      </c>
      <c r="C1480" s="387" t="s">
        <v>2961</v>
      </c>
      <c r="D1480" s="386" t="s">
        <v>21</v>
      </c>
      <c r="E1480" s="227"/>
      <c r="F1480" s="227"/>
      <c r="G1480" s="220">
        <v>301</v>
      </c>
      <c r="H1480" s="12">
        <f t="shared" si="88"/>
        <v>0</v>
      </c>
      <c r="I1480" s="3">
        <f t="shared" si="89"/>
        <v>0</v>
      </c>
      <c r="J1480" s="33">
        <f t="shared" si="90"/>
        <v>301</v>
      </c>
      <c r="K1480" s="33"/>
      <c r="L1480" s="33"/>
      <c r="M1480" s="91"/>
      <c r="N1480" s="91"/>
      <c r="O1480" s="91"/>
      <c r="P1480" s="91"/>
      <c r="Q1480" s="91"/>
      <c r="R1480" s="91"/>
      <c r="S1480" s="91"/>
      <c r="T1480" s="91"/>
      <c r="U1480" s="91"/>
      <c r="V1480" s="91"/>
      <c r="W1480" s="91"/>
      <c r="X1480" s="91"/>
      <c r="Y1480" s="91"/>
      <c r="Z1480" s="91"/>
      <c r="AA1480" s="91"/>
      <c r="AB1480" s="91"/>
      <c r="AC1480" s="91"/>
      <c r="AD1480" s="91"/>
      <c r="AE1480" s="91"/>
      <c r="AF1480" s="91"/>
      <c r="AG1480" s="91"/>
      <c r="AH1480" s="91"/>
      <c r="AI1480" s="91"/>
      <c r="AJ1480" s="91"/>
      <c r="AK1480" s="91"/>
      <c r="AL1480" s="91"/>
      <c r="AM1480" s="91"/>
      <c r="AN1480" s="91"/>
      <c r="AO1480" s="91"/>
      <c r="AP1480" s="91"/>
      <c r="AQ1480" s="91"/>
      <c r="AR1480" s="91"/>
      <c r="AS1480" s="91"/>
      <c r="AT1480" s="91"/>
      <c r="AU1480" s="91"/>
      <c r="AV1480" s="91"/>
      <c r="AW1480" s="91"/>
      <c r="AX1480" s="91"/>
      <c r="AY1480" s="91"/>
      <c r="AZ1480" s="91"/>
      <c r="BA1480" s="91"/>
      <c r="BB1480" s="91"/>
      <c r="BC1480" s="91"/>
      <c r="BD1480" s="91"/>
      <c r="BE1480" s="91"/>
      <c r="BF1480" s="91"/>
      <c r="BG1480" s="91"/>
      <c r="BH1480" s="91"/>
      <c r="BI1480" s="91"/>
      <c r="BJ1480" s="91"/>
      <c r="BK1480" s="91"/>
      <c r="BL1480" s="91"/>
      <c r="BM1480" s="91"/>
      <c r="BN1480" s="91"/>
      <c r="BO1480" s="91"/>
      <c r="BP1480" s="91"/>
      <c r="BQ1480" s="91"/>
      <c r="BR1480" s="91"/>
      <c r="BS1480" s="91"/>
      <c r="BT1480" s="91"/>
      <c r="BU1480" s="91"/>
      <c r="BV1480" s="91"/>
    </row>
    <row r="1481" spans="1:74" hidden="1">
      <c r="A1481" s="109">
        <v>1478</v>
      </c>
      <c r="B1481" s="227" t="s">
        <v>2962</v>
      </c>
      <c r="C1481" s="229" t="s">
        <v>2963</v>
      </c>
      <c r="D1481" s="160" t="s">
        <v>21</v>
      </c>
      <c r="E1481" s="160"/>
      <c r="F1481" s="160"/>
      <c r="G1481" s="220">
        <v>2</v>
      </c>
      <c r="H1481" s="12">
        <f t="shared" si="88"/>
        <v>0</v>
      </c>
      <c r="I1481" s="3">
        <f t="shared" si="89"/>
        <v>0</v>
      </c>
      <c r="J1481" s="33">
        <f t="shared" si="90"/>
        <v>2</v>
      </c>
      <c r="K1481" s="33"/>
      <c r="L1481" s="33"/>
      <c r="M1481" s="91"/>
      <c r="N1481" s="91"/>
      <c r="O1481" s="91"/>
      <c r="P1481" s="91"/>
      <c r="Q1481" s="91"/>
      <c r="R1481" s="91"/>
      <c r="S1481" s="91"/>
      <c r="T1481" s="91"/>
      <c r="U1481" s="91"/>
      <c r="V1481" s="91"/>
      <c r="W1481" s="91"/>
      <c r="X1481" s="91"/>
      <c r="Y1481" s="91"/>
      <c r="Z1481" s="91"/>
      <c r="AA1481" s="91"/>
      <c r="AB1481" s="91"/>
      <c r="AC1481" s="91"/>
      <c r="AD1481" s="91"/>
      <c r="AE1481" s="91"/>
      <c r="AF1481" s="91"/>
      <c r="AG1481" s="91"/>
      <c r="AH1481" s="91"/>
      <c r="AI1481" s="91"/>
      <c r="AJ1481" s="91"/>
      <c r="AK1481" s="91"/>
      <c r="AL1481" s="91"/>
      <c r="AM1481" s="91"/>
      <c r="AN1481" s="91"/>
      <c r="AO1481" s="91"/>
      <c r="AP1481" s="91"/>
      <c r="AQ1481" s="91"/>
      <c r="AR1481" s="91"/>
      <c r="AS1481" s="91"/>
      <c r="AT1481" s="91"/>
      <c r="AU1481" s="91"/>
      <c r="AV1481" s="91"/>
      <c r="AW1481" s="91"/>
      <c r="AX1481" s="91"/>
      <c r="AY1481" s="91"/>
      <c r="AZ1481" s="91"/>
      <c r="BA1481" s="91"/>
      <c r="BB1481" s="91"/>
      <c r="BC1481" s="91"/>
      <c r="BD1481" s="91"/>
      <c r="BE1481" s="91"/>
      <c r="BF1481" s="91"/>
      <c r="BG1481" s="91"/>
      <c r="BH1481" s="91"/>
      <c r="BI1481" s="91"/>
      <c r="BJ1481" s="91"/>
      <c r="BK1481" s="91"/>
      <c r="BL1481" s="91"/>
      <c r="BM1481" s="91"/>
      <c r="BN1481" s="91"/>
      <c r="BO1481" s="91"/>
      <c r="BP1481" s="91"/>
      <c r="BQ1481" s="91"/>
      <c r="BR1481" s="91"/>
      <c r="BS1481" s="91"/>
      <c r="BT1481" s="91"/>
      <c r="BU1481" s="91"/>
      <c r="BV1481" s="91"/>
    </row>
    <row r="1482" spans="1:74" hidden="1">
      <c r="A1482" s="109">
        <v>1479</v>
      </c>
      <c r="B1482" s="157" t="s">
        <v>2964</v>
      </c>
      <c r="C1482" s="158" t="s">
        <v>2965</v>
      </c>
      <c r="D1482" s="121" t="s">
        <v>21</v>
      </c>
      <c r="E1482" s="121"/>
      <c r="F1482" s="121"/>
      <c r="G1482" s="220">
        <v>2</v>
      </c>
      <c r="H1482" s="12">
        <f t="shared" si="88"/>
        <v>0</v>
      </c>
      <c r="I1482" s="3">
        <f t="shared" si="89"/>
        <v>0</v>
      </c>
      <c r="J1482" s="33">
        <f t="shared" si="90"/>
        <v>2</v>
      </c>
      <c r="K1482" s="33"/>
      <c r="L1482" s="33"/>
      <c r="M1482" s="91"/>
      <c r="N1482" s="91"/>
      <c r="O1482" s="91"/>
      <c r="P1482" s="91"/>
      <c r="Q1482" s="91"/>
      <c r="R1482" s="91"/>
      <c r="S1482" s="91"/>
      <c r="T1482" s="91"/>
      <c r="U1482" s="91"/>
      <c r="V1482" s="91"/>
      <c r="W1482" s="91"/>
      <c r="X1482" s="91"/>
      <c r="Y1482" s="91"/>
      <c r="Z1482" s="91"/>
      <c r="AA1482" s="91"/>
      <c r="AB1482" s="91"/>
      <c r="AC1482" s="91"/>
      <c r="AD1482" s="91"/>
      <c r="AE1482" s="91"/>
      <c r="AF1482" s="91"/>
      <c r="AG1482" s="91"/>
      <c r="AH1482" s="91"/>
      <c r="AI1482" s="91"/>
      <c r="AJ1482" s="91"/>
      <c r="AK1482" s="91"/>
      <c r="AL1482" s="91"/>
      <c r="AM1482" s="91"/>
      <c r="AN1482" s="91"/>
      <c r="AO1482" s="91"/>
      <c r="AP1482" s="91"/>
      <c r="AQ1482" s="91"/>
      <c r="AR1482" s="91"/>
      <c r="AS1482" s="91"/>
      <c r="AT1482" s="91"/>
      <c r="AU1482" s="91"/>
      <c r="AV1482" s="91"/>
      <c r="AW1482" s="91"/>
      <c r="AX1482" s="91"/>
      <c r="AY1482" s="91"/>
      <c r="AZ1482" s="91"/>
      <c r="BA1482" s="91"/>
      <c r="BB1482" s="91"/>
      <c r="BC1482" s="91"/>
      <c r="BD1482" s="91"/>
      <c r="BE1482" s="91"/>
      <c r="BF1482" s="91"/>
      <c r="BG1482" s="91"/>
      <c r="BH1482" s="91"/>
      <c r="BI1482" s="91"/>
      <c r="BJ1482" s="91"/>
      <c r="BK1482" s="91"/>
      <c r="BL1482" s="91"/>
      <c r="BM1482" s="91"/>
      <c r="BN1482" s="91"/>
      <c r="BO1482" s="91"/>
      <c r="BP1482" s="91"/>
      <c r="BQ1482" s="91"/>
      <c r="BR1482" s="91"/>
      <c r="BS1482" s="91"/>
      <c r="BT1482" s="91"/>
      <c r="BU1482" s="91"/>
      <c r="BV1482" s="91"/>
    </row>
    <row r="1483" spans="1:74" hidden="1">
      <c r="A1483" s="109">
        <v>1480</v>
      </c>
      <c r="B1483" s="157" t="s">
        <v>2966</v>
      </c>
      <c r="C1483" s="214" t="s">
        <v>2967</v>
      </c>
      <c r="D1483" s="121" t="s">
        <v>21</v>
      </c>
      <c r="E1483" s="121"/>
      <c r="F1483" s="121"/>
      <c r="G1483" s="165">
        <v>126</v>
      </c>
      <c r="H1483" s="12">
        <f t="shared" si="88"/>
        <v>0</v>
      </c>
      <c r="I1483" s="3">
        <f t="shared" si="89"/>
        <v>0</v>
      </c>
      <c r="J1483" s="33">
        <f t="shared" si="90"/>
        <v>126</v>
      </c>
      <c r="K1483" s="33"/>
      <c r="L1483" s="3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/>
      <c r="BR1483" s="13"/>
      <c r="BS1483" s="13"/>
      <c r="BT1483" s="13"/>
      <c r="BU1483" s="13"/>
      <c r="BV1483" s="13"/>
    </row>
    <row r="1484" spans="1:74" hidden="1">
      <c r="A1484" s="109">
        <v>1481</v>
      </c>
      <c r="B1484" s="157" t="s">
        <v>2968</v>
      </c>
      <c r="C1484" s="158" t="s">
        <v>2969</v>
      </c>
      <c r="D1484" s="160" t="s">
        <v>21</v>
      </c>
      <c r="E1484" s="160"/>
      <c r="F1484" s="160"/>
      <c r="G1484" s="165">
        <v>32</v>
      </c>
      <c r="H1484" s="12">
        <f t="shared" si="88"/>
        <v>0</v>
      </c>
      <c r="I1484" s="3">
        <f t="shared" si="89"/>
        <v>0</v>
      </c>
      <c r="J1484" s="33">
        <f t="shared" si="90"/>
        <v>32</v>
      </c>
      <c r="K1484" s="33"/>
      <c r="L1484" s="3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</row>
    <row r="1485" spans="1:74" hidden="1">
      <c r="A1485" s="109">
        <v>1482</v>
      </c>
      <c r="B1485" s="157" t="s">
        <v>2970</v>
      </c>
      <c r="C1485" s="158" t="s">
        <v>2971</v>
      </c>
      <c r="D1485" s="121" t="s">
        <v>21</v>
      </c>
      <c r="E1485" s="121"/>
      <c r="F1485" s="121"/>
      <c r="G1485" s="165">
        <v>0</v>
      </c>
      <c r="H1485" s="12">
        <f t="shared" si="88"/>
        <v>0</v>
      </c>
      <c r="I1485" s="3">
        <f t="shared" si="89"/>
        <v>0</v>
      </c>
      <c r="J1485" s="33">
        <f t="shared" si="90"/>
        <v>0</v>
      </c>
      <c r="K1485" s="33"/>
      <c r="L1485" s="3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</row>
    <row r="1486" spans="1:74" hidden="1">
      <c r="A1486" s="109">
        <v>1483</v>
      </c>
      <c r="B1486" s="157" t="s">
        <v>2972</v>
      </c>
      <c r="C1486" s="230" t="s">
        <v>2973</v>
      </c>
      <c r="D1486" s="121" t="s">
        <v>14</v>
      </c>
      <c r="E1486" s="121"/>
      <c r="F1486" s="121"/>
      <c r="G1486" s="165">
        <v>5</v>
      </c>
      <c r="H1486" s="12">
        <f t="shared" si="88"/>
        <v>0</v>
      </c>
      <c r="I1486" s="3">
        <f t="shared" si="89"/>
        <v>0</v>
      </c>
      <c r="J1486" s="33">
        <f t="shared" si="90"/>
        <v>5</v>
      </c>
      <c r="K1486" s="33"/>
      <c r="L1486" s="3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  <c r="BR1486" s="13"/>
      <c r="BS1486" s="13"/>
      <c r="BT1486" s="13"/>
      <c r="BU1486" s="13"/>
      <c r="BV1486" s="13"/>
    </row>
    <row r="1487" spans="1:74" hidden="1">
      <c r="A1487" s="109">
        <v>1484</v>
      </c>
      <c r="B1487" s="157" t="s">
        <v>2974</v>
      </c>
      <c r="C1487" s="230" t="s">
        <v>2975</v>
      </c>
      <c r="D1487" s="121" t="s">
        <v>21</v>
      </c>
      <c r="E1487" s="121"/>
      <c r="F1487" s="121"/>
      <c r="G1487" s="165">
        <v>0</v>
      </c>
      <c r="H1487" s="12">
        <f t="shared" si="88"/>
        <v>0</v>
      </c>
      <c r="I1487" s="3">
        <f t="shared" si="89"/>
        <v>0</v>
      </c>
      <c r="J1487" s="33">
        <f t="shared" si="90"/>
        <v>0</v>
      </c>
      <c r="K1487" s="33"/>
      <c r="L1487" s="3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  <c r="BR1487" s="13"/>
      <c r="BS1487" s="13"/>
      <c r="BT1487" s="13"/>
      <c r="BU1487" s="13"/>
      <c r="BV1487" s="13"/>
    </row>
    <row r="1488" spans="1:74" hidden="1">
      <c r="A1488" s="109">
        <v>1485</v>
      </c>
      <c r="B1488" s="225" t="s">
        <v>2976</v>
      </c>
      <c r="C1488" s="231" t="s">
        <v>2977</v>
      </c>
      <c r="D1488" s="121" t="s">
        <v>21</v>
      </c>
      <c r="E1488" s="121"/>
      <c r="F1488" s="121"/>
      <c r="G1488" s="165">
        <v>26</v>
      </c>
      <c r="H1488" s="12">
        <f t="shared" si="88"/>
        <v>0</v>
      </c>
      <c r="I1488" s="3">
        <f t="shared" si="89"/>
        <v>0</v>
      </c>
      <c r="J1488" s="33">
        <f t="shared" si="90"/>
        <v>26</v>
      </c>
      <c r="K1488" s="33"/>
      <c r="L1488" s="3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  <c r="BR1488" s="13"/>
      <c r="BS1488" s="13"/>
      <c r="BT1488" s="13"/>
      <c r="BU1488" s="13"/>
      <c r="BV1488" s="13"/>
    </row>
    <row r="1489" spans="1:74" hidden="1">
      <c r="A1489" s="109">
        <v>1486</v>
      </c>
      <c r="B1489" s="157" t="s">
        <v>2978</v>
      </c>
      <c r="C1489" s="231" t="s">
        <v>2979</v>
      </c>
      <c r="D1489" s="121" t="s">
        <v>21</v>
      </c>
      <c r="E1489" s="121"/>
      <c r="F1489" s="121"/>
      <c r="G1489" s="165">
        <v>0</v>
      </c>
      <c r="H1489" s="12">
        <f t="shared" si="88"/>
        <v>0</v>
      </c>
      <c r="I1489" s="3">
        <f t="shared" si="89"/>
        <v>0</v>
      </c>
      <c r="J1489" s="33">
        <f t="shared" si="90"/>
        <v>0</v>
      </c>
      <c r="K1489" s="33"/>
      <c r="L1489" s="3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/>
      <c r="BR1489" s="13"/>
      <c r="BS1489" s="13"/>
      <c r="BT1489" s="13"/>
      <c r="BU1489" s="13"/>
      <c r="BV1489" s="13"/>
    </row>
    <row r="1490" spans="1:74" hidden="1">
      <c r="A1490" s="109">
        <v>1487</v>
      </c>
      <c r="B1490" s="121" t="s">
        <v>2980</v>
      </c>
      <c r="C1490" s="135" t="s">
        <v>2981</v>
      </c>
      <c r="D1490" s="121" t="s">
        <v>21</v>
      </c>
      <c r="E1490" s="121"/>
      <c r="F1490" s="121"/>
      <c r="G1490" s="165">
        <v>0</v>
      </c>
      <c r="H1490" s="12">
        <f t="shared" si="88"/>
        <v>0</v>
      </c>
      <c r="I1490" s="3">
        <f t="shared" si="89"/>
        <v>0</v>
      </c>
      <c r="J1490" s="33">
        <f t="shared" si="90"/>
        <v>0</v>
      </c>
      <c r="K1490" s="33"/>
      <c r="L1490" s="3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/>
      <c r="BR1490" s="13"/>
      <c r="BS1490" s="13"/>
      <c r="BT1490" s="13"/>
      <c r="BU1490" s="13"/>
      <c r="BV1490" s="13"/>
    </row>
    <row r="1491" spans="1:74" hidden="1">
      <c r="A1491" s="109">
        <v>1488</v>
      </c>
      <c r="B1491" s="121" t="s">
        <v>2982</v>
      </c>
      <c r="C1491" s="135" t="s">
        <v>2983</v>
      </c>
      <c r="D1491" s="121" t="s">
        <v>21</v>
      </c>
      <c r="E1491" s="121"/>
      <c r="F1491" s="121"/>
      <c r="G1491" s="165">
        <v>10</v>
      </c>
      <c r="H1491" s="12">
        <f t="shared" si="88"/>
        <v>0</v>
      </c>
      <c r="I1491" s="3">
        <f t="shared" si="89"/>
        <v>0</v>
      </c>
      <c r="J1491" s="33">
        <f t="shared" si="90"/>
        <v>10</v>
      </c>
      <c r="K1491" s="33"/>
      <c r="L1491" s="3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</row>
    <row r="1492" spans="1:74" hidden="1">
      <c r="A1492" s="109">
        <v>1489</v>
      </c>
      <c r="B1492" s="232" t="s">
        <v>2984</v>
      </c>
      <c r="C1492" s="233" t="s">
        <v>2985</v>
      </c>
      <c r="D1492" s="121" t="s">
        <v>14</v>
      </c>
      <c r="E1492" s="255"/>
      <c r="F1492" s="255"/>
      <c r="G1492" s="234">
        <v>1</v>
      </c>
      <c r="H1492" s="12">
        <f t="shared" si="88"/>
        <v>0</v>
      </c>
      <c r="I1492" s="3">
        <f t="shared" si="89"/>
        <v>0</v>
      </c>
      <c r="J1492" s="33">
        <f t="shared" si="90"/>
        <v>1</v>
      </c>
      <c r="K1492" s="33"/>
      <c r="L1492" s="3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/>
      <c r="BS1492" s="13"/>
      <c r="BT1492" s="13"/>
      <c r="BU1492" s="13"/>
      <c r="BV1492" s="13"/>
    </row>
    <row r="1493" spans="1:74" hidden="1">
      <c r="A1493" s="109">
        <v>1490</v>
      </c>
      <c r="B1493" s="232" t="s">
        <v>2986</v>
      </c>
      <c r="C1493" s="233" t="s">
        <v>2987</v>
      </c>
      <c r="D1493" s="121" t="s">
        <v>14</v>
      </c>
      <c r="E1493" s="255"/>
      <c r="F1493" s="255"/>
      <c r="G1493" s="234">
        <v>1</v>
      </c>
      <c r="H1493" s="12">
        <f t="shared" si="88"/>
        <v>0</v>
      </c>
      <c r="I1493" s="3">
        <f t="shared" si="89"/>
        <v>0</v>
      </c>
      <c r="J1493" s="33">
        <f t="shared" si="90"/>
        <v>1</v>
      </c>
      <c r="K1493" s="33"/>
      <c r="L1493" s="3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  <c r="BR1493" s="13"/>
      <c r="BS1493" s="13"/>
      <c r="BT1493" s="13"/>
      <c r="BU1493" s="13"/>
      <c r="BV1493" s="13"/>
    </row>
    <row r="1494" spans="1:74" hidden="1">
      <c r="A1494" s="142">
        <v>1491</v>
      </c>
      <c r="B1494" s="307" t="s">
        <v>2988</v>
      </c>
      <c r="C1494" s="308" t="s">
        <v>2989</v>
      </c>
      <c r="D1494" s="267" t="s">
        <v>21</v>
      </c>
      <c r="E1494" s="160"/>
      <c r="F1494" s="160"/>
      <c r="G1494" s="220">
        <v>80</v>
      </c>
      <c r="H1494" s="12">
        <f t="shared" si="88"/>
        <v>0</v>
      </c>
      <c r="I1494" s="3">
        <f t="shared" si="89"/>
        <v>0</v>
      </c>
      <c r="J1494" s="33">
        <f t="shared" si="90"/>
        <v>80</v>
      </c>
      <c r="K1494" s="33"/>
      <c r="L1494" s="33"/>
      <c r="M1494" s="91"/>
      <c r="N1494" s="91"/>
      <c r="O1494" s="91"/>
      <c r="P1494" s="91"/>
      <c r="Q1494" s="91"/>
      <c r="R1494" s="91"/>
      <c r="S1494" s="91"/>
      <c r="T1494" s="91"/>
      <c r="U1494" s="91"/>
      <c r="V1494" s="91"/>
      <c r="W1494" s="91"/>
      <c r="X1494" s="91"/>
      <c r="Y1494" s="91"/>
      <c r="Z1494" s="91"/>
      <c r="AA1494" s="91"/>
      <c r="AB1494" s="91"/>
      <c r="AC1494" s="91"/>
      <c r="AD1494" s="91"/>
      <c r="AE1494" s="91"/>
      <c r="AF1494" s="91"/>
      <c r="AG1494" s="91"/>
      <c r="AH1494" s="91"/>
      <c r="AI1494" s="91"/>
      <c r="AJ1494" s="91"/>
      <c r="AK1494" s="91"/>
      <c r="AL1494" s="91"/>
      <c r="AM1494" s="91"/>
      <c r="AN1494" s="91"/>
      <c r="AO1494" s="91"/>
      <c r="AP1494" s="91"/>
      <c r="AQ1494" s="91"/>
      <c r="AR1494" s="91"/>
      <c r="AS1494" s="91"/>
      <c r="AT1494" s="91"/>
      <c r="AU1494" s="91"/>
      <c r="AV1494" s="91"/>
      <c r="AW1494" s="91"/>
      <c r="AX1494" s="91"/>
      <c r="AY1494" s="91"/>
      <c r="AZ1494" s="91"/>
      <c r="BA1494" s="91"/>
      <c r="BB1494" s="91"/>
      <c r="BC1494" s="91"/>
      <c r="BD1494" s="91"/>
      <c r="BE1494" s="91"/>
      <c r="BF1494" s="91"/>
      <c r="BG1494" s="91"/>
      <c r="BH1494" s="91"/>
      <c r="BI1494" s="91"/>
      <c r="BJ1494" s="91"/>
      <c r="BK1494" s="91"/>
      <c r="BL1494" s="91"/>
      <c r="BM1494" s="91"/>
      <c r="BN1494" s="91"/>
      <c r="BO1494" s="91"/>
      <c r="BP1494" s="91"/>
      <c r="BQ1494" s="91"/>
      <c r="BR1494" s="91"/>
      <c r="BS1494" s="91"/>
      <c r="BT1494" s="91"/>
      <c r="BU1494" s="91"/>
      <c r="BV1494" s="91"/>
    </row>
    <row r="1495" spans="1:74" hidden="1">
      <c r="A1495" s="109">
        <v>1492</v>
      </c>
      <c r="B1495" s="157" t="s">
        <v>2990</v>
      </c>
      <c r="C1495" s="233" t="s">
        <v>2991</v>
      </c>
      <c r="D1495" s="160" t="s">
        <v>14</v>
      </c>
      <c r="E1495" s="160"/>
      <c r="F1495" s="160"/>
      <c r="G1495" s="220">
        <v>60</v>
      </c>
      <c r="H1495" s="12">
        <f t="shared" si="88"/>
        <v>0</v>
      </c>
      <c r="I1495" s="3">
        <f t="shared" si="89"/>
        <v>0</v>
      </c>
      <c r="J1495" s="33">
        <f t="shared" si="90"/>
        <v>60</v>
      </c>
      <c r="K1495" s="33"/>
      <c r="L1495" s="33"/>
      <c r="M1495" s="91"/>
      <c r="N1495" s="91"/>
      <c r="O1495" s="91"/>
      <c r="P1495" s="91"/>
      <c r="Q1495" s="91"/>
      <c r="R1495" s="91"/>
      <c r="S1495" s="91"/>
      <c r="T1495" s="91"/>
      <c r="U1495" s="91"/>
      <c r="V1495" s="91"/>
      <c r="W1495" s="91"/>
      <c r="X1495" s="91"/>
      <c r="Y1495" s="91"/>
      <c r="Z1495" s="91"/>
      <c r="AA1495" s="91"/>
      <c r="AB1495" s="91"/>
      <c r="AC1495" s="91"/>
      <c r="AD1495" s="91"/>
      <c r="AE1495" s="91"/>
      <c r="AF1495" s="91"/>
      <c r="AG1495" s="91"/>
      <c r="AH1495" s="91"/>
      <c r="AI1495" s="91"/>
      <c r="AJ1495" s="91"/>
      <c r="AK1495" s="91"/>
      <c r="AL1495" s="91"/>
      <c r="AM1495" s="91"/>
      <c r="AN1495" s="91"/>
      <c r="AO1495" s="91"/>
      <c r="AP1495" s="91"/>
      <c r="AQ1495" s="91"/>
      <c r="AR1495" s="91"/>
      <c r="AS1495" s="91"/>
      <c r="AT1495" s="91"/>
      <c r="AU1495" s="91"/>
      <c r="AV1495" s="91"/>
      <c r="AW1495" s="91"/>
      <c r="AX1495" s="91"/>
      <c r="AY1495" s="91"/>
      <c r="AZ1495" s="91"/>
      <c r="BA1495" s="91"/>
      <c r="BB1495" s="91"/>
      <c r="BC1495" s="91"/>
      <c r="BD1495" s="91"/>
      <c r="BE1495" s="91"/>
      <c r="BF1495" s="91"/>
      <c r="BG1495" s="91"/>
      <c r="BH1495" s="91"/>
      <c r="BI1495" s="91"/>
      <c r="BJ1495" s="91"/>
      <c r="BK1495" s="91"/>
      <c r="BL1495" s="91"/>
      <c r="BM1495" s="91"/>
      <c r="BN1495" s="91"/>
      <c r="BO1495" s="91"/>
      <c r="BP1495" s="91"/>
      <c r="BQ1495" s="91"/>
      <c r="BR1495" s="91"/>
      <c r="BS1495" s="91"/>
      <c r="BT1495" s="91"/>
      <c r="BU1495" s="91"/>
      <c r="BV1495" s="91"/>
    </row>
    <row r="1496" spans="1:74" hidden="1">
      <c r="A1496" s="109">
        <v>1493</v>
      </c>
      <c r="B1496" s="157" t="s">
        <v>2992</v>
      </c>
      <c r="C1496" s="233" t="s">
        <v>2993</v>
      </c>
      <c r="D1496" s="160" t="s">
        <v>14</v>
      </c>
      <c r="E1496" s="160"/>
      <c r="F1496" s="160"/>
      <c r="G1496" s="220">
        <v>30</v>
      </c>
      <c r="H1496" s="12">
        <f t="shared" si="88"/>
        <v>0</v>
      </c>
      <c r="I1496" s="3">
        <f t="shared" si="89"/>
        <v>0</v>
      </c>
      <c r="J1496" s="33">
        <f t="shared" si="90"/>
        <v>30</v>
      </c>
      <c r="K1496" s="33"/>
      <c r="L1496" s="33"/>
      <c r="M1496" s="91"/>
      <c r="N1496" s="91"/>
      <c r="O1496" s="91"/>
      <c r="P1496" s="91"/>
      <c r="Q1496" s="91"/>
      <c r="R1496" s="91"/>
      <c r="S1496" s="91"/>
      <c r="T1496" s="91"/>
      <c r="U1496" s="91"/>
      <c r="V1496" s="91"/>
      <c r="W1496" s="91"/>
      <c r="X1496" s="91"/>
      <c r="Y1496" s="91"/>
      <c r="Z1496" s="91"/>
      <c r="AA1496" s="91"/>
      <c r="AB1496" s="91"/>
      <c r="AC1496" s="91"/>
      <c r="AD1496" s="91"/>
      <c r="AE1496" s="91"/>
      <c r="AF1496" s="91"/>
      <c r="AG1496" s="91"/>
      <c r="AH1496" s="91"/>
      <c r="AI1496" s="91"/>
      <c r="AJ1496" s="91"/>
      <c r="AK1496" s="91"/>
      <c r="AL1496" s="91"/>
      <c r="AM1496" s="91"/>
      <c r="AN1496" s="91"/>
      <c r="AO1496" s="91"/>
      <c r="AP1496" s="91"/>
      <c r="AQ1496" s="91"/>
      <c r="AR1496" s="91"/>
      <c r="AS1496" s="91"/>
      <c r="AT1496" s="91"/>
      <c r="AU1496" s="91"/>
      <c r="AV1496" s="91"/>
      <c r="AW1496" s="91"/>
      <c r="AX1496" s="91"/>
      <c r="AY1496" s="91"/>
      <c r="AZ1496" s="91"/>
      <c r="BA1496" s="91"/>
      <c r="BB1496" s="91"/>
      <c r="BC1496" s="91"/>
      <c r="BD1496" s="91"/>
      <c r="BE1496" s="91"/>
      <c r="BF1496" s="91"/>
      <c r="BG1496" s="91"/>
      <c r="BH1496" s="91"/>
      <c r="BI1496" s="91"/>
      <c r="BJ1496" s="91"/>
      <c r="BK1496" s="91"/>
      <c r="BL1496" s="91"/>
      <c r="BM1496" s="91"/>
      <c r="BN1496" s="91"/>
      <c r="BO1496" s="91"/>
      <c r="BP1496" s="91"/>
      <c r="BQ1496" s="91"/>
      <c r="BR1496" s="91"/>
      <c r="BS1496" s="91"/>
      <c r="BT1496" s="91"/>
      <c r="BU1496" s="91"/>
      <c r="BV1496" s="91"/>
    </row>
    <row r="1497" spans="1:74" hidden="1">
      <c r="A1497" s="109">
        <v>1494</v>
      </c>
      <c r="B1497" s="225" t="s">
        <v>2994</v>
      </c>
      <c r="C1497" s="233" t="s">
        <v>2995</v>
      </c>
      <c r="D1497" s="160" t="s">
        <v>14</v>
      </c>
      <c r="E1497" s="160"/>
      <c r="F1497" s="160"/>
      <c r="G1497" s="220">
        <v>10</v>
      </c>
      <c r="H1497" s="12">
        <f t="shared" si="88"/>
        <v>0</v>
      </c>
      <c r="I1497" s="3">
        <f t="shared" si="89"/>
        <v>0</v>
      </c>
      <c r="J1497" s="33">
        <f t="shared" si="90"/>
        <v>10</v>
      </c>
      <c r="K1497" s="33"/>
      <c r="L1497" s="33"/>
      <c r="M1497" s="91"/>
      <c r="N1497" s="91"/>
      <c r="O1497" s="91"/>
      <c r="P1497" s="91"/>
      <c r="Q1497" s="91"/>
      <c r="R1497" s="91"/>
      <c r="S1497" s="91"/>
      <c r="T1497" s="91"/>
      <c r="U1497" s="91"/>
      <c r="V1497" s="91"/>
      <c r="W1497" s="91"/>
      <c r="X1497" s="91"/>
      <c r="Y1497" s="91"/>
      <c r="Z1497" s="91"/>
      <c r="AA1497" s="91"/>
      <c r="AB1497" s="91"/>
      <c r="AC1497" s="91"/>
      <c r="AD1497" s="91"/>
      <c r="AE1497" s="91"/>
      <c r="AF1497" s="91"/>
      <c r="AG1497" s="91"/>
      <c r="AH1497" s="91"/>
      <c r="AI1497" s="91"/>
      <c r="AJ1497" s="91"/>
      <c r="AK1497" s="91"/>
      <c r="AL1497" s="91"/>
      <c r="AM1497" s="91"/>
      <c r="AN1497" s="91"/>
      <c r="AO1497" s="91"/>
      <c r="AP1497" s="91"/>
      <c r="AQ1497" s="91"/>
      <c r="AR1497" s="91"/>
      <c r="AS1497" s="91"/>
      <c r="AT1497" s="91"/>
      <c r="AU1497" s="91"/>
      <c r="AV1497" s="91"/>
      <c r="AW1497" s="91"/>
      <c r="AX1497" s="91"/>
      <c r="AY1497" s="91"/>
      <c r="AZ1497" s="91"/>
      <c r="BA1497" s="91"/>
      <c r="BB1497" s="91"/>
      <c r="BC1497" s="91"/>
      <c r="BD1497" s="91"/>
      <c r="BE1497" s="91"/>
      <c r="BF1497" s="91"/>
      <c r="BG1497" s="91"/>
      <c r="BH1497" s="91"/>
      <c r="BI1497" s="91"/>
      <c r="BJ1497" s="91"/>
      <c r="BK1497" s="91"/>
      <c r="BL1497" s="91"/>
      <c r="BM1497" s="91"/>
      <c r="BN1497" s="91"/>
      <c r="BO1497" s="91"/>
      <c r="BP1497" s="91"/>
      <c r="BQ1497" s="91"/>
      <c r="BR1497" s="91"/>
      <c r="BS1497" s="91"/>
      <c r="BT1497" s="91"/>
      <c r="BU1497" s="91"/>
      <c r="BV1497" s="91"/>
    </row>
    <row r="1498" spans="1:74" hidden="1">
      <c r="A1498" s="109">
        <v>1495</v>
      </c>
      <c r="B1498" s="225" t="s">
        <v>2996</v>
      </c>
      <c r="C1498" s="233" t="s">
        <v>2997</v>
      </c>
      <c r="D1498" s="160" t="s">
        <v>14</v>
      </c>
      <c r="E1498" s="160"/>
      <c r="F1498" s="160"/>
      <c r="G1498" s="220">
        <v>32</v>
      </c>
      <c r="H1498" s="12">
        <f t="shared" si="88"/>
        <v>0</v>
      </c>
      <c r="I1498" s="3">
        <f t="shared" si="89"/>
        <v>0</v>
      </c>
      <c r="J1498" s="33">
        <f t="shared" si="90"/>
        <v>32</v>
      </c>
      <c r="K1498" s="33"/>
      <c r="L1498" s="33"/>
      <c r="M1498" s="91"/>
      <c r="N1498" s="91"/>
      <c r="O1498" s="91"/>
      <c r="P1498" s="91"/>
      <c r="Q1498" s="91"/>
      <c r="R1498" s="91"/>
      <c r="S1498" s="91"/>
      <c r="T1498" s="91"/>
      <c r="U1498" s="91"/>
      <c r="V1498" s="91"/>
      <c r="W1498" s="91"/>
      <c r="X1498" s="91"/>
      <c r="Y1498" s="91"/>
      <c r="Z1498" s="91"/>
      <c r="AA1498" s="91"/>
      <c r="AB1498" s="91"/>
      <c r="AC1498" s="91"/>
      <c r="AD1498" s="91"/>
      <c r="AE1498" s="91"/>
      <c r="AF1498" s="91"/>
      <c r="AG1498" s="91"/>
      <c r="AH1498" s="91"/>
      <c r="AI1498" s="91"/>
      <c r="AJ1498" s="91"/>
      <c r="AK1498" s="91"/>
      <c r="AL1498" s="91"/>
      <c r="AM1498" s="91"/>
      <c r="AN1498" s="91"/>
      <c r="AO1498" s="91"/>
      <c r="AP1498" s="91"/>
      <c r="AQ1498" s="91"/>
      <c r="AR1498" s="91"/>
      <c r="AS1498" s="91"/>
      <c r="AT1498" s="91"/>
      <c r="AU1498" s="91"/>
      <c r="AV1498" s="91"/>
      <c r="AW1498" s="91"/>
      <c r="AX1498" s="91"/>
      <c r="AY1498" s="91"/>
      <c r="AZ1498" s="91"/>
      <c r="BA1498" s="91"/>
      <c r="BB1498" s="91"/>
      <c r="BC1498" s="91"/>
      <c r="BD1498" s="91"/>
      <c r="BE1498" s="91"/>
      <c r="BF1498" s="91"/>
      <c r="BG1498" s="91"/>
      <c r="BH1498" s="91"/>
      <c r="BI1498" s="91"/>
      <c r="BJ1498" s="91"/>
      <c r="BK1498" s="91"/>
      <c r="BL1498" s="91"/>
      <c r="BM1498" s="91"/>
      <c r="BN1498" s="91"/>
      <c r="BO1498" s="91"/>
      <c r="BP1498" s="91"/>
      <c r="BQ1498" s="91"/>
      <c r="BR1498" s="91"/>
      <c r="BS1498" s="91"/>
      <c r="BT1498" s="91"/>
      <c r="BU1498" s="91"/>
      <c r="BV1498" s="91"/>
    </row>
    <row r="1499" spans="1:74" hidden="1">
      <c r="A1499" s="109">
        <v>1496</v>
      </c>
      <c r="B1499" s="160" t="s">
        <v>2998</v>
      </c>
      <c r="C1499" s="192" t="s">
        <v>2999</v>
      </c>
      <c r="D1499" s="160" t="s">
        <v>21</v>
      </c>
      <c r="E1499" s="160"/>
      <c r="F1499" s="160"/>
      <c r="G1499" s="220">
        <v>0</v>
      </c>
      <c r="H1499" s="12">
        <f t="shared" ref="H1499:H1528" si="91">SUM(M1499+O1499+Q1499+S1499+U1499+W1499+Y1499+AA1499+AC1499+AE1499+AG1499+AI1499+AK1499+AM1499+AO1499+AQ1499+AS1499+AU1499+AW1499+AY1499+BA1499+BC1499+BE1499+BG1499+BI1499+BK1499+BM1499+BO1499+BQ1499+BS1499+BU1499)</f>
        <v>0</v>
      </c>
      <c r="I1499" s="3">
        <f t="shared" ref="I1499:I1528" si="92">SUM(N1499+P1499+R1499+T1499+V1499+X1499+Z1499+AB1499+AD1499+AF1499+AH1499+AJ1499+AL1499+AN1499+AP1499+AR1499+AT1499+AV1499+AX1499+AZ1499+BB1499+BD1499+BF1499+BH1499+BJ1499+BL1499+BN1499+BP1499+BR1499+BT1499+BV1499)</f>
        <v>0</v>
      </c>
      <c r="J1499" s="33">
        <f t="shared" ref="J1499:J1528" si="93">G1499+H1499-I1499</f>
        <v>0</v>
      </c>
      <c r="K1499" s="33"/>
      <c r="L1499" s="33"/>
      <c r="M1499" s="91"/>
      <c r="N1499" s="91"/>
      <c r="O1499" s="91"/>
      <c r="P1499" s="91"/>
      <c r="Q1499" s="91"/>
      <c r="R1499" s="91"/>
      <c r="S1499" s="91"/>
      <c r="T1499" s="91"/>
      <c r="U1499" s="91"/>
      <c r="V1499" s="91"/>
      <c r="W1499" s="91"/>
      <c r="X1499" s="91"/>
      <c r="Y1499" s="91"/>
      <c r="Z1499" s="91"/>
      <c r="AA1499" s="91"/>
      <c r="AB1499" s="91"/>
      <c r="AC1499" s="91"/>
      <c r="AD1499" s="91"/>
      <c r="AE1499" s="91"/>
      <c r="AF1499" s="91"/>
      <c r="AG1499" s="91"/>
      <c r="AH1499" s="91"/>
      <c r="AI1499" s="91"/>
      <c r="AJ1499" s="91"/>
      <c r="AK1499" s="91"/>
      <c r="AL1499" s="91"/>
      <c r="AM1499" s="91"/>
      <c r="AN1499" s="91"/>
      <c r="AO1499" s="91"/>
      <c r="AP1499" s="91"/>
      <c r="AQ1499" s="91"/>
      <c r="AR1499" s="91"/>
      <c r="AS1499" s="91"/>
      <c r="AT1499" s="91"/>
      <c r="AU1499" s="91"/>
      <c r="AV1499" s="91"/>
      <c r="AW1499" s="91"/>
      <c r="AX1499" s="91"/>
      <c r="AY1499" s="91"/>
      <c r="AZ1499" s="91"/>
      <c r="BA1499" s="91"/>
      <c r="BB1499" s="91"/>
      <c r="BC1499" s="91"/>
      <c r="BD1499" s="91"/>
      <c r="BE1499" s="91"/>
      <c r="BF1499" s="91"/>
      <c r="BG1499" s="91"/>
      <c r="BH1499" s="91"/>
      <c r="BI1499" s="91"/>
      <c r="BJ1499" s="91"/>
      <c r="BK1499" s="91"/>
      <c r="BL1499" s="91"/>
      <c r="BM1499" s="91"/>
      <c r="BN1499" s="91"/>
      <c r="BO1499" s="91"/>
      <c r="BP1499" s="91"/>
      <c r="BQ1499" s="91"/>
      <c r="BR1499" s="91"/>
      <c r="BS1499" s="91"/>
      <c r="BT1499" s="91"/>
      <c r="BU1499" s="91"/>
      <c r="BV1499" s="91"/>
    </row>
    <row r="1500" spans="1:74" hidden="1">
      <c r="A1500" s="109">
        <v>1497</v>
      </c>
      <c r="B1500" s="160" t="s">
        <v>3000</v>
      </c>
      <c r="C1500" s="192" t="s">
        <v>3001</v>
      </c>
      <c r="D1500" s="160" t="s">
        <v>21</v>
      </c>
      <c r="E1500" s="160"/>
      <c r="F1500" s="160"/>
      <c r="G1500" s="220">
        <v>0</v>
      </c>
      <c r="H1500" s="12">
        <f t="shared" si="91"/>
        <v>0</v>
      </c>
      <c r="I1500" s="3">
        <f t="shared" si="92"/>
        <v>0</v>
      </c>
      <c r="J1500" s="33">
        <f t="shared" si="93"/>
        <v>0</v>
      </c>
      <c r="K1500" s="33"/>
      <c r="L1500" s="33"/>
      <c r="M1500" s="91"/>
      <c r="N1500" s="91"/>
      <c r="O1500" s="91"/>
      <c r="P1500" s="91"/>
      <c r="Q1500" s="91"/>
      <c r="R1500" s="91"/>
      <c r="S1500" s="91"/>
      <c r="T1500" s="91"/>
      <c r="U1500" s="91"/>
      <c r="V1500" s="91"/>
      <c r="W1500" s="91"/>
      <c r="X1500" s="91"/>
      <c r="Y1500" s="91"/>
      <c r="Z1500" s="91"/>
      <c r="AA1500" s="91"/>
      <c r="AB1500" s="91"/>
      <c r="AC1500" s="91"/>
      <c r="AD1500" s="91"/>
      <c r="AE1500" s="91"/>
      <c r="AF1500" s="91"/>
      <c r="AG1500" s="91"/>
      <c r="AH1500" s="91"/>
      <c r="AI1500" s="91"/>
      <c r="AJ1500" s="91"/>
      <c r="AK1500" s="91"/>
      <c r="AL1500" s="91"/>
      <c r="AM1500" s="91"/>
      <c r="AN1500" s="91"/>
      <c r="AO1500" s="91"/>
      <c r="AP1500" s="91"/>
      <c r="AQ1500" s="91"/>
      <c r="AR1500" s="91"/>
      <c r="AS1500" s="91"/>
      <c r="AT1500" s="91"/>
      <c r="AU1500" s="91"/>
      <c r="AV1500" s="91"/>
      <c r="AW1500" s="91"/>
      <c r="AX1500" s="91"/>
      <c r="AY1500" s="91"/>
      <c r="AZ1500" s="91"/>
      <c r="BA1500" s="91"/>
      <c r="BB1500" s="91"/>
      <c r="BC1500" s="91"/>
      <c r="BD1500" s="91"/>
      <c r="BE1500" s="91"/>
      <c r="BF1500" s="91"/>
      <c r="BG1500" s="91"/>
      <c r="BH1500" s="91"/>
      <c r="BI1500" s="91"/>
      <c r="BJ1500" s="91"/>
      <c r="BK1500" s="91"/>
      <c r="BL1500" s="91"/>
      <c r="BM1500" s="91"/>
      <c r="BN1500" s="91"/>
      <c r="BO1500" s="91"/>
      <c r="BP1500" s="91"/>
      <c r="BQ1500" s="91"/>
      <c r="BR1500" s="91"/>
      <c r="BS1500" s="91"/>
      <c r="BT1500" s="91"/>
      <c r="BU1500" s="91"/>
      <c r="BV1500" s="91"/>
    </row>
    <row r="1501" spans="1:74" hidden="1">
      <c r="A1501" s="142">
        <v>1498</v>
      </c>
      <c r="B1501" s="267" t="s">
        <v>3002</v>
      </c>
      <c r="C1501" s="321" t="s">
        <v>3003</v>
      </c>
      <c r="D1501" s="267" t="s">
        <v>21</v>
      </c>
      <c r="E1501" s="160"/>
      <c r="F1501" s="160"/>
      <c r="G1501" s="220">
        <v>2</v>
      </c>
      <c r="H1501" s="12">
        <f t="shared" si="91"/>
        <v>0</v>
      </c>
      <c r="I1501" s="3">
        <f t="shared" si="92"/>
        <v>0</v>
      </c>
      <c r="J1501" s="33">
        <f t="shared" si="93"/>
        <v>2</v>
      </c>
      <c r="K1501" s="33"/>
      <c r="L1501" s="33"/>
      <c r="M1501" s="91"/>
      <c r="N1501" s="91"/>
      <c r="O1501" s="91"/>
      <c r="P1501" s="91"/>
      <c r="Q1501" s="91"/>
      <c r="R1501" s="91"/>
      <c r="S1501" s="91"/>
      <c r="T1501" s="91"/>
      <c r="U1501" s="91"/>
      <c r="V1501" s="91"/>
      <c r="W1501" s="91"/>
      <c r="X1501" s="91"/>
      <c r="Y1501" s="91"/>
      <c r="Z1501" s="91"/>
      <c r="AA1501" s="91"/>
      <c r="AB1501" s="91"/>
      <c r="AC1501" s="91"/>
      <c r="AD1501" s="91"/>
      <c r="AE1501" s="91"/>
      <c r="AF1501" s="91"/>
      <c r="AG1501" s="91"/>
      <c r="AH1501" s="91"/>
      <c r="AI1501" s="91"/>
      <c r="AJ1501" s="91"/>
      <c r="AK1501" s="91"/>
      <c r="AL1501" s="91"/>
      <c r="AM1501" s="91"/>
      <c r="AN1501" s="91"/>
      <c r="AO1501" s="91"/>
      <c r="AP1501" s="91"/>
      <c r="AQ1501" s="91"/>
      <c r="AR1501" s="91"/>
      <c r="AS1501" s="91"/>
      <c r="AT1501" s="91"/>
      <c r="AU1501" s="91"/>
      <c r="AV1501" s="91"/>
      <c r="AW1501" s="91"/>
      <c r="AX1501" s="91"/>
      <c r="AY1501" s="91"/>
      <c r="AZ1501" s="91"/>
      <c r="BA1501" s="91"/>
      <c r="BB1501" s="91"/>
      <c r="BC1501" s="91"/>
      <c r="BD1501" s="91"/>
      <c r="BE1501" s="91"/>
      <c r="BF1501" s="91"/>
      <c r="BG1501" s="91"/>
      <c r="BH1501" s="91"/>
      <c r="BI1501" s="91"/>
      <c r="BJ1501" s="91"/>
      <c r="BK1501" s="91"/>
      <c r="BL1501" s="91"/>
      <c r="BM1501" s="91"/>
      <c r="BN1501" s="91"/>
      <c r="BO1501" s="91"/>
      <c r="BP1501" s="91"/>
      <c r="BQ1501" s="91"/>
      <c r="BR1501" s="91"/>
      <c r="BS1501" s="91"/>
      <c r="BT1501" s="91"/>
      <c r="BU1501" s="91"/>
      <c r="BV1501" s="91"/>
    </row>
    <row r="1502" spans="1:74" hidden="1">
      <c r="A1502" s="109">
        <v>1499</v>
      </c>
      <c r="B1502" s="160" t="s">
        <v>3004</v>
      </c>
      <c r="C1502" s="192" t="s">
        <v>3005</v>
      </c>
      <c r="D1502" s="160" t="s">
        <v>21</v>
      </c>
      <c r="E1502" s="160"/>
      <c r="F1502" s="160"/>
      <c r="G1502" s="220">
        <v>0</v>
      </c>
      <c r="H1502" s="12">
        <f t="shared" si="91"/>
        <v>0</v>
      </c>
      <c r="I1502" s="3">
        <f t="shared" si="92"/>
        <v>0</v>
      </c>
      <c r="J1502" s="33">
        <f t="shared" si="93"/>
        <v>0</v>
      </c>
      <c r="K1502" s="33"/>
      <c r="L1502" s="33"/>
      <c r="M1502" s="91"/>
      <c r="N1502" s="91"/>
      <c r="O1502" s="91"/>
      <c r="P1502" s="91"/>
      <c r="Q1502" s="91"/>
      <c r="R1502" s="91"/>
      <c r="S1502" s="91"/>
      <c r="T1502" s="91"/>
      <c r="U1502" s="91"/>
      <c r="V1502" s="91"/>
      <c r="W1502" s="91"/>
      <c r="X1502" s="91"/>
      <c r="Y1502" s="91"/>
      <c r="Z1502" s="91"/>
      <c r="AA1502" s="91"/>
      <c r="AB1502" s="91"/>
      <c r="AC1502" s="91"/>
      <c r="AD1502" s="91"/>
      <c r="AE1502" s="91"/>
      <c r="AF1502" s="91"/>
      <c r="AG1502" s="91"/>
      <c r="AH1502" s="91"/>
      <c r="AI1502" s="91"/>
      <c r="AJ1502" s="91"/>
      <c r="AK1502" s="91"/>
      <c r="AL1502" s="91"/>
      <c r="AM1502" s="91"/>
      <c r="AN1502" s="91"/>
      <c r="AO1502" s="91"/>
      <c r="AP1502" s="91"/>
      <c r="AQ1502" s="91"/>
      <c r="AR1502" s="91"/>
      <c r="AS1502" s="91"/>
      <c r="AT1502" s="91"/>
      <c r="AU1502" s="91"/>
      <c r="AV1502" s="91"/>
      <c r="AW1502" s="91"/>
      <c r="AX1502" s="91"/>
      <c r="AY1502" s="91"/>
      <c r="AZ1502" s="91"/>
      <c r="BA1502" s="91"/>
      <c r="BB1502" s="91"/>
      <c r="BC1502" s="91"/>
      <c r="BD1502" s="91"/>
      <c r="BE1502" s="91"/>
      <c r="BF1502" s="91"/>
      <c r="BG1502" s="91"/>
      <c r="BH1502" s="91"/>
      <c r="BI1502" s="91"/>
      <c r="BJ1502" s="91"/>
      <c r="BK1502" s="91"/>
      <c r="BL1502" s="91"/>
      <c r="BM1502" s="91"/>
      <c r="BN1502" s="91"/>
      <c r="BO1502" s="91"/>
      <c r="BP1502" s="91"/>
      <c r="BQ1502" s="91"/>
      <c r="BR1502" s="91"/>
      <c r="BS1502" s="91"/>
      <c r="BT1502" s="91"/>
      <c r="BU1502" s="91"/>
      <c r="BV1502" s="91"/>
    </row>
    <row r="1503" spans="1:74" hidden="1">
      <c r="A1503" s="109">
        <v>1500</v>
      </c>
      <c r="B1503" s="160" t="s">
        <v>3006</v>
      </c>
      <c r="C1503" s="192" t="s">
        <v>3007</v>
      </c>
      <c r="D1503" s="160" t="s">
        <v>14</v>
      </c>
      <c r="E1503" s="160"/>
      <c r="F1503" s="160"/>
      <c r="G1503" s="220">
        <v>1</v>
      </c>
      <c r="H1503" s="12">
        <f t="shared" si="91"/>
        <v>0</v>
      </c>
      <c r="I1503" s="3">
        <f t="shared" si="92"/>
        <v>0</v>
      </c>
      <c r="J1503" s="33">
        <f t="shared" si="93"/>
        <v>1</v>
      </c>
      <c r="K1503" s="33"/>
      <c r="L1503" s="33"/>
      <c r="M1503" s="91"/>
      <c r="N1503" s="91"/>
      <c r="O1503" s="91"/>
      <c r="P1503" s="91"/>
      <c r="Q1503" s="91"/>
      <c r="R1503" s="91"/>
      <c r="S1503" s="91"/>
      <c r="T1503" s="91"/>
      <c r="U1503" s="91"/>
      <c r="V1503" s="91"/>
      <c r="W1503" s="91"/>
      <c r="X1503" s="91"/>
      <c r="Y1503" s="91"/>
      <c r="Z1503" s="91"/>
      <c r="AA1503" s="91"/>
      <c r="AB1503" s="91"/>
      <c r="AC1503" s="91"/>
      <c r="AD1503" s="91"/>
      <c r="AE1503" s="91"/>
      <c r="AF1503" s="91"/>
      <c r="AG1503" s="91"/>
      <c r="AH1503" s="91"/>
      <c r="AI1503" s="91"/>
      <c r="AJ1503" s="91"/>
      <c r="AK1503" s="91"/>
      <c r="AL1503" s="91"/>
      <c r="AM1503" s="91"/>
      <c r="AN1503" s="91"/>
      <c r="AO1503" s="91"/>
      <c r="AP1503" s="91"/>
      <c r="AQ1503" s="91"/>
      <c r="AR1503" s="91"/>
      <c r="AS1503" s="91"/>
      <c r="AT1503" s="91"/>
      <c r="AU1503" s="91"/>
      <c r="AV1503" s="91"/>
      <c r="AW1503" s="91"/>
      <c r="AX1503" s="91"/>
      <c r="AY1503" s="91"/>
      <c r="AZ1503" s="91"/>
      <c r="BA1503" s="91"/>
      <c r="BB1503" s="91"/>
      <c r="BC1503" s="91"/>
      <c r="BD1503" s="91"/>
      <c r="BE1503" s="91"/>
      <c r="BF1503" s="91"/>
      <c r="BG1503" s="91"/>
      <c r="BH1503" s="91"/>
      <c r="BI1503" s="91"/>
      <c r="BJ1503" s="91"/>
      <c r="BK1503" s="91"/>
      <c r="BL1503" s="91"/>
      <c r="BM1503" s="91"/>
      <c r="BN1503" s="91"/>
      <c r="BO1503" s="91"/>
      <c r="BP1503" s="91"/>
      <c r="BQ1503" s="91"/>
      <c r="BR1503" s="91"/>
      <c r="BS1503" s="91"/>
      <c r="BT1503" s="91"/>
      <c r="BU1503" s="91"/>
      <c r="BV1503" s="91"/>
    </row>
    <row r="1504" spans="1:74" hidden="1">
      <c r="A1504" s="109">
        <v>1501</v>
      </c>
      <c r="B1504" s="160" t="s">
        <v>3008</v>
      </c>
      <c r="C1504" s="192" t="s">
        <v>3009</v>
      </c>
      <c r="D1504" s="160" t="s">
        <v>14</v>
      </c>
      <c r="E1504" s="160"/>
      <c r="F1504" s="160"/>
      <c r="G1504" s="220">
        <v>0</v>
      </c>
      <c r="H1504" s="12">
        <f t="shared" si="91"/>
        <v>0</v>
      </c>
      <c r="I1504" s="3">
        <f t="shared" si="92"/>
        <v>0</v>
      </c>
      <c r="J1504" s="33">
        <f t="shared" si="93"/>
        <v>0</v>
      </c>
      <c r="K1504" s="33"/>
      <c r="L1504" s="33"/>
      <c r="M1504" s="91"/>
      <c r="N1504" s="91"/>
      <c r="O1504" s="91"/>
      <c r="P1504" s="91"/>
      <c r="Q1504" s="91"/>
      <c r="R1504" s="91"/>
      <c r="S1504" s="91"/>
      <c r="T1504" s="91"/>
      <c r="U1504" s="91"/>
      <c r="V1504" s="91"/>
      <c r="W1504" s="91"/>
      <c r="X1504" s="91"/>
      <c r="Y1504" s="91"/>
      <c r="Z1504" s="91"/>
      <c r="AA1504" s="91"/>
      <c r="AB1504" s="91"/>
      <c r="AC1504" s="91"/>
      <c r="AD1504" s="91"/>
      <c r="AE1504" s="91"/>
      <c r="AF1504" s="91"/>
      <c r="AG1504" s="91"/>
      <c r="AH1504" s="91"/>
      <c r="AI1504" s="91"/>
      <c r="AJ1504" s="91"/>
      <c r="AK1504" s="91"/>
      <c r="AL1504" s="91"/>
      <c r="AM1504" s="91"/>
      <c r="AN1504" s="91"/>
      <c r="AO1504" s="91"/>
      <c r="AP1504" s="91"/>
      <c r="AQ1504" s="91"/>
      <c r="AR1504" s="91"/>
      <c r="AS1504" s="91"/>
      <c r="AT1504" s="91"/>
      <c r="AU1504" s="91"/>
      <c r="AV1504" s="91"/>
      <c r="AW1504" s="91"/>
      <c r="AX1504" s="91"/>
      <c r="AY1504" s="91"/>
      <c r="AZ1504" s="91"/>
      <c r="BA1504" s="91"/>
      <c r="BB1504" s="91"/>
      <c r="BC1504" s="91"/>
      <c r="BD1504" s="91"/>
      <c r="BE1504" s="91"/>
      <c r="BF1504" s="91"/>
      <c r="BG1504" s="91"/>
      <c r="BH1504" s="91"/>
      <c r="BI1504" s="91"/>
      <c r="BJ1504" s="91"/>
      <c r="BK1504" s="91"/>
      <c r="BL1504" s="91"/>
      <c r="BM1504" s="91"/>
      <c r="BN1504" s="91"/>
      <c r="BO1504" s="91"/>
      <c r="BP1504" s="91"/>
      <c r="BQ1504" s="91"/>
      <c r="BR1504" s="91"/>
      <c r="BS1504" s="91"/>
      <c r="BT1504" s="91"/>
      <c r="BU1504" s="91"/>
      <c r="BV1504" s="91"/>
    </row>
    <row r="1505" spans="1:74" hidden="1">
      <c r="A1505" s="109">
        <v>1502</v>
      </c>
      <c r="B1505" s="160" t="s">
        <v>3010</v>
      </c>
      <c r="C1505" s="192" t="s">
        <v>3011</v>
      </c>
      <c r="D1505" s="160" t="s">
        <v>21</v>
      </c>
      <c r="E1505" s="160"/>
      <c r="F1505" s="160"/>
      <c r="G1505" s="220">
        <v>52</v>
      </c>
      <c r="H1505" s="12">
        <f t="shared" si="91"/>
        <v>0</v>
      </c>
      <c r="I1505" s="3">
        <f t="shared" si="92"/>
        <v>0</v>
      </c>
      <c r="J1505" s="33">
        <f t="shared" si="93"/>
        <v>52</v>
      </c>
      <c r="K1505" s="33"/>
      <c r="L1505" s="33"/>
      <c r="M1505" s="91"/>
      <c r="N1505" s="91"/>
      <c r="O1505" s="91"/>
      <c r="P1505" s="91"/>
      <c r="Q1505" s="91"/>
      <c r="R1505" s="91"/>
      <c r="S1505" s="91"/>
      <c r="T1505" s="91"/>
      <c r="U1505" s="91"/>
      <c r="V1505" s="91"/>
      <c r="W1505" s="91"/>
      <c r="X1505" s="91"/>
      <c r="Y1505" s="91"/>
      <c r="Z1505" s="91"/>
      <c r="AA1505" s="91"/>
      <c r="AB1505" s="91"/>
      <c r="AC1505" s="91"/>
      <c r="AD1505" s="91"/>
      <c r="AE1505" s="91"/>
      <c r="AF1505" s="91"/>
      <c r="AG1505" s="91"/>
      <c r="AH1505" s="91"/>
      <c r="AI1505" s="91"/>
      <c r="AJ1505" s="91"/>
      <c r="AK1505" s="91"/>
      <c r="AL1505" s="91"/>
      <c r="AM1505" s="91"/>
      <c r="AN1505" s="91"/>
      <c r="AO1505" s="91"/>
      <c r="AP1505" s="91"/>
      <c r="AQ1505" s="91"/>
      <c r="AR1505" s="91"/>
      <c r="AS1505" s="91"/>
      <c r="AT1505" s="91"/>
      <c r="AU1505" s="91"/>
      <c r="AV1505" s="91"/>
      <c r="AW1505" s="91"/>
      <c r="AX1505" s="91"/>
      <c r="AY1505" s="91"/>
      <c r="AZ1505" s="91"/>
      <c r="BA1505" s="91"/>
      <c r="BB1505" s="91"/>
      <c r="BC1505" s="91"/>
      <c r="BD1505" s="91"/>
      <c r="BE1505" s="91"/>
      <c r="BF1505" s="91"/>
      <c r="BG1505" s="91"/>
      <c r="BH1505" s="91"/>
      <c r="BI1505" s="91"/>
      <c r="BJ1505" s="91"/>
      <c r="BK1505" s="91"/>
      <c r="BL1505" s="91"/>
      <c r="BM1505" s="91"/>
      <c r="BN1505" s="91"/>
      <c r="BO1505" s="91"/>
      <c r="BP1505" s="91"/>
      <c r="BQ1505" s="91"/>
      <c r="BR1505" s="91"/>
      <c r="BS1505" s="91"/>
      <c r="BT1505" s="91"/>
      <c r="BU1505" s="91"/>
      <c r="BV1505" s="91"/>
    </row>
    <row r="1506" spans="1:74" hidden="1">
      <c r="A1506" s="109">
        <v>1503</v>
      </c>
      <c r="B1506" s="160" t="s">
        <v>3012</v>
      </c>
      <c r="C1506" s="192" t="s">
        <v>3013</v>
      </c>
      <c r="D1506" s="160" t="s">
        <v>21</v>
      </c>
      <c r="E1506" s="160"/>
      <c r="F1506" s="160"/>
      <c r="G1506" s="220">
        <v>51</v>
      </c>
      <c r="H1506" s="12">
        <f t="shared" si="91"/>
        <v>0</v>
      </c>
      <c r="I1506" s="3">
        <f t="shared" si="92"/>
        <v>0</v>
      </c>
      <c r="J1506" s="33">
        <f t="shared" si="93"/>
        <v>51</v>
      </c>
      <c r="K1506" s="33"/>
      <c r="L1506" s="33"/>
      <c r="M1506" s="91"/>
      <c r="N1506" s="91"/>
      <c r="O1506" s="91"/>
      <c r="P1506" s="91"/>
      <c r="Q1506" s="91"/>
      <c r="R1506" s="91"/>
      <c r="S1506" s="91"/>
      <c r="T1506" s="91"/>
      <c r="U1506" s="91"/>
      <c r="V1506" s="91"/>
      <c r="W1506" s="91"/>
      <c r="X1506" s="91"/>
      <c r="Y1506" s="91"/>
      <c r="Z1506" s="91"/>
      <c r="AA1506" s="91"/>
      <c r="AB1506" s="91"/>
      <c r="AC1506" s="91"/>
      <c r="AD1506" s="91"/>
      <c r="AE1506" s="91"/>
      <c r="AF1506" s="91"/>
      <c r="AG1506" s="91"/>
      <c r="AH1506" s="91"/>
      <c r="AI1506" s="91"/>
      <c r="AJ1506" s="91"/>
      <c r="AK1506" s="91"/>
      <c r="AL1506" s="91"/>
      <c r="AM1506" s="91"/>
      <c r="AN1506" s="91"/>
      <c r="AO1506" s="91"/>
      <c r="AP1506" s="91"/>
      <c r="AQ1506" s="91"/>
      <c r="AR1506" s="91"/>
      <c r="AS1506" s="91"/>
      <c r="AT1506" s="91"/>
      <c r="AU1506" s="91"/>
      <c r="AV1506" s="91"/>
      <c r="AW1506" s="91"/>
      <c r="AX1506" s="91"/>
      <c r="AY1506" s="91"/>
      <c r="AZ1506" s="91"/>
      <c r="BA1506" s="91"/>
      <c r="BB1506" s="91"/>
      <c r="BC1506" s="91"/>
      <c r="BD1506" s="91"/>
      <c r="BE1506" s="91"/>
      <c r="BF1506" s="91"/>
      <c r="BG1506" s="91"/>
      <c r="BH1506" s="91"/>
      <c r="BI1506" s="91"/>
      <c r="BJ1506" s="91"/>
      <c r="BK1506" s="91"/>
      <c r="BL1506" s="91"/>
      <c r="BM1506" s="91"/>
      <c r="BN1506" s="91"/>
      <c r="BO1506" s="91"/>
      <c r="BP1506" s="91"/>
      <c r="BQ1506" s="91"/>
      <c r="BR1506" s="91"/>
      <c r="BS1506" s="91"/>
      <c r="BT1506" s="91"/>
      <c r="BU1506" s="91"/>
      <c r="BV1506" s="91"/>
    </row>
    <row r="1507" spans="1:74" hidden="1">
      <c r="A1507" s="109">
        <v>1504</v>
      </c>
      <c r="B1507" s="160" t="s">
        <v>3014</v>
      </c>
      <c r="C1507" s="192" t="s">
        <v>3015</v>
      </c>
      <c r="D1507" s="160" t="s">
        <v>21</v>
      </c>
      <c r="E1507" s="160"/>
      <c r="F1507" s="160"/>
      <c r="G1507" s="220">
        <v>50</v>
      </c>
      <c r="H1507" s="12">
        <f t="shared" si="91"/>
        <v>0</v>
      </c>
      <c r="I1507" s="3">
        <f t="shared" si="92"/>
        <v>0</v>
      </c>
      <c r="J1507" s="33">
        <f t="shared" si="93"/>
        <v>50</v>
      </c>
      <c r="K1507" s="33"/>
      <c r="L1507" s="33"/>
      <c r="M1507" s="91"/>
      <c r="N1507" s="91"/>
      <c r="O1507" s="91"/>
      <c r="P1507" s="91"/>
      <c r="Q1507" s="91"/>
      <c r="R1507" s="91"/>
      <c r="S1507" s="91"/>
      <c r="T1507" s="91"/>
      <c r="U1507" s="91"/>
      <c r="V1507" s="91"/>
      <c r="W1507" s="91"/>
      <c r="X1507" s="91"/>
      <c r="Y1507" s="91"/>
      <c r="Z1507" s="91"/>
      <c r="AA1507" s="91"/>
      <c r="AB1507" s="91"/>
      <c r="AC1507" s="91"/>
      <c r="AD1507" s="91"/>
      <c r="AE1507" s="91"/>
      <c r="AF1507" s="91"/>
      <c r="AG1507" s="91"/>
      <c r="AH1507" s="91"/>
      <c r="AI1507" s="91"/>
      <c r="AJ1507" s="91"/>
      <c r="AK1507" s="91"/>
      <c r="AL1507" s="91"/>
      <c r="AM1507" s="91"/>
      <c r="AN1507" s="91"/>
      <c r="AO1507" s="91"/>
      <c r="AP1507" s="91"/>
      <c r="AQ1507" s="91"/>
      <c r="AR1507" s="91"/>
      <c r="AS1507" s="91"/>
      <c r="AT1507" s="91"/>
      <c r="AU1507" s="91"/>
      <c r="AV1507" s="91"/>
      <c r="AW1507" s="91"/>
      <c r="AX1507" s="91"/>
      <c r="AY1507" s="91"/>
      <c r="AZ1507" s="91"/>
      <c r="BA1507" s="91"/>
      <c r="BB1507" s="91"/>
      <c r="BC1507" s="91"/>
      <c r="BD1507" s="91"/>
      <c r="BE1507" s="91"/>
      <c r="BF1507" s="91"/>
      <c r="BG1507" s="91"/>
      <c r="BH1507" s="91"/>
      <c r="BI1507" s="91"/>
      <c r="BJ1507" s="91"/>
      <c r="BK1507" s="91"/>
      <c r="BL1507" s="91"/>
      <c r="BM1507" s="91"/>
      <c r="BN1507" s="91"/>
      <c r="BO1507" s="91"/>
      <c r="BP1507" s="91"/>
      <c r="BQ1507" s="91"/>
      <c r="BR1507" s="91"/>
      <c r="BS1507" s="91"/>
      <c r="BT1507" s="91"/>
      <c r="BU1507" s="91"/>
      <c r="BV1507" s="91"/>
    </row>
    <row r="1508" spans="1:74" hidden="1">
      <c r="A1508" s="109">
        <v>1505</v>
      </c>
      <c r="B1508" s="160" t="s">
        <v>3016</v>
      </c>
      <c r="C1508" s="192" t="s">
        <v>3017</v>
      </c>
      <c r="D1508" s="160" t="s">
        <v>14</v>
      </c>
      <c r="E1508" s="160"/>
      <c r="F1508" s="160"/>
      <c r="G1508" s="220">
        <v>0</v>
      </c>
      <c r="H1508" s="12">
        <f t="shared" si="91"/>
        <v>0</v>
      </c>
      <c r="I1508" s="3">
        <f t="shared" si="92"/>
        <v>0</v>
      </c>
      <c r="J1508" s="33">
        <v>0</v>
      </c>
      <c r="K1508" s="33"/>
      <c r="L1508" s="33"/>
      <c r="M1508" s="91"/>
      <c r="N1508" s="91"/>
      <c r="O1508" s="91"/>
      <c r="P1508" s="91"/>
      <c r="Q1508" s="91"/>
      <c r="R1508" s="91"/>
      <c r="S1508" s="91"/>
      <c r="T1508" s="91"/>
      <c r="U1508" s="91"/>
      <c r="V1508" s="91"/>
      <c r="W1508" s="91"/>
      <c r="X1508" s="91"/>
      <c r="Y1508" s="91"/>
      <c r="Z1508" s="91"/>
      <c r="AA1508" s="91"/>
      <c r="AB1508" s="91"/>
      <c r="AC1508" s="91"/>
      <c r="AD1508" s="91"/>
      <c r="AE1508" s="91"/>
      <c r="AF1508" s="91"/>
      <c r="AG1508" s="91"/>
      <c r="AH1508" s="91"/>
      <c r="AI1508" s="91"/>
      <c r="AJ1508" s="91"/>
      <c r="AK1508" s="91"/>
      <c r="AL1508" s="91"/>
      <c r="AM1508" s="91"/>
      <c r="AN1508" s="91"/>
      <c r="AO1508" s="91"/>
      <c r="AP1508" s="91"/>
      <c r="AQ1508" s="91"/>
      <c r="AR1508" s="91"/>
      <c r="AS1508" s="91"/>
      <c r="AT1508" s="91"/>
      <c r="AU1508" s="91"/>
      <c r="AV1508" s="91"/>
      <c r="AW1508" s="91"/>
      <c r="AX1508" s="91"/>
      <c r="AY1508" s="91"/>
      <c r="AZ1508" s="91"/>
      <c r="BA1508" s="91"/>
      <c r="BB1508" s="91"/>
      <c r="BC1508" s="91"/>
      <c r="BD1508" s="91"/>
      <c r="BE1508" s="91"/>
      <c r="BF1508" s="91"/>
      <c r="BG1508" s="91"/>
      <c r="BH1508" s="91"/>
      <c r="BI1508" s="91"/>
      <c r="BJ1508" s="91"/>
      <c r="BK1508" s="91"/>
      <c r="BL1508" s="91"/>
      <c r="BM1508" s="91"/>
      <c r="BN1508" s="91"/>
      <c r="BO1508" s="91"/>
      <c r="BP1508" s="91"/>
      <c r="BQ1508" s="91"/>
      <c r="BR1508" s="91"/>
      <c r="BS1508" s="91"/>
      <c r="BT1508" s="91"/>
      <c r="BU1508" s="91"/>
      <c r="BV1508" s="91"/>
    </row>
    <row r="1509" spans="1:74" hidden="1">
      <c r="A1509" s="109">
        <v>1506</v>
      </c>
      <c r="B1509" s="160" t="s">
        <v>3018</v>
      </c>
      <c r="C1509" s="192" t="s">
        <v>3019</v>
      </c>
      <c r="D1509" s="160" t="s">
        <v>14</v>
      </c>
      <c r="E1509" s="160"/>
      <c r="F1509" s="160"/>
      <c r="G1509" s="220">
        <v>0</v>
      </c>
      <c r="H1509" s="12">
        <f t="shared" si="91"/>
        <v>0</v>
      </c>
      <c r="I1509" s="3">
        <f t="shared" si="92"/>
        <v>0</v>
      </c>
      <c r="J1509" s="33">
        <v>0</v>
      </c>
      <c r="K1509" s="33"/>
      <c r="L1509" s="33"/>
      <c r="M1509" s="91"/>
      <c r="N1509" s="91"/>
      <c r="O1509" s="91"/>
      <c r="P1509" s="91"/>
      <c r="Q1509" s="91"/>
      <c r="R1509" s="91"/>
      <c r="S1509" s="91"/>
      <c r="T1509" s="91"/>
      <c r="U1509" s="91"/>
      <c r="V1509" s="91"/>
      <c r="W1509" s="91"/>
      <c r="X1509" s="91"/>
      <c r="Y1509" s="91"/>
      <c r="Z1509" s="91"/>
      <c r="AA1509" s="91"/>
      <c r="AB1509" s="91"/>
      <c r="AC1509" s="91"/>
      <c r="AD1509" s="91"/>
      <c r="AE1509" s="91"/>
      <c r="AF1509" s="91"/>
      <c r="AG1509" s="91"/>
      <c r="AH1509" s="91"/>
      <c r="AI1509" s="91"/>
      <c r="AJ1509" s="91"/>
      <c r="AK1509" s="91"/>
      <c r="AL1509" s="91"/>
      <c r="AM1509" s="91"/>
      <c r="AN1509" s="91"/>
      <c r="AO1509" s="91"/>
      <c r="AP1509" s="91"/>
      <c r="AQ1509" s="91"/>
      <c r="AR1509" s="91"/>
      <c r="AS1509" s="91"/>
      <c r="AT1509" s="91"/>
      <c r="AU1509" s="91"/>
      <c r="AV1509" s="91"/>
      <c r="AW1509" s="91"/>
      <c r="AX1509" s="91"/>
      <c r="AY1509" s="91"/>
      <c r="AZ1509" s="91"/>
      <c r="BA1509" s="91"/>
      <c r="BB1509" s="91"/>
      <c r="BC1509" s="91"/>
      <c r="BD1509" s="91"/>
      <c r="BE1509" s="91"/>
      <c r="BF1509" s="91"/>
      <c r="BG1509" s="91"/>
      <c r="BH1509" s="91"/>
      <c r="BI1509" s="91"/>
      <c r="BJ1509" s="91"/>
      <c r="BK1509" s="91"/>
      <c r="BL1509" s="91"/>
      <c r="BM1509" s="91"/>
      <c r="BN1509" s="91"/>
      <c r="BO1509" s="91"/>
      <c r="BP1509" s="91"/>
      <c r="BQ1509" s="91"/>
      <c r="BR1509" s="91"/>
      <c r="BS1509" s="91"/>
      <c r="BT1509" s="91"/>
      <c r="BU1509" s="91"/>
      <c r="BV1509" s="91"/>
    </row>
    <row r="1510" spans="1:74" hidden="1">
      <c r="A1510" s="109">
        <v>1507</v>
      </c>
      <c r="B1510" s="160" t="s">
        <v>3020</v>
      </c>
      <c r="C1510" s="192" t="s">
        <v>3021</v>
      </c>
      <c r="D1510" s="160" t="s">
        <v>21</v>
      </c>
      <c r="E1510" s="160"/>
      <c r="F1510" s="160"/>
      <c r="G1510" s="220">
        <v>10</v>
      </c>
      <c r="H1510" s="12">
        <f t="shared" si="91"/>
        <v>0</v>
      </c>
      <c r="I1510" s="3">
        <f t="shared" si="92"/>
        <v>0</v>
      </c>
      <c r="J1510" s="33">
        <f t="shared" si="93"/>
        <v>10</v>
      </c>
      <c r="K1510" s="33"/>
      <c r="L1510" s="33"/>
      <c r="M1510" s="91"/>
      <c r="N1510" s="91"/>
      <c r="O1510" s="91"/>
      <c r="P1510" s="91"/>
      <c r="Q1510" s="91"/>
      <c r="R1510" s="91"/>
      <c r="S1510" s="91"/>
      <c r="T1510" s="91"/>
      <c r="U1510" s="91"/>
      <c r="V1510" s="91"/>
      <c r="W1510" s="91"/>
      <c r="X1510" s="91"/>
      <c r="Y1510" s="91"/>
      <c r="Z1510" s="91"/>
      <c r="AA1510" s="91"/>
      <c r="AB1510" s="91"/>
      <c r="AC1510" s="91"/>
      <c r="AD1510" s="91"/>
      <c r="AE1510" s="91"/>
      <c r="AF1510" s="91"/>
      <c r="AG1510" s="91"/>
      <c r="AH1510" s="91"/>
      <c r="AI1510" s="91"/>
      <c r="AJ1510" s="91"/>
      <c r="AK1510" s="91"/>
      <c r="AL1510" s="91"/>
      <c r="AM1510" s="91"/>
      <c r="AN1510" s="91"/>
      <c r="AO1510" s="91"/>
      <c r="AP1510" s="91"/>
      <c r="AQ1510" s="91"/>
      <c r="AR1510" s="91"/>
      <c r="AS1510" s="91"/>
      <c r="AT1510" s="91"/>
      <c r="AU1510" s="91"/>
      <c r="AV1510" s="91"/>
      <c r="AW1510" s="91"/>
      <c r="AX1510" s="91"/>
      <c r="AY1510" s="91"/>
      <c r="AZ1510" s="91"/>
      <c r="BA1510" s="91"/>
      <c r="BB1510" s="91"/>
      <c r="BC1510" s="91"/>
      <c r="BD1510" s="91"/>
      <c r="BE1510" s="91"/>
      <c r="BF1510" s="91"/>
      <c r="BG1510" s="91"/>
      <c r="BH1510" s="91"/>
      <c r="BI1510" s="91"/>
      <c r="BJ1510" s="91"/>
      <c r="BK1510" s="91"/>
      <c r="BL1510" s="91"/>
      <c r="BM1510" s="91"/>
      <c r="BN1510" s="91"/>
      <c r="BO1510" s="91"/>
      <c r="BP1510" s="91"/>
      <c r="BQ1510" s="91"/>
      <c r="BR1510" s="91"/>
      <c r="BS1510" s="91"/>
      <c r="BT1510" s="91"/>
      <c r="BU1510" s="91"/>
      <c r="BV1510" s="91"/>
    </row>
    <row r="1511" spans="1:74" hidden="1">
      <c r="A1511" s="109">
        <v>1508</v>
      </c>
      <c r="B1511" s="160" t="s">
        <v>3022</v>
      </c>
      <c r="C1511" s="192" t="s">
        <v>3023</v>
      </c>
      <c r="D1511" s="160" t="s">
        <v>21</v>
      </c>
      <c r="E1511" s="160"/>
      <c r="F1511" s="160"/>
      <c r="G1511" s="220">
        <v>2096</v>
      </c>
      <c r="H1511" s="12">
        <f t="shared" si="91"/>
        <v>0</v>
      </c>
      <c r="I1511" s="3">
        <f t="shared" si="92"/>
        <v>0</v>
      </c>
      <c r="J1511" s="33">
        <f t="shared" si="93"/>
        <v>2096</v>
      </c>
      <c r="K1511" s="33"/>
      <c r="L1511" s="33"/>
      <c r="M1511" s="91"/>
      <c r="N1511" s="91"/>
      <c r="O1511" s="91"/>
      <c r="P1511" s="91"/>
      <c r="Q1511" s="91"/>
      <c r="R1511" s="91"/>
      <c r="S1511" s="91"/>
      <c r="T1511" s="91"/>
      <c r="U1511" s="91"/>
      <c r="V1511" s="91"/>
      <c r="W1511" s="91"/>
      <c r="X1511" s="91"/>
      <c r="Y1511" s="91"/>
      <c r="Z1511" s="91"/>
      <c r="AA1511" s="91"/>
      <c r="AB1511" s="91"/>
      <c r="AC1511" s="91"/>
      <c r="AD1511" s="91"/>
      <c r="AE1511" s="91"/>
      <c r="AF1511" s="91"/>
      <c r="AG1511" s="91"/>
      <c r="AH1511" s="91"/>
      <c r="AI1511" s="91"/>
      <c r="AJ1511" s="91"/>
      <c r="AK1511" s="91"/>
      <c r="AL1511" s="91"/>
      <c r="AM1511" s="91"/>
      <c r="AN1511" s="91"/>
      <c r="AO1511" s="91"/>
      <c r="AP1511" s="91"/>
      <c r="AQ1511" s="91"/>
      <c r="AR1511" s="91"/>
      <c r="AS1511" s="91"/>
      <c r="AT1511" s="91"/>
      <c r="AU1511" s="91"/>
      <c r="AV1511" s="91"/>
      <c r="AW1511" s="91"/>
      <c r="AX1511" s="91"/>
      <c r="AY1511" s="91"/>
      <c r="AZ1511" s="91"/>
      <c r="BA1511" s="91"/>
      <c r="BB1511" s="91"/>
      <c r="BC1511" s="91"/>
      <c r="BD1511" s="91"/>
      <c r="BE1511" s="91"/>
      <c r="BF1511" s="91"/>
      <c r="BG1511" s="91"/>
      <c r="BH1511" s="91"/>
      <c r="BI1511" s="91"/>
      <c r="BJ1511" s="91"/>
      <c r="BK1511" s="91"/>
      <c r="BL1511" s="91"/>
      <c r="BM1511" s="91"/>
      <c r="BN1511" s="91"/>
      <c r="BO1511" s="91"/>
      <c r="BP1511" s="91"/>
      <c r="BQ1511" s="91"/>
      <c r="BR1511" s="91"/>
      <c r="BS1511" s="91"/>
      <c r="BT1511" s="91"/>
      <c r="BU1511" s="91"/>
      <c r="BV1511" s="91"/>
    </row>
    <row r="1512" spans="1:74" hidden="1">
      <c r="A1512" s="109">
        <v>1509</v>
      </c>
      <c r="B1512" s="160" t="s">
        <v>3024</v>
      </c>
      <c r="C1512" s="192" t="s">
        <v>3025</v>
      </c>
      <c r="D1512" s="160" t="s">
        <v>21</v>
      </c>
      <c r="E1512" s="160"/>
      <c r="F1512" s="160"/>
      <c r="G1512" s="220">
        <v>70</v>
      </c>
      <c r="H1512" s="12">
        <f t="shared" si="91"/>
        <v>0</v>
      </c>
      <c r="I1512" s="3">
        <f t="shared" si="92"/>
        <v>0</v>
      </c>
      <c r="J1512" s="33">
        <f t="shared" si="93"/>
        <v>70</v>
      </c>
      <c r="K1512" s="33"/>
      <c r="L1512" s="33"/>
      <c r="M1512" s="91"/>
      <c r="N1512" s="91"/>
      <c r="O1512" s="91"/>
      <c r="P1512" s="91"/>
      <c r="Q1512" s="91"/>
      <c r="R1512" s="91"/>
      <c r="S1512" s="91"/>
      <c r="T1512" s="91"/>
      <c r="U1512" s="91"/>
      <c r="V1512" s="91"/>
      <c r="W1512" s="91"/>
      <c r="X1512" s="91"/>
      <c r="Y1512" s="91"/>
      <c r="Z1512" s="91"/>
      <c r="AA1512" s="91"/>
      <c r="AB1512" s="91"/>
      <c r="AC1512" s="91"/>
      <c r="AD1512" s="91"/>
      <c r="AE1512" s="91"/>
      <c r="AF1512" s="91"/>
      <c r="AG1512" s="91"/>
      <c r="AH1512" s="91"/>
      <c r="AI1512" s="91"/>
      <c r="AJ1512" s="91"/>
      <c r="AK1512" s="91"/>
      <c r="AL1512" s="91"/>
      <c r="AM1512" s="91"/>
      <c r="AN1512" s="91"/>
      <c r="AO1512" s="91"/>
      <c r="AP1512" s="91"/>
      <c r="AQ1512" s="91"/>
      <c r="AR1512" s="91"/>
      <c r="AS1512" s="91"/>
      <c r="AT1512" s="91"/>
      <c r="AU1512" s="91"/>
      <c r="AV1512" s="91"/>
      <c r="AW1512" s="91"/>
      <c r="AX1512" s="91"/>
      <c r="AY1512" s="91"/>
      <c r="AZ1512" s="91"/>
      <c r="BA1512" s="91"/>
      <c r="BB1512" s="91"/>
      <c r="BC1512" s="91"/>
      <c r="BD1512" s="91"/>
      <c r="BE1512" s="91"/>
      <c r="BF1512" s="91"/>
      <c r="BG1512" s="91"/>
      <c r="BH1512" s="91"/>
      <c r="BI1512" s="91"/>
      <c r="BJ1512" s="91"/>
      <c r="BK1512" s="91"/>
      <c r="BL1512" s="91"/>
      <c r="BM1512" s="91"/>
      <c r="BN1512" s="91"/>
      <c r="BO1512" s="91"/>
      <c r="BP1512" s="91"/>
      <c r="BQ1512" s="91"/>
      <c r="BR1512" s="91"/>
      <c r="BS1512" s="91"/>
      <c r="BT1512" s="91"/>
      <c r="BU1512" s="91"/>
      <c r="BV1512" s="91"/>
    </row>
    <row r="1513" spans="1:74" hidden="1">
      <c r="A1513" s="109">
        <v>1510</v>
      </c>
      <c r="B1513" s="160" t="s">
        <v>3026</v>
      </c>
      <c r="C1513" s="192" t="s">
        <v>3027</v>
      </c>
      <c r="D1513" s="160" t="s">
        <v>21</v>
      </c>
      <c r="E1513" s="160"/>
      <c r="F1513" s="160"/>
      <c r="G1513" s="220">
        <v>1</v>
      </c>
      <c r="H1513" s="12">
        <f t="shared" si="91"/>
        <v>0</v>
      </c>
      <c r="I1513" s="3">
        <f t="shared" si="92"/>
        <v>0</v>
      </c>
      <c r="J1513" s="33">
        <f t="shared" si="93"/>
        <v>1</v>
      </c>
      <c r="K1513" s="33"/>
      <c r="L1513" s="33"/>
      <c r="M1513" s="91"/>
      <c r="N1513" s="91"/>
      <c r="O1513" s="91"/>
      <c r="P1513" s="91"/>
      <c r="Q1513" s="91"/>
      <c r="R1513" s="91"/>
      <c r="S1513" s="91"/>
      <c r="T1513" s="91"/>
      <c r="U1513" s="91"/>
      <c r="V1513" s="91"/>
      <c r="W1513" s="91"/>
      <c r="X1513" s="91"/>
      <c r="Y1513" s="91"/>
      <c r="Z1513" s="91"/>
      <c r="AA1513" s="91"/>
      <c r="AB1513" s="91"/>
      <c r="AC1513" s="91"/>
      <c r="AD1513" s="91"/>
      <c r="AE1513" s="91"/>
      <c r="AF1513" s="91"/>
      <c r="AG1513" s="91"/>
      <c r="AH1513" s="91"/>
      <c r="AI1513" s="91"/>
      <c r="AJ1513" s="91"/>
      <c r="AK1513" s="91"/>
      <c r="AL1513" s="91"/>
      <c r="AM1513" s="91"/>
      <c r="AN1513" s="91"/>
      <c r="AO1513" s="91"/>
      <c r="AP1513" s="91"/>
      <c r="AQ1513" s="91"/>
      <c r="AR1513" s="91"/>
      <c r="AS1513" s="91"/>
      <c r="AT1513" s="91"/>
      <c r="AU1513" s="91"/>
      <c r="AV1513" s="91"/>
      <c r="AW1513" s="91"/>
      <c r="AX1513" s="91"/>
      <c r="AY1513" s="91"/>
      <c r="AZ1513" s="91"/>
      <c r="BA1513" s="91"/>
      <c r="BB1513" s="91"/>
      <c r="BC1513" s="91"/>
      <c r="BD1513" s="91"/>
      <c r="BE1513" s="91"/>
      <c r="BF1513" s="91"/>
      <c r="BG1513" s="91"/>
      <c r="BH1513" s="91"/>
      <c r="BI1513" s="91"/>
      <c r="BJ1513" s="91"/>
      <c r="BK1513" s="91"/>
      <c r="BL1513" s="91"/>
      <c r="BM1513" s="91"/>
      <c r="BN1513" s="91"/>
      <c r="BO1513" s="91"/>
      <c r="BP1513" s="91"/>
      <c r="BQ1513" s="91"/>
      <c r="BR1513" s="91"/>
      <c r="BS1513" s="91"/>
      <c r="BT1513" s="91"/>
      <c r="BU1513" s="91"/>
      <c r="BV1513" s="91"/>
    </row>
    <row r="1514" spans="1:74" hidden="1">
      <c r="A1514" s="109">
        <v>1511</v>
      </c>
      <c r="B1514" s="160" t="s">
        <v>3028</v>
      </c>
      <c r="C1514" s="192" t="s">
        <v>3029</v>
      </c>
      <c r="D1514" s="160" t="s">
        <v>21</v>
      </c>
      <c r="E1514" s="160"/>
      <c r="F1514" s="160"/>
      <c r="G1514" s="220">
        <v>1</v>
      </c>
      <c r="H1514" s="12">
        <f t="shared" si="91"/>
        <v>0</v>
      </c>
      <c r="I1514" s="3">
        <f t="shared" si="92"/>
        <v>0</v>
      </c>
      <c r="J1514" s="33">
        <f t="shared" si="93"/>
        <v>1</v>
      </c>
      <c r="K1514" s="33"/>
      <c r="L1514" s="33"/>
      <c r="M1514" s="91"/>
      <c r="N1514" s="91"/>
      <c r="O1514" s="91"/>
      <c r="P1514" s="91"/>
      <c r="Q1514" s="91"/>
      <c r="R1514" s="91"/>
      <c r="S1514" s="91"/>
      <c r="T1514" s="91"/>
      <c r="U1514" s="91"/>
      <c r="V1514" s="91"/>
      <c r="W1514" s="91"/>
      <c r="X1514" s="91"/>
      <c r="Y1514" s="91"/>
      <c r="Z1514" s="91"/>
      <c r="AA1514" s="91"/>
      <c r="AB1514" s="91"/>
      <c r="AC1514" s="91"/>
      <c r="AD1514" s="91"/>
      <c r="AE1514" s="91"/>
      <c r="AF1514" s="91"/>
      <c r="AG1514" s="91"/>
      <c r="AH1514" s="91"/>
      <c r="AI1514" s="91"/>
      <c r="AJ1514" s="91"/>
      <c r="AK1514" s="91"/>
      <c r="AL1514" s="91"/>
      <c r="AM1514" s="91"/>
      <c r="AN1514" s="91"/>
      <c r="AO1514" s="91"/>
      <c r="AP1514" s="91"/>
      <c r="AQ1514" s="91"/>
      <c r="AR1514" s="91"/>
      <c r="AS1514" s="91"/>
      <c r="AT1514" s="91"/>
      <c r="AU1514" s="91"/>
      <c r="AV1514" s="91"/>
      <c r="AW1514" s="91"/>
      <c r="AX1514" s="91"/>
      <c r="AY1514" s="91"/>
      <c r="AZ1514" s="91"/>
      <c r="BA1514" s="91"/>
      <c r="BB1514" s="91"/>
      <c r="BC1514" s="91"/>
      <c r="BD1514" s="91"/>
      <c r="BE1514" s="91"/>
      <c r="BF1514" s="91"/>
      <c r="BG1514" s="91"/>
      <c r="BH1514" s="91"/>
      <c r="BI1514" s="91"/>
      <c r="BJ1514" s="91"/>
      <c r="BK1514" s="91"/>
      <c r="BL1514" s="91"/>
      <c r="BM1514" s="91"/>
      <c r="BN1514" s="91"/>
      <c r="BO1514" s="91"/>
      <c r="BP1514" s="91"/>
      <c r="BQ1514" s="91"/>
      <c r="BR1514" s="91"/>
      <c r="BS1514" s="91"/>
      <c r="BT1514" s="91"/>
      <c r="BU1514" s="91"/>
      <c r="BV1514" s="91"/>
    </row>
    <row r="1515" spans="1:74" hidden="1">
      <c r="A1515" s="109">
        <v>1512</v>
      </c>
      <c r="B1515" s="160" t="s">
        <v>3030</v>
      </c>
      <c r="C1515" s="192" t="s">
        <v>3031</v>
      </c>
      <c r="D1515" s="160" t="s">
        <v>21</v>
      </c>
      <c r="E1515" s="160"/>
      <c r="F1515" s="160"/>
      <c r="G1515" s="220">
        <v>1</v>
      </c>
      <c r="H1515" s="12">
        <f t="shared" si="91"/>
        <v>0</v>
      </c>
      <c r="I1515" s="3">
        <f t="shared" si="92"/>
        <v>0</v>
      </c>
      <c r="J1515" s="33">
        <f t="shared" si="93"/>
        <v>1</v>
      </c>
      <c r="K1515" s="33"/>
      <c r="L1515" s="33"/>
      <c r="M1515" s="91"/>
      <c r="N1515" s="91"/>
      <c r="O1515" s="91"/>
      <c r="P1515" s="91"/>
      <c r="Q1515" s="91"/>
      <c r="R1515" s="91"/>
      <c r="S1515" s="91"/>
      <c r="T1515" s="91"/>
      <c r="U1515" s="91"/>
      <c r="V1515" s="91"/>
      <c r="W1515" s="91"/>
      <c r="X1515" s="91"/>
      <c r="Y1515" s="91"/>
      <c r="Z1515" s="91"/>
      <c r="AA1515" s="91"/>
      <c r="AB1515" s="91"/>
      <c r="AC1515" s="91"/>
      <c r="AD1515" s="91"/>
      <c r="AE1515" s="91"/>
      <c r="AF1515" s="91"/>
      <c r="AG1515" s="91"/>
      <c r="AH1515" s="91"/>
      <c r="AI1515" s="91"/>
      <c r="AJ1515" s="91"/>
      <c r="AK1515" s="91"/>
      <c r="AL1515" s="91"/>
      <c r="AM1515" s="91"/>
      <c r="AN1515" s="91"/>
      <c r="AO1515" s="91"/>
      <c r="AP1515" s="91"/>
      <c r="AQ1515" s="91"/>
      <c r="AR1515" s="91"/>
      <c r="AS1515" s="91"/>
      <c r="AT1515" s="91"/>
      <c r="AU1515" s="91"/>
      <c r="AV1515" s="91"/>
      <c r="AW1515" s="91"/>
      <c r="AX1515" s="91"/>
      <c r="AY1515" s="91"/>
      <c r="AZ1515" s="91"/>
      <c r="BA1515" s="91"/>
      <c r="BB1515" s="91"/>
      <c r="BC1515" s="91"/>
      <c r="BD1515" s="91"/>
      <c r="BE1515" s="91"/>
      <c r="BF1515" s="91"/>
      <c r="BG1515" s="91"/>
      <c r="BH1515" s="91"/>
      <c r="BI1515" s="91"/>
      <c r="BJ1515" s="91"/>
      <c r="BK1515" s="91"/>
      <c r="BL1515" s="91"/>
      <c r="BM1515" s="91"/>
      <c r="BN1515" s="91"/>
      <c r="BO1515" s="91"/>
      <c r="BP1515" s="91"/>
      <c r="BQ1515" s="91"/>
      <c r="BR1515" s="91"/>
      <c r="BS1515" s="91"/>
      <c r="BT1515" s="91"/>
      <c r="BU1515" s="91"/>
      <c r="BV1515" s="91"/>
    </row>
    <row r="1516" spans="1:74" hidden="1">
      <c r="A1516" s="109">
        <v>1513</v>
      </c>
      <c r="B1516" s="160" t="s">
        <v>3032</v>
      </c>
      <c r="C1516" s="192" t="s">
        <v>3033</v>
      </c>
      <c r="D1516" s="160" t="s">
        <v>21</v>
      </c>
      <c r="E1516" s="160"/>
      <c r="F1516" s="160"/>
      <c r="G1516" s="220">
        <v>1</v>
      </c>
      <c r="H1516" s="12">
        <f t="shared" si="91"/>
        <v>0</v>
      </c>
      <c r="I1516" s="3">
        <f t="shared" si="92"/>
        <v>0</v>
      </c>
      <c r="J1516" s="33">
        <f t="shared" si="93"/>
        <v>1</v>
      </c>
      <c r="K1516" s="33"/>
      <c r="L1516" s="33"/>
      <c r="M1516" s="91"/>
      <c r="N1516" s="91"/>
      <c r="O1516" s="91"/>
      <c r="P1516" s="91"/>
      <c r="Q1516" s="91"/>
      <c r="R1516" s="91"/>
      <c r="S1516" s="91"/>
      <c r="T1516" s="91"/>
      <c r="U1516" s="91"/>
      <c r="V1516" s="91"/>
      <c r="W1516" s="91"/>
      <c r="X1516" s="91"/>
      <c r="Y1516" s="91"/>
      <c r="Z1516" s="91"/>
      <c r="AA1516" s="91"/>
      <c r="AB1516" s="91"/>
      <c r="AC1516" s="91"/>
      <c r="AD1516" s="91"/>
      <c r="AE1516" s="91"/>
      <c r="AF1516" s="91"/>
      <c r="AG1516" s="91"/>
      <c r="AH1516" s="91"/>
      <c r="AI1516" s="91"/>
      <c r="AJ1516" s="91"/>
      <c r="AK1516" s="91"/>
      <c r="AL1516" s="91"/>
      <c r="AM1516" s="91"/>
      <c r="AN1516" s="91"/>
      <c r="AO1516" s="91"/>
      <c r="AP1516" s="91"/>
      <c r="AQ1516" s="91"/>
      <c r="AR1516" s="91"/>
      <c r="AS1516" s="91"/>
      <c r="AT1516" s="91"/>
      <c r="AU1516" s="91"/>
      <c r="AV1516" s="91"/>
      <c r="AW1516" s="91"/>
      <c r="AX1516" s="91"/>
      <c r="AY1516" s="91"/>
      <c r="AZ1516" s="91"/>
      <c r="BA1516" s="91"/>
      <c r="BB1516" s="91"/>
      <c r="BC1516" s="91"/>
      <c r="BD1516" s="91"/>
      <c r="BE1516" s="91"/>
      <c r="BF1516" s="91"/>
      <c r="BG1516" s="91"/>
      <c r="BH1516" s="91"/>
      <c r="BI1516" s="91"/>
      <c r="BJ1516" s="91"/>
      <c r="BK1516" s="91"/>
      <c r="BL1516" s="91"/>
      <c r="BM1516" s="91"/>
      <c r="BN1516" s="91"/>
      <c r="BO1516" s="91"/>
      <c r="BP1516" s="91"/>
      <c r="BQ1516" s="91"/>
      <c r="BR1516" s="91"/>
      <c r="BS1516" s="91"/>
      <c r="BT1516" s="91"/>
      <c r="BU1516" s="91"/>
      <c r="BV1516" s="91"/>
    </row>
    <row r="1517" spans="1:74" hidden="1">
      <c r="A1517" s="109">
        <v>1514</v>
      </c>
      <c r="B1517" s="160" t="s">
        <v>3034</v>
      </c>
      <c r="C1517" s="192" t="s">
        <v>3035</v>
      </c>
      <c r="D1517" s="160" t="s">
        <v>21</v>
      </c>
      <c r="E1517" s="160"/>
      <c r="F1517" s="160"/>
      <c r="G1517" s="220">
        <v>1</v>
      </c>
      <c r="H1517" s="12">
        <f t="shared" si="91"/>
        <v>0</v>
      </c>
      <c r="I1517" s="3">
        <f t="shared" si="92"/>
        <v>0</v>
      </c>
      <c r="J1517" s="33">
        <f t="shared" si="93"/>
        <v>1</v>
      </c>
      <c r="K1517" s="33"/>
      <c r="L1517" s="33"/>
      <c r="M1517" s="91"/>
      <c r="N1517" s="91"/>
      <c r="O1517" s="91"/>
      <c r="P1517" s="91"/>
      <c r="Q1517" s="91"/>
      <c r="R1517" s="91"/>
      <c r="S1517" s="91"/>
      <c r="T1517" s="91"/>
      <c r="U1517" s="91"/>
      <c r="V1517" s="91"/>
      <c r="W1517" s="91"/>
      <c r="X1517" s="91"/>
      <c r="Y1517" s="91"/>
      <c r="Z1517" s="91"/>
      <c r="AA1517" s="91"/>
      <c r="AB1517" s="91"/>
      <c r="AC1517" s="91"/>
      <c r="AD1517" s="91"/>
      <c r="AE1517" s="91"/>
      <c r="AF1517" s="91"/>
      <c r="AG1517" s="91"/>
      <c r="AH1517" s="91"/>
      <c r="AI1517" s="91"/>
      <c r="AJ1517" s="91"/>
      <c r="AK1517" s="91"/>
      <c r="AL1517" s="91"/>
      <c r="AM1517" s="91"/>
      <c r="AN1517" s="91"/>
      <c r="AO1517" s="91"/>
      <c r="AP1517" s="91"/>
      <c r="AQ1517" s="91"/>
      <c r="AR1517" s="91"/>
      <c r="AS1517" s="91"/>
      <c r="AT1517" s="91"/>
      <c r="AU1517" s="91"/>
      <c r="AV1517" s="91"/>
      <c r="AW1517" s="91"/>
      <c r="AX1517" s="91"/>
      <c r="AY1517" s="91"/>
      <c r="AZ1517" s="91"/>
      <c r="BA1517" s="91"/>
      <c r="BB1517" s="91"/>
      <c r="BC1517" s="91"/>
      <c r="BD1517" s="91"/>
      <c r="BE1517" s="91"/>
      <c r="BF1517" s="91"/>
      <c r="BG1517" s="91"/>
      <c r="BH1517" s="91"/>
      <c r="BI1517" s="91"/>
      <c r="BJ1517" s="91"/>
      <c r="BK1517" s="91"/>
      <c r="BL1517" s="91"/>
      <c r="BM1517" s="91"/>
      <c r="BN1517" s="91"/>
      <c r="BO1517" s="91"/>
      <c r="BP1517" s="91"/>
      <c r="BQ1517" s="91"/>
      <c r="BR1517" s="91"/>
      <c r="BS1517" s="91"/>
      <c r="BT1517" s="91"/>
      <c r="BU1517" s="91"/>
      <c r="BV1517" s="91"/>
    </row>
    <row r="1518" spans="1:74" hidden="1">
      <c r="A1518" s="109">
        <v>1515</v>
      </c>
      <c r="B1518" s="160" t="s">
        <v>3036</v>
      </c>
      <c r="C1518" s="192" t="s">
        <v>3037</v>
      </c>
      <c r="D1518" s="160" t="s">
        <v>21</v>
      </c>
      <c r="E1518" s="160"/>
      <c r="F1518" s="160"/>
      <c r="G1518" s="220">
        <v>1</v>
      </c>
      <c r="H1518" s="12">
        <f t="shared" si="91"/>
        <v>0</v>
      </c>
      <c r="I1518" s="3">
        <f t="shared" si="92"/>
        <v>0</v>
      </c>
      <c r="J1518" s="33">
        <f t="shared" si="93"/>
        <v>1</v>
      </c>
      <c r="K1518" s="33"/>
      <c r="L1518" s="33"/>
      <c r="M1518" s="91"/>
      <c r="N1518" s="91"/>
      <c r="O1518" s="91"/>
      <c r="P1518" s="91"/>
      <c r="Q1518" s="91"/>
      <c r="R1518" s="91"/>
      <c r="S1518" s="91"/>
      <c r="T1518" s="91"/>
      <c r="U1518" s="91"/>
      <c r="V1518" s="91"/>
      <c r="W1518" s="91"/>
      <c r="X1518" s="91"/>
      <c r="Y1518" s="91"/>
      <c r="Z1518" s="91"/>
      <c r="AA1518" s="91"/>
      <c r="AB1518" s="91"/>
      <c r="AC1518" s="91"/>
      <c r="AD1518" s="91"/>
      <c r="AE1518" s="91"/>
      <c r="AF1518" s="91"/>
      <c r="AG1518" s="91"/>
      <c r="AH1518" s="91"/>
      <c r="AI1518" s="91"/>
      <c r="AJ1518" s="91"/>
      <c r="AK1518" s="91"/>
      <c r="AL1518" s="91"/>
      <c r="AM1518" s="91"/>
      <c r="AN1518" s="91"/>
      <c r="AO1518" s="91"/>
      <c r="AP1518" s="91"/>
      <c r="AQ1518" s="91"/>
      <c r="AR1518" s="91"/>
      <c r="AS1518" s="91"/>
      <c r="AT1518" s="91"/>
      <c r="AU1518" s="91"/>
      <c r="AV1518" s="91"/>
      <c r="AW1518" s="91"/>
      <c r="AX1518" s="91"/>
      <c r="AY1518" s="91"/>
      <c r="AZ1518" s="91"/>
      <c r="BA1518" s="91"/>
      <c r="BB1518" s="91"/>
      <c r="BC1518" s="91"/>
      <c r="BD1518" s="91"/>
      <c r="BE1518" s="91"/>
      <c r="BF1518" s="91"/>
      <c r="BG1518" s="91"/>
      <c r="BH1518" s="91"/>
      <c r="BI1518" s="91"/>
      <c r="BJ1518" s="91"/>
      <c r="BK1518" s="91"/>
      <c r="BL1518" s="91"/>
      <c r="BM1518" s="91"/>
      <c r="BN1518" s="91"/>
      <c r="BO1518" s="91"/>
      <c r="BP1518" s="91"/>
      <c r="BQ1518" s="91"/>
      <c r="BR1518" s="91"/>
      <c r="BS1518" s="91"/>
      <c r="BT1518" s="91"/>
      <c r="BU1518" s="91"/>
      <c r="BV1518" s="91"/>
    </row>
    <row r="1519" spans="1:74" hidden="1">
      <c r="A1519" s="109">
        <v>1516</v>
      </c>
      <c r="B1519" s="160" t="s">
        <v>3038</v>
      </c>
      <c r="C1519" s="192" t="s">
        <v>3039</v>
      </c>
      <c r="D1519" s="160" t="s">
        <v>21</v>
      </c>
      <c r="E1519" s="160"/>
      <c r="F1519" s="160"/>
      <c r="G1519" s="220">
        <v>1</v>
      </c>
      <c r="H1519" s="12">
        <f t="shared" si="91"/>
        <v>0</v>
      </c>
      <c r="I1519" s="3">
        <f t="shared" si="92"/>
        <v>0</v>
      </c>
      <c r="J1519" s="33">
        <f t="shared" si="93"/>
        <v>1</v>
      </c>
      <c r="K1519" s="33"/>
      <c r="L1519" s="33"/>
      <c r="M1519" s="91"/>
      <c r="N1519" s="91"/>
      <c r="O1519" s="91"/>
      <c r="P1519" s="91"/>
      <c r="Q1519" s="91"/>
      <c r="R1519" s="91"/>
      <c r="S1519" s="91"/>
      <c r="T1519" s="91"/>
      <c r="U1519" s="91"/>
      <c r="V1519" s="91"/>
      <c r="W1519" s="91"/>
      <c r="X1519" s="91"/>
      <c r="Y1519" s="91"/>
      <c r="Z1519" s="91"/>
      <c r="AA1519" s="91"/>
      <c r="AB1519" s="91"/>
      <c r="AC1519" s="91"/>
      <c r="AD1519" s="91"/>
      <c r="AE1519" s="91"/>
      <c r="AF1519" s="91"/>
      <c r="AG1519" s="91"/>
      <c r="AH1519" s="91"/>
      <c r="AI1519" s="91"/>
      <c r="AJ1519" s="91"/>
      <c r="AK1519" s="91"/>
      <c r="AL1519" s="91"/>
      <c r="AM1519" s="91"/>
      <c r="AN1519" s="91"/>
      <c r="AO1519" s="91"/>
      <c r="AP1519" s="91"/>
      <c r="AQ1519" s="91"/>
      <c r="AR1519" s="91"/>
      <c r="AS1519" s="91"/>
      <c r="AT1519" s="91"/>
      <c r="AU1519" s="91"/>
      <c r="AV1519" s="91"/>
      <c r="AW1519" s="91"/>
      <c r="AX1519" s="91"/>
      <c r="AY1519" s="91"/>
      <c r="AZ1519" s="91"/>
      <c r="BA1519" s="91"/>
      <c r="BB1519" s="91"/>
      <c r="BC1519" s="91"/>
      <c r="BD1519" s="91"/>
      <c r="BE1519" s="91"/>
      <c r="BF1519" s="91"/>
      <c r="BG1519" s="91"/>
      <c r="BH1519" s="91"/>
      <c r="BI1519" s="91"/>
      <c r="BJ1519" s="91"/>
      <c r="BK1519" s="91"/>
      <c r="BL1519" s="91"/>
      <c r="BM1519" s="91"/>
      <c r="BN1519" s="91"/>
      <c r="BO1519" s="91"/>
      <c r="BP1519" s="91"/>
      <c r="BQ1519" s="91"/>
      <c r="BR1519" s="91"/>
      <c r="BS1519" s="91"/>
      <c r="BT1519" s="91"/>
      <c r="BU1519" s="91"/>
      <c r="BV1519" s="91"/>
    </row>
    <row r="1520" spans="1:74" hidden="1">
      <c r="A1520" s="111">
        <v>1517</v>
      </c>
      <c r="B1520" s="12" t="s">
        <v>3040</v>
      </c>
      <c r="C1520" s="352" t="s">
        <v>3041</v>
      </c>
      <c r="D1520" s="12" t="s">
        <v>21</v>
      </c>
      <c r="E1520" s="12"/>
      <c r="F1520" s="12"/>
      <c r="G1520" s="220">
        <v>8</v>
      </c>
      <c r="H1520" s="12">
        <f t="shared" si="91"/>
        <v>0</v>
      </c>
      <c r="I1520" s="3">
        <f t="shared" si="92"/>
        <v>0</v>
      </c>
      <c r="J1520" s="33">
        <f t="shared" si="93"/>
        <v>8</v>
      </c>
      <c r="K1520" s="33"/>
      <c r="L1520" s="33"/>
      <c r="M1520" s="91"/>
      <c r="N1520" s="91"/>
      <c r="O1520" s="91"/>
      <c r="P1520" s="91"/>
      <c r="Q1520" s="91"/>
      <c r="R1520" s="91"/>
      <c r="S1520" s="91"/>
      <c r="T1520" s="91"/>
      <c r="U1520" s="91"/>
      <c r="V1520" s="91"/>
      <c r="W1520" s="91"/>
      <c r="X1520" s="91"/>
      <c r="Y1520" s="91"/>
      <c r="Z1520" s="91"/>
      <c r="AA1520" s="91"/>
      <c r="AB1520" s="91"/>
      <c r="AC1520" s="91"/>
      <c r="AD1520" s="91"/>
      <c r="AE1520" s="91"/>
      <c r="AF1520" s="91"/>
      <c r="AG1520" s="91"/>
      <c r="AH1520" s="91"/>
      <c r="AI1520" s="91"/>
      <c r="AJ1520" s="91"/>
      <c r="AK1520" s="91"/>
      <c r="AL1520" s="91"/>
      <c r="AM1520" s="91"/>
      <c r="AN1520" s="91"/>
      <c r="AO1520" s="91"/>
      <c r="AP1520" s="91"/>
      <c r="AQ1520" s="91"/>
      <c r="AR1520" s="91"/>
      <c r="AS1520" s="91"/>
      <c r="AT1520" s="91"/>
      <c r="AU1520" s="91"/>
      <c r="AV1520" s="91"/>
      <c r="AW1520" s="91"/>
      <c r="AX1520" s="91"/>
      <c r="AY1520" s="91"/>
      <c r="AZ1520" s="91"/>
      <c r="BA1520" s="91"/>
      <c r="BB1520" s="91"/>
      <c r="BC1520" s="91"/>
      <c r="BD1520" s="91"/>
      <c r="BE1520" s="91"/>
      <c r="BF1520" s="91"/>
      <c r="BG1520" s="91"/>
      <c r="BH1520" s="91"/>
      <c r="BI1520" s="91"/>
      <c r="BJ1520" s="91"/>
      <c r="BK1520" s="91"/>
      <c r="BL1520" s="91"/>
      <c r="BM1520" s="91"/>
      <c r="BN1520" s="91"/>
      <c r="BO1520" s="91"/>
      <c r="BP1520" s="91"/>
      <c r="BQ1520" s="91"/>
      <c r="BR1520" s="91"/>
      <c r="BS1520" s="91"/>
      <c r="BT1520" s="91"/>
      <c r="BU1520" s="91"/>
      <c r="BV1520" s="91"/>
    </row>
    <row r="1521" spans="1:74" ht="30" hidden="1">
      <c r="A1521" s="111">
        <v>1518</v>
      </c>
      <c r="B1521" s="347" t="s">
        <v>3042</v>
      </c>
      <c r="C1521" s="390" t="s">
        <v>3043</v>
      </c>
      <c r="D1521" s="10" t="s">
        <v>14</v>
      </c>
      <c r="E1521" s="10"/>
      <c r="F1521" s="10"/>
      <c r="G1521" s="165">
        <v>0</v>
      </c>
      <c r="H1521" s="12">
        <f t="shared" si="91"/>
        <v>0</v>
      </c>
      <c r="I1521" s="3">
        <f t="shared" si="92"/>
        <v>0</v>
      </c>
      <c r="J1521" s="33">
        <f t="shared" si="93"/>
        <v>0</v>
      </c>
      <c r="K1521" s="33"/>
      <c r="L1521" s="3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/>
      <c r="BR1521" s="13"/>
      <c r="BS1521" s="13"/>
      <c r="BT1521" s="13"/>
      <c r="BU1521" s="13"/>
      <c r="BV1521" s="13"/>
    </row>
    <row r="1522" spans="1:74" hidden="1">
      <c r="A1522" s="109">
        <v>1519</v>
      </c>
      <c r="B1522" s="157" t="s">
        <v>3044</v>
      </c>
      <c r="C1522" s="158" t="s">
        <v>3045</v>
      </c>
      <c r="D1522" s="121" t="s">
        <v>21</v>
      </c>
      <c r="E1522" s="121"/>
      <c r="F1522" s="121"/>
      <c r="G1522" s="165">
        <v>3</v>
      </c>
      <c r="H1522" s="12">
        <f t="shared" si="91"/>
        <v>0</v>
      </c>
      <c r="I1522" s="3">
        <f t="shared" si="92"/>
        <v>0</v>
      </c>
      <c r="J1522" s="33">
        <f t="shared" si="93"/>
        <v>3</v>
      </c>
      <c r="K1522" s="33"/>
      <c r="L1522" s="3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</row>
    <row r="1523" spans="1:74" hidden="1">
      <c r="A1523" s="109">
        <v>1520</v>
      </c>
      <c r="B1523" s="157" t="s">
        <v>3046</v>
      </c>
      <c r="C1523" s="158" t="s">
        <v>3047</v>
      </c>
      <c r="D1523" s="160" t="s">
        <v>21</v>
      </c>
      <c r="E1523" s="160"/>
      <c r="F1523" s="160"/>
      <c r="G1523" s="165">
        <v>3</v>
      </c>
      <c r="H1523" s="12">
        <f t="shared" si="91"/>
        <v>0</v>
      </c>
      <c r="I1523" s="3">
        <f t="shared" si="92"/>
        <v>0</v>
      </c>
      <c r="J1523" s="33">
        <f t="shared" si="93"/>
        <v>3</v>
      </c>
      <c r="K1523" s="33"/>
      <c r="L1523" s="3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</row>
    <row r="1524" spans="1:74" hidden="1">
      <c r="A1524" s="109">
        <v>1521</v>
      </c>
      <c r="B1524" s="157" t="s">
        <v>3048</v>
      </c>
      <c r="C1524" s="233" t="s">
        <v>3049</v>
      </c>
      <c r="D1524" s="160" t="s">
        <v>21</v>
      </c>
      <c r="E1524" s="160"/>
      <c r="F1524" s="160"/>
      <c r="G1524" s="165">
        <v>2</v>
      </c>
      <c r="H1524" s="12">
        <f t="shared" si="91"/>
        <v>0</v>
      </c>
      <c r="I1524" s="3">
        <f t="shared" si="92"/>
        <v>0</v>
      </c>
      <c r="J1524" s="33">
        <f t="shared" si="93"/>
        <v>2</v>
      </c>
      <c r="K1524" s="33"/>
      <c r="L1524" s="3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3"/>
      <c r="BP1524" s="13"/>
      <c r="BQ1524" s="13"/>
      <c r="BR1524" s="13"/>
      <c r="BS1524" s="13"/>
      <c r="BT1524" s="13"/>
      <c r="BU1524" s="13"/>
      <c r="BV1524" s="13"/>
    </row>
    <row r="1525" spans="1:74" hidden="1">
      <c r="A1525" s="109">
        <v>1522</v>
      </c>
      <c r="B1525" s="157" t="s">
        <v>3050</v>
      </c>
      <c r="C1525" s="233" t="s">
        <v>3051</v>
      </c>
      <c r="D1525" s="160" t="s">
        <v>21</v>
      </c>
      <c r="E1525" s="160"/>
      <c r="F1525" s="160"/>
      <c r="G1525" s="165">
        <v>2</v>
      </c>
      <c r="H1525" s="12">
        <f t="shared" si="91"/>
        <v>0</v>
      </c>
      <c r="I1525" s="3">
        <f t="shared" si="92"/>
        <v>0</v>
      </c>
      <c r="J1525" s="33">
        <f t="shared" si="93"/>
        <v>2</v>
      </c>
      <c r="K1525" s="33"/>
      <c r="L1525" s="3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</row>
    <row r="1526" spans="1:74" hidden="1">
      <c r="A1526" s="109">
        <v>1523</v>
      </c>
      <c r="B1526" s="157" t="s">
        <v>3052</v>
      </c>
      <c r="C1526" s="233" t="s">
        <v>3053</v>
      </c>
      <c r="D1526" s="160" t="s">
        <v>21</v>
      </c>
      <c r="E1526" s="160"/>
      <c r="F1526" s="160"/>
      <c r="G1526" s="165">
        <v>2</v>
      </c>
      <c r="H1526" s="12">
        <f t="shared" si="91"/>
        <v>0</v>
      </c>
      <c r="I1526" s="3">
        <f t="shared" si="92"/>
        <v>0</v>
      </c>
      <c r="J1526" s="33">
        <f t="shared" si="93"/>
        <v>2</v>
      </c>
      <c r="K1526" s="33"/>
      <c r="L1526" s="3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</row>
    <row r="1527" spans="1:74" hidden="1">
      <c r="A1527" s="111">
        <v>1524</v>
      </c>
      <c r="B1527" s="389" t="s">
        <v>3054</v>
      </c>
      <c r="C1527" s="22" t="s">
        <v>3055</v>
      </c>
      <c r="D1527" s="12" t="s">
        <v>21</v>
      </c>
      <c r="E1527" s="12"/>
      <c r="F1527" s="12"/>
      <c r="G1527" s="165">
        <v>60</v>
      </c>
      <c r="H1527" s="12">
        <f t="shared" si="91"/>
        <v>0</v>
      </c>
      <c r="I1527" s="3">
        <f t="shared" si="92"/>
        <v>0</v>
      </c>
      <c r="J1527" s="33">
        <f t="shared" si="93"/>
        <v>60</v>
      </c>
      <c r="K1527" s="33"/>
      <c r="L1527" s="3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/>
      <c r="BR1527" s="13"/>
      <c r="BS1527" s="13"/>
      <c r="BT1527" s="13"/>
      <c r="BU1527" s="13"/>
      <c r="BV1527" s="13"/>
    </row>
    <row r="1528" spans="1:74" hidden="1">
      <c r="A1528" s="111">
        <v>1525</v>
      </c>
      <c r="B1528" s="389" t="s">
        <v>3056</v>
      </c>
      <c r="C1528" s="22" t="s">
        <v>3057</v>
      </c>
      <c r="D1528" s="12" t="s">
        <v>21</v>
      </c>
      <c r="E1528" s="12"/>
      <c r="F1528" s="12"/>
      <c r="G1528" s="165">
        <v>0</v>
      </c>
      <c r="H1528" s="12">
        <f t="shared" si="91"/>
        <v>0</v>
      </c>
      <c r="I1528" s="3">
        <f t="shared" si="92"/>
        <v>0</v>
      </c>
      <c r="J1528" s="33">
        <f t="shared" si="93"/>
        <v>0</v>
      </c>
      <c r="K1528" s="33"/>
      <c r="L1528" s="3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/>
      <c r="BR1528" s="13"/>
      <c r="BS1528" s="13"/>
      <c r="BT1528" s="13"/>
      <c r="BU1528" s="13"/>
      <c r="BV1528" s="13"/>
    </row>
    <row r="1529" spans="1:74" hidden="1">
      <c r="A1529" s="109">
        <v>1526</v>
      </c>
      <c r="B1529" s="121" t="s">
        <v>3058</v>
      </c>
      <c r="C1529" s="210" t="s">
        <v>3059</v>
      </c>
      <c r="D1529" s="160" t="s">
        <v>21</v>
      </c>
      <c r="E1529" s="160"/>
      <c r="F1529" s="160"/>
      <c r="G1529" s="165">
        <v>2</v>
      </c>
      <c r="H1529" s="12">
        <f t="shared" ref="H1529:H1536" si="94">SUM(M1529+O1529+Q1529+S1529+U1529+W1529+Y1529+AA1529+AC1529+AE1529+AG1529+AI1529+AK1529+AM1529+AO1529+AQ1529+AS1529+AU1529+AW1529+AY1529+BA1529+BC1529+BE1529+BG1529+BI1529+BK1529+BM1529+BO1529+BQ1529+BS1529+BU1529)</f>
        <v>0</v>
      </c>
      <c r="I1529" s="3">
        <f t="shared" ref="I1529:I1536" si="95">SUM(N1529+P1529+R1529+T1529+V1529+X1529+Z1529+AB1529+AD1529+AF1529+AH1529+AJ1529+AL1529+AN1529+AP1529+AR1529+AT1529+AV1529+AX1529+AZ1529+BB1529+BD1529+BF1529+BH1529+BJ1529+BL1529+BN1529+BP1529+BR1529+BT1529+BV1529)</f>
        <v>0</v>
      </c>
      <c r="J1529" s="33">
        <f t="shared" ref="J1529:J1536" si="96">G1529+H1529-I1529</f>
        <v>2</v>
      </c>
      <c r="K1529" s="33"/>
      <c r="L1529" s="3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/>
      <c r="BQ1529" s="13"/>
      <c r="BR1529" s="13"/>
      <c r="BS1529" s="13"/>
      <c r="BT1529" s="13"/>
      <c r="BU1529" s="13"/>
      <c r="BV1529" s="13"/>
    </row>
    <row r="1530" spans="1:74" hidden="1">
      <c r="A1530" s="109">
        <v>1527</v>
      </c>
      <c r="B1530" s="121" t="s">
        <v>3060</v>
      </c>
      <c r="C1530" s="210" t="s">
        <v>3061</v>
      </c>
      <c r="D1530" s="160" t="s">
        <v>21</v>
      </c>
      <c r="E1530" s="160"/>
      <c r="F1530" s="160"/>
      <c r="G1530" s="165">
        <v>2</v>
      </c>
      <c r="H1530" s="12">
        <f t="shared" si="94"/>
        <v>0</v>
      </c>
      <c r="I1530" s="3">
        <f t="shared" si="95"/>
        <v>0</v>
      </c>
      <c r="J1530" s="33">
        <f t="shared" si="96"/>
        <v>2</v>
      </c>
      <c r="K1530" s="33"/>
      <c r="L1530" s="3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3"/>
      <c r="BQ1530" s="13"/>
      <c r="BR1530" s="13"/>
      <c r="BS1530" s="13"/>
      <c r="BT1530" s="13"/>
      <c r="BU1530" s="13"/>
      <c r="BV1530" s="13"/>
    </row>
    <row r="1531" spans="1:74" ht="30" hidden="1">
      <c r="A1531" s="109">
        <v>1528</v>
      </c>
      <c r="B1531" s="121" t="s">
        <v>3062</v>
      </c>
      <c r="C1531" s="212" t="s">
        <v>3063</v>
      </c>
      <c r="D1531" s="160" t="s">
        <v>21</v>
      </c>
      <c r="E1531" s="160"/>
      <c r="F1531" s="160"/>
      <c r="G1531" s="165">
        <v>4</v>
      </c>
      <c r="H1531" s="12">
        <f t="shared" si="94"/>
        <v>0</v>
      </c>
      <c r="I1531" s="3">
        <f t="shared" si="95"/>
        <v>0</v>
      </c>
      <c r="J1531" s="33">
        <f t="shared" si="96"/>
        <v>4</v>
      </c>
      <c r="K1531" s="33"/>
      <c r="L1531" s="3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</row>
    <row r="1532" spans="1:74" ht="30" hidden="1">
      <c r="A1532" s="109">
        <v>1529</v>
      </c>
      <c r="B1532" s="121" t="s">
        <v>3064</v>
      </c>
      <c r="C1532" s="212" t="s">
        <v>3065</v>
      </c>
      <c r="D1532" s="160" t="s">
        <v>21</v>
      </c>
      <c r="E1532" s="160"/>
      <c r="F1532" s="160"/>
      <c r="G1532" s="165">
        <v>4</v>
      </c>
      <c r="H1532" s="12">
        <f t="shared" si="94"/>
        <v>0</v>
      </c>
      <c r="I1532" s="3">
        <f t="shared" si="95"/>
        <v>0</v>
      </c>
      <c r="J1532" s="33">
        <f t="shared" si="96"/>
        <v>4</v>
      </c>
      <c r="K1532" s="33"/>
      <c r="L1532" s="3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/>
      <c r="BR1532" s="13"/>
      <c r="BS1532" s="13"/>
      <c r="BT1532" s="13"/>
      <c r="BU1532" s="13"/>
      <c r="BV1532" s="13"/>
    </row>
    <row r="1533" spans="1:74" ht="30" hidden="1">
      <c r="A1533" s="109">
        <v>1530</v>
      </c>
      <c r="B1533" s="121" t="s">
        <v>3066</v>
      </c>
      <c r="C1533" s="212" t="s">
        <v>3067</v>
      </c>
      <c r="D1533" s="160" t="s">
        <v>21</v>
      </c>
      <c r="E1533" s="160"/>
      <c r="F1533" s="160"/>
      <c r="G1533" s="165">
        <v>2</v>
      </c>
      <c r="H1533" s="12">
        <f t="shared" si="94"/>
        <v>0</v>
      </c>
      <c r="I1533" s="3">
        <f t="shared" si="95"/>
        <v>0</v>
      </c>
      <c r="J1533" s="33">
        <f t="shared" si="96"/>
        <v>2</v>
      </c>
      <c r="K1533" s="33"/>
      <c r="L1533" s="3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</row>
    <row r="1534" spans="1:74" ht="30" hidden="1">
      <c r="A1534" s="109">
        <v>1531</v>
      </c>
      <c r="B1534" s="121" t="s">
        <v>3068</v>
      </c>
      <c r="C1534" s="212" t="s">
        <v>3069</v>
      </c>
      <c r="D1534" s="160" t="s">
        <v>21</v>
      </c>
      <c r="E1534" s="160"/>
      <c r="F1534" s="160"/>
      <c r="G1534" s="165">
        <v>2</v>
      </c>
      <c r="H1534" s="12">
        <f t="shared" si="94"/>
        <v>0</v>
      </c>
      <c r="I1534" s="3">
        <f t="shared" si="95"/>
        <v>0</v>
      </c>
      <c r="J1534" s="33">
        <f t="shared" si="96"/>
        <v>2</v>
      </c>
      <c r="K1534" s="33"/>
      <c r="L1534" s="3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</row>
    <row r="1535" spans="1:74" ht="30" hidden="1">
      <c r="A1535" s="109">
        <v>1532</v>
      </c>
      <c r="B1535" s="121" t="s">
        <v>3070</v>
      </c>
      <c r="C1535" s="212" t="s">
        <v>3071</v>
      </c>
      <c r="D1535" s="160" t="s">
        <v>21</v>
      </c>
      <c r="E1535" s="160"/>
      <c r="F1535" s="160"/>
      <c r="G1535" s="165">
        <v>4</v>
      </c>
      <c r="H1535" s="12">
        <f t="shared" si="94"/>
        <v>0</v>
      </c>
      <c r="I1535" s="3">
        <f t="shared" si="95"/>
        <v>0</v>
      </c>
      <c r="J1535" s="33">
        <f t="shared" si="96"/>
        <v>4</v>
      </c>
      <c r="K1535" s="33"/>
      <c r="L1535" s="3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3"/>
      <c r="BQ1535" s="13"/>
      <c r="BR1535" s="13"/>
      <c r="BS1535" s="13"/>
      <c r="BT1535" s="13"/>
      <c r="BU1535" s="13"/>
      <c r="BV1535" s="13"/>
    </row>
    <row r="1536" spans="1:74" ht="30" hidden="1">
      <c r="A1536" s="111">
        <v>1533</v>
      </c>
      <c r="B1536" s="10" t="s">
        <v>3072</v>
      </c>
      <c r="C1536" s="392" t="s">
        <v>3073</v>
      </c>
      <c r="D1536" s="12" t="s">
        <v>21</v>
      </c>
      <c r="E1536" s="12"/>
      <c r="F1536" s="12"/>
      <c r="G1536" s="165">
        <v>4</v>
      </c>
      <c r="H1536" s="12">
        <f t="shared" si="94"/>
        <v>0</v>
      </c>
      <c r="I1536" s="3">
        <f t="shared" si="95"/>
        <v>0</v>
      </c>
      <c r="J1536" s="33">
        <f t="shared" si="96"/>
        <v>4</v>
      </c>
      <c r="K1536" s="33"/>
      <c r="L1536" s="3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3"/>
      <c r="BT1536" s="13"/>
      <c r="BU1536" s="13"/>
      <c r="BV1536" s="13"/>
    </row>
    <row r="1537" spans="1:74" hidden="1">
      <c r="A1537" s="111">
        <v>1534</v>
      </c>
      <c r="B1537" s="389" t="s">
        <v>3074</v>
      </c>
      <c r="C1537" s="352" t="s">
        <v>3075</v>
      </c>
      <c r="D1537" s="10" t="s">
        <v>14</v>
      </c>
      <c r="E1537" s="10"/>
      <c r="F1537" s="10"/>
      <c r="G1537" s="165">
        <v>1</v>
      </c>
      <c r="H1537" s="12">
        <f t="shared" ref="H1537:H1553" si="97">SUM(M1537+O1537+Q1537+S1537+U1537+W1537+Y1537+AA1537+AC1537+AE1537+AG1537+AI1537+AK1537+AM1537+AO1537+AQ1537+AS1537+AU1537+AW1537+AY1537+BA1537+BC1537+BE1537+BG1537+BI1537+BK1537+BM1537+BO1537+BQ1537+BS1537+BU1537)</f>
        <v>0</v>
      </c>
      <c r="I1537" s="3">
        <f t="shared" ref="I1537:I1553" si="98">SUM(N1537+P1537+R1537+T1537+V1537+X1537+Z1537+AB1537+AD1537+AF1537+AH1537+AJ1537+AL1537+AN1537+AP1537+AR1537+AT1537+AV1537+AX1537+AZ1537+BB1537+BD1537+BF1537+BH1537+BJ1537+BL1537+BN1537+BP1537+BR1537+BT1537+BV1537)</f>
        <v>0</v>
      </c>
      <c r="J1537" s="33">
        <f t="shared" ref="J1537:J1553" si="99">G1537+H1537-I1537</f>
        <v>1</v>
      </c>
      <c r="K1537" s="33"/>
      <c r="L1537" s="3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/>
      <c r="BR1537" s="13"/>
      <c r="BS1537" s="13"/>
      <c r="BT1537" s="13"/>
      <c r="BU1537" s="13"/>
      <c r="BV1537" s="13"/>
    </row>
    <row r="1538" spans="1:74" hidden="1">
      <c r="A1538" s="111">
        <v>1535</v>
      </c>
      <c r="B1538" s="389" t="s">
        <v>3076</v>
      </c>
      <c r="C1538" s="352" t="s">
        <v>3077</v>
      </c>
      <c r="D1538" s="10" t="s">
        <v>14</v>
      </c>
      <c r="E1538" s="10"/>
      <c r="F1538" s="10"/>
      <c r="G1538" s="165">
        <v>1</v>
      </c>
      <c r="H1538" s="12">
        <f t="shared" si="97"/>
        <v>0</v>
      </c>
      <c r="I1538" s="3">
        <f t="shared" si="98"/>
        <v>0</v>
      </c>
      <c r="J1538" s="33">
        <f t="shared" si="99"/>
        <v>1</v>
      </c>
      <c r="K1538" s="33"/>
      <c r="L1538" s="3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/>
      <c r="BR1538" s="13"/>
      <c r="BS1538" s="13"/>
      <c r="BT1538" s="13"/>
      <c r="BU1538" s="13"/>
      <c r="BV1538" s="13"/>
    </row>
    <row r="1539" spans="1:74" hidden="1">
      <c r="A1539" s="111">
        <v>1536</v>
      </c>
      <c r="B1539" s="389" t="s">
        <v>3078</v>
      </c>
      <c r="C1539" s="352" t="s">
        <v>3079</v>
      </c>
      <c r="D1539" s="10" t="s">
        <v>21</v>
      </c>
      <c r="E1539" s="10"/>
      <c r="F1539" s="10"/>
      <c r="G1539" s="165">
        <v>1</v>
      </c>
      <c r="H1539" s="12">
        <f t="shared" si="97"/>
        <v>0</v>
      </c>
      <c r="I1539" s="3">
        <f t="shared" si="98"/>
        <v>0</v>
      </c>
      <c r="J1539" s="33">
        <f t="shared" si="99"/>
        <v>1</v>
      </c>
      <c r="K1539" s="33"/>
      <c r="L1539" s="3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  <c r="BR1539" s="13"/>
      <c r="BS1539" s="13"/>
      <c r="BT1539" s="13"/>
      <c r="BU1539" s="13"/>
      <c r="BV1539" s="13"/>
    </row>
    <row r="1540" spans="1:74" hidden="1">
      <c r="A1540" s="109">
        <v>1537</v>
      </c>
      <c r="B1540" s="157" t="s">
        <v>3080</v>
      </c>
      <c r="C1540" s="158" t="s">
        <v>3081</v>
      </c>
      <c r="D1540" s="121" t="s">
        <v>14</v>
      </c>
      <c r="E1540" s="121"/>
      <c r="F1540" s="121"/>
      <c r="G1540" s="165">
        <v>1</v>
      </c>
      <c r="H1540" s="12">
        <f t="shared" si="97"/>
        <v>0</v>
      </c>
      <c r="I1540" s="3">
        <f t="shared" si="98"/>
        <v>0</v>
      </c>
      <c r="J1540" s="33">
        <f t="shared" si="99"/>
        <v>1</v>
      </c>
      <c r="K1540" s="33"/>
      <c r="L1540" s="3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3"/>
      <c r="BP1540" s="13"/>
      <c r="BQ1540" s="13"/>
      <c r="BR1540" s="13"/>
      <c r="BS1540" s="13"/>
      <c r="BT1540" s="13"/>
      <c r="BU1540" s="13"/>
      <c r="BV1540" s="13"/>
    </row>
    <row r="1541" spans="1:74" ht="30" hidden="1">
      <c r="A1541" s="142">
        <v>1538</v>
      </c>
      <c r="B1541" s="299" t="s">
        <v>3082</v>
      </c>
      <c r="C1541" s="360" t="s">
        <v>3083</v>
      </c>
      <c r="D1541" s="256" t="s">
        <v>14</v>
      </c>
      <c r="E1541" s="121"/>
      <c r="F1541" s="121"/>
      <c r="G1541" s="432">
        <v>30</v>
      </c>
      <c r="H1541" s="12">
        <f t="shared" si="97"/>
        <v>0</v>
      </c>
      <c r="I1541" s="3">
        <f t="shared" si="98"/>
        <v>0</v>
      </c>
      <c r="J1541" s="33">
        <f t="shared" si="99"/>
        <v>30</v>
      </c>
      <c r="K1541" s="33"/>
      <c r="L1541" s="3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3"/>
      <c r="BQ1541" s="13"/>
      <c r="BR1541" s="13"/>
      <c r="BS1541" s="13"/>
      <c r="BT1541" s="13"/>
      <c r="BU1541" s="13"/>
      <c r="BV1541" s="13"/>
    </row>
    <row r="1542" spans="1:74" ht="30" hidden="1">
      <c r="A1542" s="142">
        <v>1539</v>
      </c>
      <c r="B1542" s="299" t="s">
        <v>3084</v>
      </c>
      <c r="C1542" s="433" t="s">
        <v>3085</v>
      </c>
      <c r="D1542" s="256" t="s">
        <v>14</v>
      </c>
      <c r="E1542" s="121"/>
      <c r="F1542" s="121"/>
      <c r="G1542" s="165">
        <v>0</v>
      </c>
      <c r="H1542" s="12">
        <f t="shared" si="97"/>
        <v>0</v>
      </c>
      <c r="I1542" s="3">
        <f t="shared" si="98"/>
        <v>0</v>
      </c>
      <c r="J1542" s="33">
        <f t="shared" si="99"/>
        <v>0</v>
      </c>
      <c r="K1542" s="33"/>
      <c r="L1542" s="3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3"/>
      <c r="BQ1542" s="13"/>
      <c r="BR1542" s="13"/>
      <c r="BS1542" s="13"/>
      <c r="BT1542" s="13"/>
      <c r="BU1542" s="13"/>
      <c r="BV1542" s="13"/>
    </row>
    <row r="1543" spans="1:74" ht="30" hidden="1">
      <c r="A1543" s="142">
        <v>1540</v>
      </c>
      <c r="B1543" s="299" t="s">
        <v>3086</v>
      </c>
      <c r="C1543" s="360" t="s">
        <v>3087</v>
      </c>
      <c r="D1543" s="256" t="s">
        <v>14</v>
      </c>
      <c r="E1543" s="121"/>
      <c r="F1543" s="121"/>
      <c r="G1543" s="165">
        <v>29</v>
      </c>
      <c r="H1543" s="12">
        <f t="shared" si="97"/>
        <v>0</v>
      </c>
      <c r="I1543" s="3">
        <f t="shared" si="98"/>
        <v>24</v>
      </c>
      <c r="J1543" s="33">
        <f t="shared" si="99"/>
        <v>5</v>
      </c>
      <c r="K1543" s="33"/>
      <c r="L1543" s="3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>
        <v>24</v>
      </c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3"/>
      <c r="BP1543" s="13"/>
      <c r="BQ1543" s="13"/>
      <c r="BR1543" s="13"/>
      <c r="BS1543" s="13"/>
      <c r="BT1543" s="13"/>
      <c r="BU1543" s="13"/>
      <c r="BV1543" s="13"/>
    </row>
    <row r="1544" spans="1:74" hidden="1">
      <c r="A1544" s="109">
        <v>1541</v>
      </c>
      <c r="B1544" s="157" t="s">
        <v>3088</v>
      </c>
      <c r="C1544" s="158" t="s">
        <v>3089</v>
      </c>
      <c r="D1544" s="121" t="s">
        <v>21</v>
      </c>
      <c r="E1544" s="121"/>
      <c r="F1544" s="121"/>
      <c r="G1544" s="165">
        <v>1</v>
      </c>
      <c r="H1544" s="12">
        <f t="shared" si="97"/>
        <v>0</v>
      </c>
      <c r="I1544" s="3">
        <f t="shared" si="98"/>
        <v>0</v>
      </c>
      <c r="J1544" s="33">
        <f t="shared" si="99"/>
        <v>1</v>
      </c>
      <c r="K1544" s="33"/>
      <c r="L1544" s="3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/>
      <c r="BR1544" s="13"/>
      <c r="BS1544" s="13"/>
      <c r="BT1544" s="13"/>
      <c r="BU1544" s="13"/>
      <c r="BV1544" s="13"/>
    </row>
    <row r="1545" spans="1:74" hidden="1">
      <c r="A1545" s="111">
        <v>1542</v>
      </c>
      <c r="B1545" s="389" t="s">
        <v>3090</v>
      </c>
      <c r="C1545" s="22" t="s">
        <v>3091</v>
      </c>
      <c r="D1545" s="10" t="s">
        <v>21</v>
      </c>
      <c r="E1545" s="10"/>
      <c r="F1545" s="10"/>
      <c r="G1545" s="165">
        <v>1</v>
      </c>
      <c r="H1545" s="12">
        <f t="shared" si="97"/>
        <v>0</v>
      </c>
      <c r="I1545" s="3">
        <f t="shared" si="98"/>
        <v>0</v>
      </c>
      <c r="J1545" s="33">
        <f t="shared" si="99"/>
        <v>1</v>
      </c>
      <c r="K1545" s="33"/>
      <c r="L1545" s="3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</row>
    <row r="1546" spans="1:74" hidden="1">
      <c r="A1546" s="111">
        <v>1543</v>
      </c>
      <c r="B1546" s="389" t="s">
        <v>3092</v>
      </c>
      <c r="C1546" s="22" t="s">
        <v>3093</v>
      </c>
      <c r="D1546" s="10" t="s">
        <v>21</v>
      </c>
      <c r="E1546" s="10"/>
      <c r="F1546" s="10"/>
      <c r="G1546" s="165">
        <v>0</v>
      </c>
      <c r="H1546" s="12">
        <f t="shared" si="97"/>
        <v>0</v>
      </c>
      <c r="I1546" s="3">
        <f t="shared" si="98"/>
        <v>0</v>
      </c>
      <c r="J1546" s="33">
        <f t="shared" si="99"/>
        <v>0</v>
      </c>
      <c r="K1546" s="33"/>
      <c r="L1546" s="3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3"/>
      <c r="BP1546" s="13"/>
      <c r="BQ1546" s="13"/>
      <c r="BR1546" s="13"/>
      <c r="BS1546" s="13"/>
      <c r="BT1546" s="13"/>
      <c r="BU1546" s="13"/>
      <c r="BV1546" s="13"/>
    </row>
    <row r="1547" spans="1:74" hidden="1">
      <c r="A1547" s="111">
        <v>1544</v>
      </c>
      <c r="B1547" s="389" t="s">
        <v>3094</v>
      </c>
      <c r="C1547" s="22" t="s">
        <v>3095</v>
      </c>
      <c r="D1547" s="10" t="s">
        <v>21</v>
      </c>
      <c r="E1547" s="10"/>
      <c r="F1547" s="10"/>
      <c r="G1547" s="165">
        <v>0</v>
      </c>
      <c r="H1547" s="12">
        <f t="shared" si="97"/>
        <v>0</v>
      </c>
      <c r="I1547" s="3">
        <f t="shared" si="98"/>
        <v>0</v>
      </c>
      <c r="J1547" s="33">
        <f t="shared" si="99"/>
        <v>0</v>
      </c>
      <c r="K1547" s="33"/>
      <c r="L1547" s="3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  <c r="BR1547" s="13"/>
      <c r="BS1547" s="13"/>
      <c r="BT1547" s="13"/>
      <c r="BU1547" s="13"/>
      <c r="BV1547" s="13"/>
    </row>
    <row r="1548" spans="1:74" hidden="1">
      <c r="A1548" s="111">
        <v>1545</v>
      </c>
      <c r="B1548" s="389" t="s">
        <v>3096</v>
      </c>
      <c r="C1548" s="22" t="s">
        <v>3097</v>
      </c>
      <c r="D1548" s="10" t="s">
        <v>14</v>
      </c>
      <c r="E1548" s="10"/>
      <c r="F1548" s="10"/>
      <c r="G1548" s="165">
        <v>0</v>
      </c>
      <c r="H1548" s="12">
        <f t="shared" si="97"/>
        <v>0</v>
      </c>
      <c r="I1548" s="3">
        <f t="shared" si="98"/>
        <v>0</v>
      </c>
      <c r="J1548" s="33">
        <f t="shared" si="99"/>
        <v>0</v>
      </c>
      <c r="K1548" s="33"/>
      <c r="L1548" s="3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3"/>
      <c r="BP1548" s="13"/>
      <c r="BQ1548" s="13"/>
      <c r="BR1548" s="13"/>
      <c r="BS1548" s="13"/>
      <c r="BT1548" s="13"/>
      <c r="BU1548" s="13"/>
      <c r="BV1548" s="13"/>
    </row>
    <row r="1549" spans="1:74" hidden="1">
      <c r="A1549" s="111">
        <v>1546</v>
      </c>
      <c r="B1549" s="389" t="s">
        <v>3098</v>
      </c>
      <c r="C1549" s="22" t="s">
        <v>3099</v>
      </c>
      <c r="D1549" s="10" t="s">
        <v>14</v>
      </c>
      <c r="E1549" s="10"/>
      <c r="F1549" s="10"/>
      <c r="G1549" s="165">
        <v>15</v>
      </c>
      <c r="H1549" s="12">
        <f t="shared" si="97"/>
        <v>0</v>
      </c>
      <c r="I1549" s="3">
        <f t="shared" si="98"/>
        <v>0</v>
      </c>
      <c r="J1549" s="33">
        <f t="shared" si="99"/>
        <v>15</v>
      </c>
      <c r="K1549" s="33"/>
      <c r="L1549" s="3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</row>
    <row r="1550" spans="1:74" hidden="1">
      <c r="A1550" s="111">
        <v>1547</v>
      </c>
      <c r="B1550" s="389" t="s">
        <v>3100</v>
      </c>
      <c r="C1550" s="22" t="s">
        <v>3101</v>
      </c>
      <c r="D1550" s="10" t="s">
        <v>14</v>
      </c>
      <c r="E1550" s="10"/>
      <c r="F1550" s="10"/>
      <c r="G1550" s="165">
        <v>285</v>
      </c>
      <c r="H1550" s="12">
        <f t="shared" si="97"/>
        <v>0</v>
      </c>
      <c r="I1550" s="3">
        <f t="shared" si="98"/>
        <v>0</v>
      </c>
      <c r="J1550" s="33">
        <f t="shared" si="99"/>
        <v>285</v>
      </c>
      <c r="K1550" s="33"/>
      <c r="L1550" s="3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3"/>
      <c r="BP1550" s="13"/>
      <c r="BQ1550" s="13"/>
      <c r="BR1550" s="13"/>
      <c r="BS1550" s="13"/>
      <c r="BT1550" s="13"/>
      <c r="BU1550" s="13"/>
      <c r="BV1550" s="13"/>
    </row>
    <row r="1551" spans="1:74" ht="30" hidden="1">
      <c r="A1551" s="111">
        <v>1548</v>
      </c>
      <c r="B1551" s="389" t="s">
        <v>3102</v>
      </c>
      <c r="C1551" s="390" t="s">
        <v>3103</v>
      </c>
      <c r="D1551" s="10" t="s">
        <v>14</v>
      </c>
      <c r="E1551" s="10"/>
      <c r="F1551" s="10"/>
      <c r="G1551" s="165">
        <v>67</v>
      </c>
      <c r="H1551" s="12">
        <f t="shared" si="97"/>
        <v>0</v>
      </c>
      <c r="I1551" s="3">
        <f t="shared" si="98"/>
        <v>0</v>
      </c>
      <c r="J1551" s="33">
        <f t="shared" si="99"/>
        <v>67</v>
      </c>
      <c r="K1551" s="33"/>
      <c r="L1551" s="3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</row>
    <row r="1552" spans="1:74" ht="30" hidden="1">
      <c r="A1552" s="111">
        <v>1549</v>
      </c>
      <c r="B1552" s="389" t="s">
        <v>3104</v>
      </c>
      <c r="C1552" s="350" t="s">
        <v>3105</v>
      </c>
      <c r="D1552" s="10" t="s">
        <v>14</v>
      </c>
      <c r="E1552" s="10"/>
      <c r="F1552" s="10"/>
      <c r="G1552" s="165">
        <v>100</v>
      </c>
      <c r="H1552" s="12">
        <f t="shared" si="97"/>
        <v>0</v>
      </c>
      <c r="I1552" s="3">
        <f t="shared" si="98"/>
        <v>0</v>
      </c>
      <c r="J1552" s="33">
        <f t="shared" si="99"/>
        <v>100</v>
      </c>
      <c r="K1552" s="33"/>
      <c r="L1552" s="3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</row>
    <row r="1553" spans="1:74" hidden="1">
      <c r="A1553" s="111">
        <v>1550</v>
      </c>
      <c r="B1553" s="347" t="s">
        <v>3106</v>
      </c>
      <c r="C1553" s="391" t="s">
        <v>3107</v>
      </c>
      <c r="D1553" s="10" t="s">
        <v>21</v>
      </c>
      <c r="E1553" s="10"/>
      <c r="F1553" s="10"/>
      <c r="G1553" s="165">
        <v>0</v>
      </c>
      <c r="H1553" s="12">
        <f t="shared" si="97"/>
        <v>0</v>
      </c>
      <c r="I1553" s="3">
        <f t="shared" si="98"/>
        <v>0</v>
      </c>
      <c r="J1553" s="33">
        <f t="shared" si="99"/>
        <v>0</v>
      </c>
      <c r="K1553" s="33"/>
      <c r="L1553" s="3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</row>
    <row r="1554" spans="1:74" hidden="1">
      <c r="A1554" s="109">
        <v>1551</v>
      </c>
      <c r="B1554" s="121" t="s">
        <v>3108</v>
      </c>
      <c r="C1554" s="210" t="s">
        <v>3109</v>
      </c>
      <c r="D1554" s="121" t="s">
        <v>21</v>
      </c>
      <c r="E1554" s="121"/>
      <c r="F1554" s="121"/>
      <c r="G1554" s="165">
        <v>138</v>
      </c>
      <c r="H1554" s="12">
        <f t="shared" ref="H1554:H1560" si="100">SUM(M1554+O1554+Q1554+S1554+U1554+W1554+Y1554+AA1554+AC1554+AE1554+AG1554+AI1554+AK1554+AM1554+AO1554+AQ1554+AS1554+AU1554+AW1554+AY1554+BA1554+BC1554+BE1554+BG1554+BI1554+BK1554+BM1554+BO1554+BQ1554+BS1554+BU1554)</f>
        <v>0</v>
      </c>
      <c r="I1554" s="3">
        <f t="shared" ref="I1554:I1560" si="101">SUM(N1554+P1554+R1554+T1554+V1554+X1554+Z1554+AB1554+AD1554+AF1554+AH1554+AJ1554+AL1554+AN1554+AP1554+AR1554+AT1554+AV1554+AX1554+AZ1554+BB1554+BD1554+BF1554+BH1554+BJ1554+BL1554+BN1554+BP1554+BR1554+BT1554+BV1554)</f>
        <v>0</v>
      </c>
      <c r="J1554" s="33">
        <f t="shared" ref="J1554:J1560" si="102">G1554+H1554-I1554</f>
        <v>138</v>
      </c>
      <c r="K1554" s="33"/>
      <c r="L1554" s="3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3"/>
      <c r="BQ1554" s="13"/>
      <c r="BR1554" s="13"/>
      <c r="BS1554" s="13"/>
      <c r="BT1554" s="13"/>
      <c r="BU1554" s="13"/>
      <c r="BV1554" s="13"/>
    </row>
    <row r="1555" spans="1:74" hidden="1">
      <c r="A1555" s="109">
        <v>1552</v>
      </c>
      <c r="B1555" s="121" t="s">
        <v>3110</v>
      </c>
      <c r="C1555" s="210" t="s">
        <v>3111</v>
      </c>
      <c r="D1555" s="121" t="s">
        <v>21</v>
      </c>
      <c r="E1555" s="121"/>
      <c r="F1555" s="121"/>
      <c r="G1555" s="165">
        <v>138</v>
      </c>
      <c r="H1555" s="12">
        <f t="shared" si="100"/>
        <v>0</v>
      </c>
      <c r="I1555" s="3">
        <f t="shared" si="101"/>
        <v>0</v>
      </c>
      <c r="J1555" s="33">
        <f t="shared" si="102"/>
        <v>138</v>
      </c>
      <c r="K1555" s="33"/>
      <c r="L1555" s="3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  <c r="BD1555" s="13"/>
      <c r="BE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3"/>
      <c r="BP1555" s="13"/>
      <c r="BQ1555" s="13"/>
      <c r="BR1555" s="13"/>
      <c r="BS1555" s="13"/>
      <c r="BT1555" s="13"/>
      <c r="BU1555" s="13"/>
      <c r="BV1555" s="13"/>
    </row>
    <row r="1556" spans="1:74" hidden="1">
      <c r="A1556" s="109">
        <v>1553</v>
      </c>
      <c r="B1556" s="121" t="s">
        <v>3112</v>
      </c>
      <c r="C1556" s="210" t="s">
        <v>3113</v>
      </c>
      <c r="D1556" s="121" t="s">
        <v>21</v>
      </c>
      <c r="E1556" s="121"/>
      <c r="F1556" s="121"/>
      <c r="G1556" s="165">
        <v>28</v>
      </c>
      <c r="H1556" s="12">
        <f t="shared" si="100"/>
        <v>0</v>
      </c>
      <c r="I1556" s="3">
        <f t="shared" si="101"/>
        <v>0</v>
      </c>
      <c r="J1556" s="33">
        <f t="shared" si="102"/>
        <v>28</v>
      </c>
      <c r="K1556" s="33"/>
      <c r="L1556" s="3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3"/>
      <c r="BP1556" s="13"/>
      <c r="BQ1556" s="13"/>
      <c r="BR1556" s="13"/>
      <c r="BS1556" s="13"/>
      <c r="BT1556" s="13"/>
      <c r="BU1556" s="13"/>
      <c r="BV1556" s="13"/>
    </row>
    <row r="1557" spans="1:74" hidden="1">
      <c r="A1557" s="109">
        <v>1554</v>
      </c>
      <c r="B1557" s="121" t="s">
        <v>3114</v>
      </c>
      <c r="C1557" s="210" t="s">
        <v>3115</v>
      </c>
      <c r="D1557" s="121" t="s">
        <v>21</v>
      </c>
      <c r="E1557" s="121"/>
      <c r="F1557" s="121"/>
      <c r="G1557" s="165">
        <v>13</v>
      </c>
      <c r="H1557" s="12">
        <f t="shared" si="100"/>
        <v>0</v>
      </c>
      <c r="I1557" s="3">
        <f t="shared" si="101"/>
        <v>0</v>
      </c>
      <c r="J1557" s="33">
        <f t="shared" si="102"/>
        <v>13</v>
      </c>
      <c r="K1557" s="33"/>
      <c r="L1557" s="3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  <c r="BD1557" s="13"/>
      <c r="BE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3"/>
      <c r="BP1557" s="13"/>
      <c r="BQ1557" s="13"/>
      <c r="BR1557" s="13"/>
      <c r="BS1557" s="13"/>
      <c r="BT1557" s="13"/>
      <c r="BU1557" s="13"/>
      <c r="BV1557" s="13"/>
    </row>
    <row r="1558" spans="1:74" hidden="1">
      <c r="A1558" s="109">
        <v>1555</v>
      </c>
      <c r="B1558" s="121" t="s">
        <v>3116</v>
      </c>
      <c r="C1558" s="210" t="s">
        <v>3117</v>
      </c>
      <c r="D1558" s="121" t="s">
        <v>21</v>
      </c>
      <c r="E1558" s="121"/>
      <c r="F1558" s="121"/>
      <c r="G1558" s="165">
        <v>279</v>
      </c>
      <c r="H1558" s="12">
        <f t="shared" si="100"/>
        <v>0</v>
      </c>
      <c r="I1558" s="3">
        <f t="shared" si="101"/>
        <v>0</v>
      </c>
      <c r="J1558" s="33">
        <f t="shared" si="102"/>
        <v>279</v>
      </c>
      <c r="K1558" s="33"/>
      <c r="L1558" s="3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  <c r="BR1558" s="13"/>
      <c r="BS1558" s="13"/>
      <c r="BT1558" s="13"/>
      <c r="BU1558" s="13"/>
      <c r="BV1558" s="13"/>
    </row>
    <row r="1559" spans="1:74" hidden="1">
      <c r="A1559" s="111">
        <v>1556</v>
      </c>
      <c r="B1559" s="121" t="s">
        <v>3118</v>
      </c>
      <c r="C1559" s="210" t="s">
        <v>3119</v>
      </c>
      <c r="D1559" s="121" t="s">
        <v>14</v>
      </c>
      <c r="E1559" s="121"/>
      <c r="F1559" s="121"/>
      <c r="G1559" s="165">
        <v>5</v>
      </c>
      <c r="H1559" s="12">
        <f t="shared" si="100"/>
        <v>0</v>
      </c>
      <c r="I1559" s="3">
        <f t="shared" si="101"/>
        <v>0</v>
      </c>
      <c r="J1559" s="33">
        <f t="shared" si="102"/>
        <v>5</v>
      </c>
      <c r="K1559" s="33"/>
      <c r="L1559" s="3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</row>
    <row r="1560" spans="1:74" hidden="1">
      <c r="A1560" s="142">
        <v>1557</v>
      </c>
      <c r="B1560" s="299" t="s">
        <v>3120</v>
      </c>
      <c r="C1560" s="300" t="s">
        <v>3121</v>
      </c>
      <c r="D1560" s="256" t="s">
        <v>21</v>
      </c>
      <c r="E1560" s="121"/>
      <c r="F1560" s="121"/>
      <c r="G1560" s="165">
        <v>13</v>
      </c>
      <c r="H1560" s="12">
        <f t="shared" si="100"/>
        <v>76</v>
      </c>
      <c r="I1560" s="3">
        <f t="shared" si="101"/>
        <v>0</v>
      </c>
      <c r="J1560" s="33">
        <f t="shared" si="102"/>
        <v>89</v>
      </c>
      <c r="K1560" s="33"/>
      <c r="L1560" s="3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>
        <v>76</v>
      </c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  <c r="BD1560" s="13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3"/>
      <c r="BQ1560" s="13"/>
      <c r="BR1560" s="13"/>
      <c r="BS1560" s="13"/>
      <c r="BT1560" s="13"/>
      <c r="BU1560" s="13"/>
      <c r="BV1560" s="13"/>
    </row>
    <row r="1561" spans="1:74" hidden="1">
      <c r="A1561" s="109">
        <v>1558</v>
      </c>
      <c r="B1561" s="163" t="s">
        <v>3122</v>
      </c>
      <c r="C1561" s="158" t="s">
        <v>3123</v>
      </c>
      <c r="D1561" s="121" t="s">
        <v>21</v>
      </c>
      <c r="E1561" s="121"/>
      <c r="F1561" s="121"/>
      <c r="G1561" s="165">
        <v>4</v>
      </c>
      <c r="H1561" s="12">
        <f t="shared" ref="H1561:H1598" si="103">SUM(M1561+O1561+Q1561+S1561+U1561+W1561+Y1561+AA1561+AC1561+AE1561+AG1561+AI1561+AK1561+AM1561+AO1561+AQ1561+AS1561+AU1561+AW1561+AY1561+BA1561+BC1561+BE1561+BG1561+BI1561+BK1561+BM1561+BO1561+BQ1561+BS1561+BU1561)</f>
        <v>0</v>
      </c>
      <c r="I1561" s="3">
        <f t="shared" ref="I1561:I1598" si="104">SUM(N1561+P1561+R1561+T1561+V1561+X1561+Z1561+AB1561+AD1561+AF1561+AH1561+AJ1561+AL1561+AN1561+AP1561+AR1561+AT1561+AV1561+AX1561+AZ1561+BB1561+BD1561+BF1561+BH1561+BJ1561+BL1561+BN1561+BP1561+BR1561+BT1561+BV1561)</f>
        <v>0</v>
      </c>
      <c r="J1561" s="33">
        <f t="shared" ref="J1561:J1598" si="105">G1561+H1561-I1561</f>
        <v>4</v>
      </c>
      <c r="K1561" s="33"/>
      <c r="L1561" s="3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/>
    </row>
    <row r="1562" spans="1:74" hidden="1">
      <c r="A1562" s="109">
        <v>1559</v>
      </c>
      <c r="B1562" s="163" t="s">
        <v>3124</v>
      </c>
      <c r="C1562" s="158" t="s">
        <v>3125</v>
      </c>
      <c r="D1562" s="121" t="s">
        <v>14</v>
      </c>
      <c r="E1562" s="121"/>
      <c r="F1562" s="121"/>
      <c r="G1562" s="165">
        <v>0</v>
      </c>
      <c r="H1562" s="12">
        <f t="shared" si="103"/>
        <v>0</v>
      </c>
      <c r="I1562" s="3">
        <f t="shared" si="104"/>
        <v>0</v>
      </c>
      <c r="J1562" s="33">
        <f t="shared" si="105"/>
        <v>0</v>
      </c>
      <c r="K1562" s="33"/>
      <c r="L1562" s="3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</row>
    <row r="1563" spans="1:74" hidden="1">
      <c r="A1563" s="109">
        <v>1560</v>
      </c>
      <c r="B1563" s="207" t="s">
        <v>3126</v>
      </c>
      <c r="C1563" s="195" t="s">
        <v>3127</v>
      </c>
      <c r="D1563" s="121" t="s">
        <v>14</v>
      </c>
      <c r="E1563" s="121"/>
      <c r="F1563" s="121"/>
      <c r="G1563" s="165">
        <v>2</v>
      </c>
      <c r="H1563" s="12">
        <f t="shared" si="103"/>
        <v>0</v>
      </c>
      <c r="I1563" s="3">
        <f t="shared" si="104"/>
        <v>0</v>
      </c>
      <c r="J1563" s="33">
        <f t="shared" si="105"/>
        <v>2</v>
      </c>
      <c r="K1563" s="33"/>
      <c r="L1563" s="3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</row>
    <row r="1564" spans="1:74" hidden="1">
      <c r="A1564" s="109">
        <v>1561</v>
      </c>
      <c r="B1564" s="207" t="s">
        <v>3128</v>
      </c>
      <c r="C1564" s="195" t="s">
        <v>3129</v>
      </c>
      <c r="D1564" s="121" t="s">
        <v>14</v>
      </c>
      <c r="E1564" s="121"/>
      <c r="F1564" s="121"/>
      <c r="G1564" s="165">
        <v>2</v>
      </c>
      <c r="H1564" s="12">
        <f t="shared" si="103"/>
        <v>0</v>
      </c>
      <c r="I1564" s="3">
        <f t="shared" si="104"/>
        <v>0</v>
      </c>
      <c r="J1564" s="33">
        <f t="shared" si="105"/>
        <v>2</v>
      </c>
      <c r="K1564" s="33"/>
      <c r="L1564" s="3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</row>
    <row r="1565" spans="1:74" hidden="1">
      <c r="A1565" s="109">
        <v>1562</v>
      </c>
      <c r="B1565" s="207" t="s">
        <v>3130</v>
      </c>
      <c r="C1565" s="195" t="s">
        <v>3131</v>
      </c>
      <c r="D1565" s="121" t="s">
        <v>21</v>
      </c>
      <c r="E1565" s="121"/>
      <c r="F1565" s="121"/>
      <c r="G1565" s="165">
        <v>1</v>
      </c>
      <c r="H1565" s="12">
        <f t="shared" si="103"/>
        <v>0</v>
      </c>
      <c r="I1565" s="3">
        <f t="shared" si="104"/>
        <v>0</v>
      </c>
      <c r="J1565" s="33">
        <f t="shared" si="105"/>
        <v>1</v>
      </c>
      <c r="K1565" s="33"/>
      <c r="L1565" s="3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</row>
    <row r="1566" spans="1:74" hidden="1">
      <c r="A1566" s="109">
        <v>1563</v>
      </c>
      <c r="B1566" s="207" t="s">
        <v>3132</v>
      </c>
      <c r="C1566" s="195" t="s">
        <v>3133</v>
      </c>
      <c r="D1566" s="121" t="s">
        <v>21</v>
      </c>
      <c r="E1566" s="121"/>
      <c r="F1566" s="121"/>
      <c r="G1566" s="165">
        <v>2</v>
      </c>
      <c r="H1566" s="12">
        <f t="shared" si="103"/>
        <v>0</v>
      </c>
      <c r="I1566" s="3">
        <f t="shared" si="104"/>
        <v>0</v>
      </c>
      <c r="J1566" s="33">
        <f t="shared" si="105"/>
        <v>2</v>
      </c>
      <c r="K1566" s="33"/>
      <c r="L1566" s="3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  <c r="BD1566" s="13"/>
      <c r="BE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O1566" s="13"/>
      <c r="BP1566" s="13"/>
      <c r="BQ1566" s="13"/>
      <c r="BR1566" s="13"/>
      <c r="BS1566" s="13"/>
      <c r="BT1566" s="13"/>
      <c r="BU1566" s="13"/>
      <c r="BV1566" s="13"/>
    </row>
    <row r="1567" spans="1:74" hidden="1">
      <c r="A1567" s="109">
        <v>1564</v>
      </c>
      <c r="B1567" s="207" t="s">
        <v>3134</v>
      </c>
      <c r="C1567" s="195" t="s">
        <v>3135</v>
      </c>
      <c r="D1567" s="121" t="s">
        <v>21</v>
      </c>
      <c r="E1567" s="121"/>
      <c r="F1567" s="121"/>
      <c r="G1567" s="165">
        <v>290</v>
      </c>
      <c r="H1567" s="12">
        <f t="shared" si="103"/>
        <v>0</v>
      </c>
      <c r="I1567" s="3">
        <f t="shared" si="104"/>
        <v>0</v>
      </c>
      <c r="J1567" s="33">
        <f t="shared" si="105"/>
        <v>290</v>
      </c>
      <c r="K1567" s="33"/>
      <c r="L1567" s="3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/>
      <c r="BR1567" s="13"/>
      <c r="BS1567" s="13"/>
      <c r="BT1567" s="13"/>
      <c r="BU1567" s="13"/>
      <c r="BV1567" s="13"/>
    </row>
    <row r="1568" spans="1:74" hidden="1">
      <c r="A1568" s="109">
        <v>1565</v>
      </c>
      <c r="B1568" s="207" t="s">
        <v>3136</v>
      </c>
      <c r="C1568" s="195" t="s">
        <v>3137</v>
      </c>
      <c r="D1568" s="121" t="s">
        <v>14</v>
      </c>
      <c r="E1568" s="121"/>
      <c r="F1568" s="121"/>
      <c r="G1568" s="165">
        <v>0</v>
      </c>
      <c r="H1568" s="12">
        <f t="shared" si="103"/>
        <v>0</v>
      </c>
      <c r="I1568" s="3">
        <f t="shared" si="104"/>
        <v>0</v>
      </c>
      <c r="J1568" s="33">
        <f t="shared" si="105"/>
        <v>0</v>
      </c>
      <c r="K1568" s="33"/>
      <c r="L1568" s="3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O1568" s="13"/>
      <c r="BP1568" s="13"/>
      <c r="BQ1568" s="13"/>
      <c r="BR1568" s="13"/>
      <c r="BS1568" s="13"/>
      <c r="BT1568" s="13"/>
      <c r="BU1568" s="13"/>
      <c r="BV1568" s="13"/>
    </row>
    <row r="1569" spans="1:74" hidden="1">
      <c r="A1569" s="109">
        <v>1566</v>
      </c>
      <c r="B1569" s="207" t="s">
        <v>3138</v>
      </c>
      <c r="C1569" s="195" t="s">
        <v>3139</v>
      </c>
      <c r="D1569" s="121" t="s">
        <v>21</v>
      </c>
      <c r="E1569" s="121"/>
      <c r="F1569" s="121"/>
      <c r="G1569" s="165">
        <v>1</v>
      </c>
      <c r="H1569" s="12">
        <f t="shared" si="103"/>
        <v>0</v>
      </c>
      <c r="I1569" s="3">
        <f t="shared" si="104"/>
        <v>0</v>
      </c>
      <c r="J1569" s="33">
        <f t="shared" si="105"/>
        <v>1</v>
      </c>
      <c r="K1569" s="33"/>
      <c r="L1569" s="3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</row>
    <row r="1570" spans="1:74" hidden="1">
      <c r="A1570" s="109">
        <v>1567</v>
      </c>
      <c r="B1570" s="207" t="s">
        <v>3140</v>
      </c>
      <c r="C1570" s="195" t="s">
        <v>3141</v>
      </c>
      <c r="D1570" s="121" t="s">
        <v>21</v>
      </c>
      <c r="E1570" s="121"/>
      <c r="F1570" s="121"/>
      <c r="G1570" s="165">
        <v>1</v>
      </c>
      <c r="H1570" s="12">
        <f t="shared" si="103"/>
        <v>0</v>
      </c>
      <c r="I1570" s="3">
        <f t="shared" si="104"/>
        <v>0</v>
      </c>
      <c r="J1570" s="33">
        <f t="shared" si="105"/>
        <v>1</v>
      </c>
      <c r="K1570" s="33"/>
      <c r="L1570" s="3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/>
      <c r="BJ1570" s="13"/>
      <c r="BK1570" s="13"/>
      <c r="BL1570" s="13"/>
      <c r="BM1570" s="13"/>
      <c r="BN1570" s="13"/>
      <c r="BO1570" s="13"/>
      <c r="BP1570" s="13"/>
      <c r="BQ1570" s="13"/>
      <c r="BR1570" s="13"/>
      <c r="BS1570" s="13"/>
      <c r="BT1570" s="13"/>
      <c r="BU1570" s="13"/>
      <c r="BV1570" s="13"/>
    </row>
    <row r="1571" spans="1:74" hidden="1">
      <c r="A1571" s="109">
        <v>1568</v>
      </c>
      <c r="B1571" s="207" t="s">
        <v>3142</v>
      </c>
      <c r="C1571" s="195" t="s">
        <v>3143</v>
      </c>
      <c r="D1571" s="121" t="s">
        <v>21</v>
      </c>
      <c r="E1571" s="121"/>
      <c r="F1571" s="121"/>
      <c r="G1571" s="165">
        <v>0</v>
      </c>
      <c r="H1571" s="12">
        <f t="shared" si="103"/>
        <v>0</v>
      </c>
      <c r="I1571" s="3">
        <f t="shared" si="104"/>
        <v>0</v>
      </c>
      <c r="J1571" s="33">
        <f t="shared" si="105"/>
        <v>0</v>
      </c>
      <c r="K1571" s="33"/>
      <c r="L1571" s="3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 s="13"/>
      <c r="AT1571" s="13"/>
      <c r="AU1571" s="13"/>
      <c r="AV1571" s="13"/>
      <c r="AW1571" s="13"/>
      <c r="AX1571" s="13"/>
      <c r="AY1571" s="13"/>
      <c r="AZ1571" s="13"/>
      <c r="BA1571" s="13"/>
      <c r="BB1571" s="13"/>
      <c r="BC1571" s="13"/>
      <c r="BD1571" s="13"/>
      <c r="BE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O1571" s="13"/>
      <c r="BP1571" s="13"/>
      <c r="BQ1571" s="13"/>
      <c r="BR1571" s="13"/>
      <c r="BS1571" s="13"/>
      <c r="BT1571" s="13"/>
      <c r="BU1571" s="13"/>
      <c r="BV1571" s="13"/>
    </row>
    <row r="1572" spans="1:74" hidden="1">
      <c r="A1572" s="109">
        <v>1569</v>
      </c>
      <c r="B1572" s="207" t="s">
        <v>3144</v>
      </c>
      <c r="C1572" s="195" t="s">
        <v>3145</v>
      </c>
      <c r="D1572" s="121" t="s">
        <v>21</v>
      </c>
      <c r="E1572" s="121"/>
      <c r="F1572" s="121"/>
      <c r="G1572" s="165">
        <v>275</v>
      </c>
      <c r="H1572" s="12">
        <f t="shared" si="103"/>
        <v>0</v>
      </c>
      <c r="I1572" s="3">
        <f t="shared" si="104"/>
        <v>0</v>
      </c>
      <c r="J1572" s="33">
        <f t="shared" si="105"/>
        <v>275</v>
      </c>
      <c r="K1572" s="33"/>
      <c r="L1572" s="3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3"/>
      <c r="BP1572" s="13"/>
      <c r="BQ1572" s="13"/>
      <c r="BR1572" s="13"/>
      <c r="BS1572" s="13"/>
      <c r="BT1572" s="13"/>
      <c r="BU1572" s="13"/>
      <c r="BV1572" s="13"/>
    </row>
    <row r="1573" spans="1:74" hidden="1">
      <c r="A1573" s="109">
        <v>1570</v>
      </c>
      <c r="B1573" s="207" t="s">
        <v>3146</v>
      </c>
      <c r="C1573" s="195" t="s">
        <v>3147</v>
      </c>
      <c r="D1573" s="121" t="s">
        <v>21</v>
      </c>
      <c r="E1573" s="121"/>
      <c r="F1573" s="121"/>
      <c r="G1573" s="165">
        <v>0</v>
      </c>
      <c r="H1573" s="12">
        <f t="shared" si="103"/>
        <v>0</v>
      </c>
      <c r="I1573" s="3">
        <f t="shared" si="104"/>
        <v>0</v>
      </c>
      <c r="J1573" s="33">
        <f t="shared" si="105"/>
        <v>0</v>
      </c>
      <c r="K1573" s="33"/>
      <c r="L1573" s="3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/>
      <c r="BR1573" s="13"/>
      <c r="BS1573" s="13"/>
      <c r="BT1573" s="13"/>
      <c r="BU1573" s="13"/>
      <c r="BV1573" s="13"/>
    </row>
    <row r="1574" spans="1:74" hidden="1">
      <c r="A1574" s="142">
        <v>1571</v>
      </c>
      <c r="B1574" s="304" t="s">
        <v>3148</v>
      </c>
      <c r="C1574" s="259" t="s">
        <v>3149</v>
      </c>
      <c r="D1574" s="256" t="s">
        <v>21</v>
      </c>
      <c r="E1574" s="121"/>
      <c r="F1574" s="121"/>
      <c r="G1574" s="165">
        <v>3</v>
      </c>
      <c r="H1574" s="12">
        <f t="shared" si="103"/>
        <v>0</v>
      </c>
      <c r="I1574" s="3">
        <f t="shared" si="104"/>
        <v>0</v>
      </c>
      <c r="J1574" s="33">
        <f t="shared" si="105"/>
        <v>3</v>
      </c>
      <c r="K1574" s="33"/>
      <c r="L1574" s="3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/>
      <c r="BR1574" s="13"/>
      <c r="BS1574" s="13"/>
      <c r="BT1574" s="13"/>
      <c r="BU1574" s="13"/>
      <c r="BV1574" s="13"/>
    </row>
    <row r="1575" spans="1:74" hidden="1">
      <c r="A1575" s="142">
        <v>1572</v>
      </c>
      <c r="B1575" s="304" t="s">
        <v>3150</v>
      </c>
      <c r="C1575" s="259" t="s">
        <v>3151</v>
      </c>
      <c r="D1575" s="256" t="s">
        <v>21</v>
      </c>
      <c r="E1575" s="121"/>
      <c r="F1575" s="121"/>
      <c r="G1575" s="165">
        <v>0</v>
      </c>
      <c r="H1575" s="12">
        <f t="shared" si="103"/>
        <v>0</v>
      </c>
      <c r="I1575" s="3">
        <f t="shared" si="104"/>
        <v>0</v>
      </c>
      <c r="J1575" s="33">
        <f t="shared" si="105"/>
        <v>0</v>
      </c>
      <c r="K1575" s="33"/>
      <c r="L1575" s="3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3"/>
      <c r="BP1575" s="13"/>
      <c r="BQ1575" s="13"/>
      <c r="BR1575" s="13"/>
      <c r="BS1575" s="13"/>
      <c r="BT1575" s="13"/>
      <c r="BU1575" s="13"/>
      <c r="BV1575" s="13"/>
    </row>
    <row r="1576" spans="1:74" hidden="1">
      <c r="A1576" s="142">
        <v>1573</v>
      </c>
      <c r="B1576" s="304" t="s">
        <v>3152</v>
      </c>
      <c r="C1576" s="259" t="s">
        <v>3153</v>
      </c>
      <c r="D1576" s="256" t="s">
        <v>21</v>
      </c>
      <c r="E1576" s="121"/>
      <c r="F1576" s="121"/>
      <c r="G1576" s="165">
        <v>0</v>
      </c>
      <c r="H1576" s="12">
        <f t="shared" si="103"/>
        <v>0</v>
      </c>
      <c r="I1576" s="3">
        <f t="shared" si="104"/>
        <v>0</v>
      </c>
      <c r="J1576" s="33">
        <f t="shared" si="105"/>
        <v>0</v>
      </c>
      <c r="K1576" s="33"/>
      <c r="L1576" s="3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/>
      <c r="BR1576" s="13"/>
      <c r="BS1576" s="13"/>
      <c r="BT1576" s="13"/>
      <c r="BU1576" s="13"/>
      <c r="BV1576" s="13"/>
    </row>
    <row r="1577" spans="1:74" hidden="1">
      <c r="A1577" s="142">
        <v>1574</v>
      </c>
      <c r="B1577" s="304" t="s">
        <v>3154</v>
      </c>
      <c r="C1577" s="259" t="s">
        <v>3155</v>
      </c>
      <c r="D1577" s="256" t="s">
        <v>21</v>
      </c>
      <c r="E1577" s="121"/>
      <c r="F1577" s="121"/>
      <c r="G1577" s="165">
        <v>0</v>
      </c>
      <c r="H1577" s="12">
        <f t="shared" si="103"/>
        <v>0</v>
      </c>
      <c r="I1577" s="3">
        <f t="shared" si="104"/>
        <v>0</v>
      </c>
      <c r="J1577" s="33">
        <f t="shared" si="105"/>
        <v>0</v>
      </c>
      <c r="K1577" s="33"/>
      <c r="L1577" s="3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/>
      <c r="BS1577" s="13"/>
      <c r="BT1577" s="13"/>
      <c r="BU1577" s="13"/>
      <c r="BV1577" s="13"/>
    </row>
    <row r="1578" spans="1:74" hidden="1">
      <c r="A1578" s="142">
        <v>1575</v>
      </c>
      <c r="B1578" s="304" t="s">
        <v>3156</v>
      </c>
      <c r="C1578" s="259" t="s">
        <v>3157</v>
      </c>
      <c r="D1578" s="256" t="s">
        <v>21</v>
      </c>
      <c r="E1578" s="121"/>
      <c r="F1578" s="121"/>
      <c r="G1578" s="165">
        <v>0</v>
      </c>
      <c r="H1578" s="12">
        <f t="shared" si="103"/>
        <v>0</v>
      </c>
      <c r="I1578" s="3">
        <f t="shared" si="104"/>
        <v>0</v>
      </c>
      <c r="J1578" s="33">
        <f t="shared" si="105"/>
        <v>0</v>
      </c>
      <c r="K1578" s="33"/>
      <c r="L1578" s="3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3"/>
      <c r="BP1578" s="13"/>
      <c r="BQ1578" s="13"/>
      <c r="BR1578" s="13"/>
      <c r="BS1578" s="13"/>
      <c r="BT1578" s="13"/>
      <c r="BU1578" s="13"/>
      <c r="BV1578" s="13"/>
    </row>
    <row r="1579" spans="1:74" hidden="1">
      <c r="A1579" s="142">
        <v>1576</v>
      </c>
      <c r="B1579" s="304" t="s">
        <v>3158</v>
      </c>
      <c r="C1579" s="259" t="s">
        <v>3159</v>
      </c>
      <c r="D1579" s="256" t="s">
        <v>21</v>
      </c>
      <c r="E1579" s="121"/>
      <c r="F1579" s="121"/>
      <c r="G1579" s="165">
        <v>0</v>
      </c>
      <c r="H1579" s="12">
        <f t="shared" si="103"/>
        <v>0</v>
      </c>
      <c r="I1579" s="3">
        <f t="shared" si="104"/>
        <v>0</v>
      </c>
      <c r="J1579" s="33">
        <f t="shared" si="105"/>
        <v>0</v>
      </c>
      <c r="K1579" s="33"/>
      <c r="L1579" s="3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3"/>
      <c r="BP1579" s="13"/>
      <c r="BQ1579" s="13"/>
      <c r="BR1579" s="13"/>
      <c r="BS1579" s="13"/>
      <c r="BT1579" s="13"/>
      <c r="BU1579" s="13"/>
      <c r="BV1579" s="13"/>
    </row>
    <row r="1580" spans="1:74" hidden="1">
      <c r="A1580" s="142">
        <v>1577</v>
      </c>
      <c r="B1580" s="304" t="s">
        <v>3160</v>
      </c>
      <c r="C1580" s="259" t="s">
        <v>3161</v>
      </c>
      <c r="D1580" s="256" t="s">
        <v>21</v>
      </c>
      <c r="E1580" s="121"/>
      <c r="F1580" s="121"/>
      <c r="G1580" s="165">
        <v>0</v>
      </c>
      <c r="H1580" s="12">
        <f t="shared" si="103"/>
        <v>0</v>
      </c>
      <c r="I1580" s="3">
        <f t="shared" si="104"/>
        <v>0</v>
      </c>
      <c r="J1580" s="33">
        <f t="shared" si="105"/>
        <v>0</v>
      </c>
      <c r="K1580" s="33"/>
      <c r="L1580" s="3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</row>
    <row r="1581" spans="1:74" hidden="1">
      <c r="A1581" s="142">
        <v>1578</v>
      </c>
      <c r="B1581" s="304" t="s">
        <v>3162</v>
      </c>
      <c r="C1581" s="259" t="s">
        <v>3163</v>
      </c>
      <c r="D1581" s="256" t="s">
        <v>21</v>
      </c>
      <c r="E1581" s="121"/>
      <c r="F1581" s="121"/>
      <c r="G1581" s="165">
        <v>0</v>
      </c>
      <c r="H1581" s="12">
        <f t="shared" si="103"/>
        <v>0</v>
      </c>
      <c r="I1581" s="3">
        <f t="shared" si="104"/>
        <v>0</v>
      </c>
      <c r="J1581" s="33">
        <f t="shared" si="105"/>
        <v>0</v>
      </c>
      <c r="K1581" s="33"/>
      <c r="L1581" s="3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  <c r="BR1581" s="13"/>
      <c r="BS1581" s="13"/>
      <c r="BT1581" s="13"/>
      <c r="BU1581" s="13"/>
      <c r="BV1581" s="13"/>
    </row>
    <row r="1582" spans="1:74" hidden="1">
      <c r="A1582" s="142">
        <v>1579</v>
      </c>
      <c r="B1582" s="304" t="s">
        <v>3164</v>
      </c>
      <c r="C1582" s="259" t="s">
        <v>3165</v>
      </c>
      <c r="D1582" s="256" t="s">
        <v>21</v>
      </c>
      <c r="E1582" s="121"/>
      <c r="F1582" s="121"/>
      <c r="G1582" s="165">
        <v>0</v>
      </c>
      <c r="H1582" s="12">
        <f t="shared" si="103"/>
        <v>0</v>
      </c>
      <c r="I1582" s="3">
        <f t="shared" si="104"/>
        <v>0</v>
      </c>
      <c r="J1582" s="33">
        <f t="shared" si="105"/>
        <v>0</v>
      </c>
      <c r="K1582" s="33"/>
      <c r="L1582" s="3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  <c r="BR1582" s="13"/>
      <c r="BS1582" s="13"/>
      <c r="BT1582" s="13"/>
      <c r="BU1582" s="13"/>
      <c r="BV1582" s="13"/>
    </row>
    <row r="1583" spans="1:74" hidden="1">
      <c r="A1583" s="142">
        <v>1580</v>
      </c>
      <c r="B1583" s="325" t="s">
        <v>3166</v>
      </c>
      <c r="C1583" s="260" t="s">
        <v>3167</v>
      </c>
      <c r="D1583" s="261" t="s">
        <v>14</v>
      </c>
      <c r="E1583" s="191"/>
      <c r="F1583" s="191"/>
      <c r="G1583" s="218">
        <v>0</v>
      </c>
      <c r="H1583" s="12">
        <f t="shared" si="103"/>
        <v>0</v>
      </c>
      <c r="I1583" s="3">
        <f t="shared" si="104"/>
        <v>0</v>
      </c>
      <c r="J1583" s="33">
        <f t="shared" si="105"/>
        <v>0</v>
      </c>
      <c r="K1583" s="173"/>
      <c r="L1583" s="173"/>
      <c r="M1583" s="202"/>
      <c r="N1583" s="202"/>
      <c r="O1583" s="202"/>
      <c r="P1583" s="202"/>
      <c r="Q1583" s="202"/>
      <c r="R1583" s="202"/>
      <c r="S1583" s="202"/>
      <c r="T1583" s="202"/>
      <c r="U1583" s="202"/>
      <c r="V1583" s="202"/>
      <c r="W1583" s="202"/>
      <c r="X1583" s="202"/>
      <c r="Y1583" s="202"/>
      <c r="Z1583" s="202"/>
      <c r="AA1583" s="202"/>
      <c r="AB1583" s="202"/>
      <c r="AC1583" s="202"/>
      <c r="AD1583" s="202"/>
      <c r="AE1583" s="202"/>
      <c r="AF1583" s="202"/>
      <c r="AG1583" s="202"/>
      <c r="AH1583" s="202"/>
      <c r="AI1583" s="202"/>
      <c r="AJ1583" s="202"/>
      <c r="AK1583" s="202"/>
      <c r="AL1583" s="202"/>
      <c r="AM1583" s="202"/>
      <c r="AN1583" s="202"/>
      <c r="AO1583" s="202"/>
      <c r="AP1583" s="202"/>
      <c r="AQ1583" s="202"/>
      <c r="AR1583" s="202"/>
      <c r="AS1583" s="202"/>
      <c r="AT1583" s="202"/>
      <c r="AU1583" s="202"/>
      <c r="AV1583" s="202"/>
      <c r="AW1583" s="202"/>
      <c r="AX1583" s="202"/>
      <c r="AY1583" s="202"/>
      <c r="AZ1583" s="202"/>
      <c r="BA1583" s="202"/>
      <c r="BB1583" s="202"/>
      <c r="BC1583" s="202"/>
      <c r="BD1583" s="202"/>
      <c r="BE1583" s="202"/>
      <c r="BF1583" s="202"/>
      <c r="BG1583" s="202"/>
      <c r="BH1583" s="202"/>
      <c r="BI1583" s="202"/>
      <c r="BJ1583" s="202"/>
      <c r="BK1583" s="202"/>
      <c r="BL1583" s="202"/>
      <c r="BM1583" s="202"/>
      <c r="BN1583" s="202"/>
      <c r="BO1583" s="202"/>
      <c r="BP1583" s="202"/>
      <c r="BQ1583" s="202"/>
      <c r="BR1583" s="202"/>
      <c r="BS1583" s="202"/>
      <c r="BT1583" s="202"/>
      <c r="BU1583" s="202"/>
      <c r="BV1583" s="202"/>
    </row>
    <row r="1584" spans="1:74" hidden="1">
      <c r="A1584" s="142">
        <v>1581</v>
      </c>
      <c r="B1584" s="256" t="s">
        <v>3168</v>
      </c>
      <c r="C1584" s="326" t="s">
        <v>3169</v>
      </c>
      <c r="D1584" s="256" t="s">
        <v>21</v>
      </c>
      <c r="E1584" s="121"/>
      <c r="F1584" s="121"/>
      <c r="G1584" s="165">
        <v>0</v>
      </c>
      <c r="H1584" s="12">
        <f t="shared" si="103"/>
        <v>0</v>
      </c>
      <c r="I1584" s="3">
        <f t="shared" si="104"/>
        <v>0</v>
      </c>
      <c r="J1584" s="33">
        <f t="shared" si="105"/>
        <v>0</v>
      </c>
      <c r="K1584" s="33"/>
      <c r="L1584" s="3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O1584" s="13"/>
      <c r="BP1584" s="13"/>
      <c r="BQ1584" s="13"/>
      <c r="BR1584" s="13"/>
      <c r="BS1584" s="13"/>
      <c r="BT1584" s="13"/>
      <c r="BU1584" s="13"/>
      <c r="BV1584" s="13"/>
    </row>
    <row r="1585" spans="1:74" hidden="1">
      <c r="A1585" s="142">
        <v>1582</v>
      </c>
      <c r="B1585" s="256" t="s">
        <v>3170</v>
      </c>
      <c r="C1585" s="326" t="s">
        <v>3171</v>
      </c>
      <c r="D1585" s="256" t="s">
        <v>21</v>
      </c>
      <c r="E1585" s="121"/>
      <c r="F1585" s="121"/>
      <c r="G1585" s="165">
        <v>0</v>
      </c>
      <c r="H1585" s="12">
        <f t="shared" si="103"/>
        <v>0</v>
      </c>
      <c r="I1585" s="3">
        <f t="shared" si="104"/>
        <v>0</v>
      </c>
      <c r="J1585" s="33">
        <f t="shared" si="105"/>
        <v>0</v>
      </c>
      <c r="K1585" s="33"/>
      <c r="L1585" s="3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3"/>
      <c r="BT1585" s="13"/>
      <c r="BU1585" s="13"/>
      <c r="BV1585" s="13"/>
    </row>
    <row r="1586" spans="1:74" s="50" customFormat="1" hidden="1">
      <c r="A1586" s="111">
        <v>1583</v>
      </c>
      <c r="B1586" s="10" t="s">
        <v>3172</v>
      </c>
      <c r="C1586" s="96" t="s">
        <v>3173</v>
      </c>
      <c r="D1586" s="10" t="s">
        <v>21</v>
      </c>
      <c r="E1586" s="10"/>
      <c r="F1586" s="10"/>
      <c r="G1586" s="168">
        <v>1</v>
      </c>
      <c r="H1586" s="12">
        <f t="shared" si="103"/>
        <v>0</v>
      </c>
      <c r="I1586" s="3">
        <f t="shared" si="104"/>
        <v>0</v>
      </c>
      <c r="J1586" s="33">
        <f t="shared" si="105"/>
        <v>1</v>
      </c>
      <c r="K1586" s="33"/>
      <c r="L1586" s="33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0"/>
      <c r="BC1586" s="10"/>
      <c r="BD1586" s="10"/>
      <c r="BE1586" s="10"/>
      <c r="BF1586" s="10"/>
      <c r="BG1586" s="10"/>
      <c r="BH1586" s="10"/>
      <c r="BI1586" s="10"/>
      <c r="BJ1586" s="10"/>
      <c r="BK1586" s="10"/>
      <c r="BL1586" s="10"/>
      <c r="BM1586" s="10"/>
      <c r="BN1586" s="10"/>
      <c r="BO1586" s="10"/>
      <c r="BP1586" s="10"/>
      <c r="BQ1586" s="10"/>
      <c r="BR1586" s="10"/>
      <c r="BS1586" s="10"/>
      <c r="BT1586" s="10"/>
      <c r="BU1586" s="10"/>
      <c r="BV1586" s="10"/>
    </row>
    <row r="1587" spans="1:74" ht="45" hidden="1">
      <c r="A1587" s="142">
        <v>1584</v>
      </c>
      <c r="B1587" s="256" t="s">
        <v>3174</v>
      </c>
      <c r="C1587" s="327" t="s">
        <v>3175</v>
      </c>
      <c r="D1587" s="256" t="s">
        <v>14</v>
      </c>
      <c r="E1587" s="121"/>
      <c r="F1587" s="121"/>
      <c r="G1587" s="165">
        <v>0</v>
      </c>
      <c r="H1587" s="12">
        <f t="shared" si="103"/>
        <v>0</v>
      </c>
      <c r="I1587" s="3">
        <f t="shared" si="104"/>
        <v>0</v>
      </c>
      <c r="J1587" s="33">
        <f t="shared" si="105"/>
        <v>0</v>
      </c>
      <c r="K1587" s="33"/>
      <c r="L1587" s="3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/>
      <c r="BR1587" s="13"/>
      <c r="BS1587" s="13"/>
      <c r="BT1587" s="13"/>
      <c r="BU1587" s="13"/>
      <c r="BV1587" s="13"/>
    </row>
    <row r="1588" spans="1:74" ht="45" hidden="1">
      <c r="A1588" s="142">
        <v>1585</v>
      </c>
      <c r="B1588" s="256" t="s">
        <v>3176</v>
      </c>
      <c r="C1588" s="327" t="s">
        <v>3177</v>
      </c>
      <c r="D1588" s="256" t="s">
        <v>14</v>
      </c>
      <c r="E1588" s="121"/>
      <c r="F1588" s="121"/>
      <c r="G1588" s="165">
        <v>0</v>
      </c>
      <c r="H1588" s="12">
        <f t="shared" si="103"/>
        <v>0</v>
      </c>
      <c r="I1588" s="3">
        <f t="shared" si="104"/>
        <v>0</v>
      </c>
      <c r="J1588" s="33">
        <f t="shared" si="105"/>
        <v>0</v>
      </c>
      <c r="K1588" s="33"/>
      <c r="L1588" s="3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3"/>
      <c r="BT1588" s="13"/>
      <c r="BU1588" s="13"/>
      <c r="BV1588" s="13"/>
    </row>
    <row r="1589" spans="1:74" ht="45" hidden="1">
      <c r="A1589" s="142">
        <v>1586</v>
      </c>
      <c r="B1589" s="256" t="s">
        <v>3178</v>
      </c>
      <c r="C1589" s="327" t="s">
        <v>3179</v>
      </c>
      <c r="D1589" s="256" t="s">
        <v>14</v>
      </c>
      <c r="E1589" s="121"/>
      <c r="F1589" s="121"/>
      <c r="G1589" s="165">
        <v>0</v>
      </c>
      <c r="H1589" s="12">
        <f t="shared" si="103"/>
        <v>0</v>
      </c>
      <c r="I1589" s="3">
        <f t="shared" si="104"/>
        <v>0</v>
      </c>
      <c r="J1589" s="33">
        <f t="shared" si="105"/>
        <v>0</v>
      </c>
      <c r="K1589" s="33"/>
      <c r="L1589" s="3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3"/>
      <c r="BP1589" s="13"/>
      <c r="BQ1589" s="13"/>
      <c r="BR1589" s="13"/>
      <c r="BS1589" s="13"/>
      <c r="BT1589" s="13"/>
      <c r="BU1589" s="13"/>
      <c r="BV1589" s="13"/>
    </row>
    <row r="1590" spans="1:74" ht="30" hidden="1">
      <c r="A1590" s="142">
        <v>1587</v>
      </c>
      <c r="B1590" s="256" t="s">
        <v>3180</v>
      </c>
      <c r="C1590" s="327" t="s">
        <v>3181</v>
      </c>
      <c r="D1590" s="256" t="s">
        <v>14</v>
      </c>
      <c r="E1590" s="121"/>
      <c r="F1590" s="121"/>
      <c r="G1590" s="165">
        <v>0</v>
      </c>
      <c r="H1590" s="12">
        <f t="shared" si="103"/>
        <v>0</v>
      </c>
      <c r="I1590" s="3">
        <f t="shared" si="104"/>
        <v>0</v>
      </c>
      <c r="J1590" s="33">
        <f t="shared" si="105"/>
        <v>0</v>
      </c>
      <c r="K1590" s="33"/>
      <c r="L1590" s="3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</row>
    <row r="1591" spans="1:74" ht="30" hidden="1">
      <c r="A1591" s="142">
        <v>1588</v>
      </c>
      <c r="B1591" s="256" t="s">
        <v>3182</v>
      </c>
      <c r="C1591" s="327" t="s">
        <v>3183</v>
      </c>
      <c r="D1591" s="256" t="s">
        <v>14</v>
      </c>
      <c r="E1591" s="121"/>
      <c r="F1591" s="121"/>
      <c r="G1591" s="165">
        <v>0</v>
      </c>
      <c r="H1591" s="12">
        <f t="shared" si="103"/>
        <v>0</v>
      </c>
      <c r="I1591" s="3">
        <f t="shared" si="104"/>
        <v>0</v>
      </c>
      <c r="J1591" s="33">
        <f t="shared" si="105"/>
        <v>0</v>
      </c>
      <c r="K1591" s="33"/>
      <c r="L1591" s="3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/>
      <c r="BQ1591" s="13"/>
      <c r="BR1591" s="13"/>
      <c r="BS1591" s="13"/>
      <c r="BT1591" s="13"/>
      <c r="BU1591" s="13"/>
      <c r="BV1591" s="13"/>
    </row>
    <row r="1592" spans="1:74" ht="30" hidden="1">
      <c r="A1592" s="142">
        <v>1589</v>
      </c>
      <c r="B1592" s="256" t="s">
        <v>3184</v>
      </c>
      <c r="C1592" s="327" t="s">
        <v>3185</v>
      </c>
      <c r="D1592" s="256" t="s">
        <v>14</v>
      </c>
      <c r="E1592" s="121"/>
      <c r="F1592" s="121"/>
      <c r="G1592" s="165">
        <v>0</v>
      </c>
      <c r="H1592" s="12">
        <f t="shared" si="103"/>
        <v>0</v>
      </c>
      <c r="I1592" s="3">
        <f t="shared" si="104"/>
        <v>0</v>
      </c>
      <c r="J1592" s="33">
        <f t="shared" si="105"/>
        <v>0</v>
      </c>
      <c r="K1592" s="33"/>
      <c r="L1592" s="3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  <c r="BR1592" s="13"/>
      <c r="BS1592" s="13"/>
      <c r="BT1592" s="13"/>
      <c r="BU1592" s="13"/>
      <c r="BV1592" s="13"/>
    </row>
    <row r="1593" spans="1:74" ht="90" hidden="1">
      <c r="A1593" s="107">
        <v>1590</v>
      </c>
      <c r="B1593" s="123" t="s">
        <v>3186</v>
      </c>
      <c r="C1593" s="235" t="s">
        <v>3187</v>
      </c>
      <c r="D1593" s="123" t="s">
        <v>14</v>
      </c>
      <c r="E1593" s="121"/>
      <c r="F1593" s="121"/>
      <c r="G1593" s="165">
        <v>76</v>
      </c>
      <c r="H1593" s="12">
        <f t="shared" si="103"/>
        <v>0</v>
      </c>
      <c r="I1593" s="3">
        <f t="shared" si="104"/>
        <v>0</v>
      </c>
      <c r="J1593" s="33">
        <f t="shared" si="105"/>
        <v>76</v>
      </c>
      <c r="K1593" s="33"/>
      <c r="L1593" s="3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/>
      <c r="BR1593" s="13"/>
      <c r="BS1593" s="13"/>
      <c r="BT1593" s="13"/>
      <c r="BU1593" s="13"/>
      <c r="BV1593" s="13"/>
    </row>
    <row r="1594" spans="1:74" hidden="1">
      <c r="A1594" s="107">
        <v>1591</v>
      </c>
      <c r="B1594" s="123" t="s">
        <v>3188</v>
      </c>
      <c r="C1594" s="122" t="s">
        <v>3189</v>
      </c>
      <c r="D1594" s="123" t="s">
        <v>14</v>
      </c>
      <c r="E1594" s="121"/>
      <c r="F1594" s="121"/>
      <c r="G1594" s="165">
        <v>1</v>
      </c>
      <c r="H1594" s="12">
        <f t="shared" si="103"/>
        <v>0</v>
      </c>
      <c r="I1594" s="3">
        <f t="shared" si="104"/>
        <v>0</v>
      </c>
      <c r="J1594" s="33">
        <f t="shared" si="105"/>
        <v>1</v>
      </c>
      <c r="K1594" s="33"/>
      <c r="L1594" s="3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  <c r="BR1594" s="13"/>
      <c r="BS1594" s="13"/>
      <c r="BT1594" s="13"/>
      <c r="BU1594" s="13"/>
      <c r="BV1594" s="13"/>
    </row>
    <row r="1595" spans="1:74" hidden="1">
      <c r="A1595" s="107">
        <v>1592</v>
      </c>
      <c r="B1595" s="123" t="s">
        <v>3190</v>
      </c>
      <c r="C1595" s="122" t="s">
        <v>3191</v>
      </c>
      <c r="D1595" s="123" t="s">
        <v>14</v>
      </c>
      <c r="E1595" s="121"/>
      <c r="F1595" s="121"/>
      <c r="G1595" s="165">
        <v>1</v>
      </c>
      <c r="H1595" s="12">
        <f t="shared" si="103"/>
        <v>0</v>
      </c>
      <c r="I1595" s="3">
        <f t="shared" si="104"/>
        <v>0</v>
      </c>
      <c r="J1595" s="33">
        <f t="shared" si="105"/>
        <v>1</v>
      </c>
      <c r="K1595" s="33"/>
      <c r="L1595" s="3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/>
      <c r="AO1595" s="13"/>
      <c r="AP1595" s="13"/>
      <c r="AQ1595" s="13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  <c r="BR1595" s="13"/>
      <c r="BS1595" s="13"/>
      <c r="BT1595" s="13"/>
      <c r="BU1595" s="13"/>
      <c r="BV1595" s="13"/>
    </row>
    <row r="1596" spans="1:74" hidden="1">
      <c r="A1596" s="107">
        <v>1593</v>
      </c>
      <c r="B1596" s="123" t="s">
        <v>3192</v>
      </c>
      <c r="C1596" s="122" t="s">
        <v>3193</v>
      </c>
      <c r="D1596" s="123" t="s">
        <v>14</v>
      </c>
      <c r="E1596" s="121"/>
      <c r="F1596" s="121"/>
      <c r="G1596" s="165">
        <v>1</v>
      </c>
      <c r="H1596" s="12">
        <f t="shared" si="103"/>
        <v>0</v>
      </c>
      <c r="I1596" s="3">
        <f t="shared" si="104"/>
        <v>0</v>
      </c>
      <c r="J1596" s="33">
        <f t="shared" si="105"/>
        <v>1</v>
      </c>
      <c r="K1596" s="33"/>
      <c r="L1596" s="3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3"/>
      <c r="BP1596" s="13"/>
      <c r="BQ1596" s="13"/>
      <c r="BR1596" s="13"/>
      <c r="BS1596" s="13"/>
      <c r="BT1596" s="13"/>
      <c r="BU1596" s="13"/>
      <c r="BV1596" s="13"/>
    </row>
    <row r="1597" spans="1:74" hidden="1">
      <c r="A1597" s="107">
        <v>1594</v>
      </c>
      <c r="B1597" s="123" t="s">
        <v>3194</v>
      </c>
      <c r="C1597" s="122" t="s">
        <v>3195</v>
      </c>
      <c r="D1597" s="123" t="s">
        <v>14</v>
      </c>
      <c r="E1597" s="121"/>
      <c r="F1597" s="121"/>
      <c r="G1597" s="165">
        <v>1</v>
      </c>
      <c r="H1597" s="12">
        <f t="shared" si="103"/>
        <v>0</v>
      </c>
      <c r="I1597" s="3">
        <f t="shared" si="104"/>
        <v>0</v>
      </c>
      <c r="J1597" s="33">
        <f t="shared" si="105"/>
        <v>1</v>
      </c>
      <c r="K1597" s="33"/>
      <c r="L1597" s="3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  <c r="BR1597" s="13"/>
      <c r="BS1597" s="13"/>
      <c r="BT1597" s="13"/>
      <c r="BU1597" s="13"/>
      <c r="BV1597" s="13"/>
    </row>
    <row r="1598" spans="1:74" ht="45" hidden="1">
      <c r="A1598" s="107">
        <v>1595</v>
      </c>
      <c r="B1598" s="123" t="s">
        <v>3196</v>
      </c>
      <c r="C1598" s="235" t="s">
        <v>3197</v>
      </c>
      <c r="D1598" s="123" t="s">
        <v>14</v>
      </c>
      <c r="E1598" s="121"/>
      <c r="F1598" s="121"/>
      <c r="G1598" s="165">
        <v>0</v>
      </c>
      <c r="H1598" s="12">
        <f t="shared" si="103"/>
        <v>0</v>
      </c>
      <c r="I1598" s="3">
        <f t="shared" si="104"/>
        <v>0</v>
      </c>
      <c r="J1598" s="33">
        <f t="shared" si="105"/>
        <v>0</v>
      </c>
      <c r="K1598" s="33"/>
      <c r="L1598" s="3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  <c r="BR1598" s="13"/>
      <c r="BS1598" s="13"/>
      <c r="BT1598" s="13"/>
      <c r="BU1598" s="13"/>
      <c r="BV1598" s="13"/>
    </row>
    <row r="1599" spans="1:74" hidden="1">
      <c r="A1599" s="109">
        <v>1596</v>
      </c>
      <c r="B1599" s="213" t="s">
        <v>3198</v>
      </c>
      <c r="C1599" s="236" t="s">
        <v>3199</v>
      </c>
      <c r="D1599" s="123" t="s">
        <v>14</v>
      </c>
      <c r="E1599" s="121"/>
      <c r="F1599" s="121"/>
      <c r="G1599" s="165">
        <v>2</v>
      </c>
      <c r="H1599" s="12">
        <f t="shared" ref="H1599:H1629" si="106">SUM(M1599+O1599+Q1599+S1599+U1599+W1599+Y1599+AA1599+AC1599+AE1599+AG1599+AI1599+AK1599+AM1599+AO1599+AQ1599+AS1599+AU1599+AW1599+AY1599+BA1599+BC1599+BE1599+BG1599+BI1599+BK1599+BM1599+BO1599+BQ1599+BS1599+BU1599)</f>
        <v>0</v>
      </c>
      <c r="I1599" s="3">
        <f t="shared" ref="I1599:I1629" si="107">SUM(N1599+P1599+R1599+T1599+V1599+X1599+Z1599+AB1599+AD1599+AF1599+AH1599+AJ1599+AL1599+AN1599+AP1599+AR1599+AT1599+AV1599+AX1599+AZ1599+BB1599+BD1599+BF1599+BH1599+BJ1599+BL1599+BN1599+BP1599+BR1599+BT1599+BV1599)</f>
        <v>0</v>
      </c>
      <c r="J1599" s="33">
        <f t="shared" ref="J1599:J1629" si="108">G1599+H1599-I1599</f>
        <v>2</v>
      </c>
      <c r="K1599" s="33"/>
      <c r="L1599" s="3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</row>
    <row r="1600" spans="1:74" hidden="1">
      <c r="A1600" s="109">
        <v>1597</v>
      </c>
      <c r="B1600" s="157" t="s">
        <v>3200</v>
      </c>
      <c r="C1600" s="158" t="s">
        <v>3201</v>
      </c>
      <c r="D1600" s="121" t="s">
        <v>14</v>
      </c>
      <c r="E1600" s="121"/>
      <c r="F1600" s="121"/>
      <c r="G1600" s="165">
        <v>2</v>
      </c>
      <c r="H1600" s="12">
        <f t="shared" si="106"/>
        <v>0</v>
      </c>
      <c r="I1600" s="3">
        <f t="shared" si="107"/>
        <v>0</v>
      </c>
      <c r="J1600" s="33">
        <f t="shared" si="108"/>
        <v>2</v>
      </c>
      <c r="K1600" s="33"/>
      <c r="L1600" s="3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3"/>
      <c r="AY1600" s="13"/>
      <c r="AZ1600" s="13"/>
      <c r="BA1600" s="13"/>
      <c r="BB1600" s="13"/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3"/>
      <c r="BP1600" s="13"/>
      <c r="BQ1600" s="13"/>
      <c r="BR1600" s="13"/>
      <c r="BS1600" s="13"/>
      <c r="BT1600" s="13"/>
      <c r="BU1600" s="13"/>
      <c r="BV1600" s="13"/>
    </row>
    <row r="1601" spans="1:74" hidden="1">
      <c r="A1601" s="109">
        <v>1598</v>
      </c>
      <c r="B1601" s="157" t="s">
        <v>3202</v>
      </c>
      <c r="C1601" s="158" t="s">
        <v>3203</v>
      </c>
      <c r="D1601" s="121" t="s">
        <v>14</v>
      </c>
      <c r="E1601" s="121"/>
      <c r="F1601" s="121"/>
      <c r="G1601" s="165">
        <v>2</v>
      </c>
      <c r="H1601" s="12">
        <f t="shared" si="106"/>
        <v>0</v>
      </c>
      <c r="I1601" s="3">
        <f t="shared" si="107"/>
        <v>0</v>
      </c>
      <c r="J1601" s="33">
        <f t="shared" si="108"/>
        <v>2</v>
      </c>
      <c r="K1601" s="33"/>
      <c r="L1601" s="3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</row>
    <row r="1602" spans="1:74" hidden="1">
      <c r="A1602" s="109">
        <v>1599</v>
      </c>
      <c r="B1602" s="237" t="s">
        <v>3204</v>
      </c>
      <c r="C1602" s="135" t="s">
        <v>3205</v>
      </c>
      <c r="D1602" s="121" t="s">
        <v>14</v>
      </c>
      <c r="E1602" s="121"/>
      <c r="F1602" s="121"/>
      <c r="G1602" s="165">
        <v>400</v>
      </c>
      <c r="H1602" s="12">
        <f t="shared" si="106"/>
        <v>0</v>
      </c>
      <c r="I1602" s="3">
        <f t="shared" si="107"/>
        <v>0</v>
      </c>
      <c r="J1602" s="33">
        <f t="shared" si="108"/>
        <v>400</v>
      </c>
      <c r="K1602" s="33"/>
      <c r="L1602" s="3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3"/>
      <c r="BP1602" s="13"/>
      <c r="BQ1602" s="13"/>
      <c r="BR1602" s="13"/>
      <c r="BS1602" s="13"/>
      <c r="BT1602" s="13"/>
      <c r="BU1602" s="13"/>
      <c r="BV1602" s="13"/>
    </row>
    <row r="1603" spans="1:74" ht="30" hidden="1">
      <c r="A1603" s="109">
        <v>1600</v>
      </c>
      <c r="B1603" s="237" t="s">
        <v>3206</v>
      </c>
      <c r="C1603" s="135" t="s">
        <v>3207</v>
      </c>
      <c r="D1603" s="121" t="s">
        <v>14</v>
      </c>
      <c r="E1603" s="121"/>
      <c r="F1603" s="121"/>
      <c r="G1603" s="165">
        <v>15</v>
      </c>
      <c r="H1603" s="12">
        <f t="shared" si="106"/>
        <v>0</v>
      </c>
      <c r="I1603" s="3">
        <f t="shared" si="107"/>
        <v>0</v>
      </c>
      <c r="J1603" s="33">
        <f t="shared" si="108"/>
        <v>15</v>
      </c>
      <c r="K1603" s="33"/>
      <c r="L1603" s="3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</row>
    <row r="1604" spans="1:74" hidden="1">
      <c r="A1604" s="109">
        <v>1601</v>
      </c>
      <c r="B1604" s="237" t="s">
        <v>3208</v>
      </c>
      <c r="C1604" s="135" t="s">
        <v>3209</v>
      </c>
      <c r="D1604" s="121" t="s">
        <v>14</v>
      </c>
      <c r="E1604" s="121"/>
      <c r="F1604" s="121"/>
      <c r="G1604" s="165">
        <v>85</v>
      </c>
      <c r="H1604" s="12">
        <f t="shared" si="106"/>
        <v>0</v>
      </c>
      <c r="I1604" s="3">
        <f t="shared" si="107"/>
        <v>0</v>
      </c>
      <c r="J1604" s="33">
        <f t="shared" si="108"/>
        <v>85</v>
      </c>
      <c r="K1604" s="33"/>
      <c r="L1604" s="3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/>
      <c r="BR1604" s="13"/>
      <c r="BS1604" s="13"/>
      <c r="BT1604" s="13"/>
      <c r="BU1604" s="13"/>
      <c r="BV1604" s="13"/>
    </row>
    <row r="1605" spans="1:74" hidden="1">
      <c r="A1605" s="109">
        <v>1602</v>
      </c>
      <c r="B1605" s="237" t="s">
        <v>3210</v>
      </c>
      <c r="C1605" s="135" t="s">
        <v>3211</v>
      </c>
      <c r="D1605" s="121" t="s">
        <v>14</v>
      </c>
      <c r="E1605" s="121"/>
      <c r="F1605" s="121"/>
      <c r="G1605" s="165">
        <v>2</v>
      </c>
      <c r="H1605" s="12">
        <f t="shared" si="106"/>
        <v>0</v>
      </c>
      <c r="I1605" s="3">
        <f t="shared" si="107"/>
        <v>0</v>
      </c>
      <c r="J1605" s="33">
        <f t="shared" si="108"/>
        <v>2</v>
      </c>
      <c r="K1605" s="33"/>
      <c r="L1605" s="3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/>
      <c r="BR1605" s="13"/>
      <c r="BS1605" s="13"/>
      <c r="BT1605" s="13"/>
      <c r="BU1605" s="13"/>
      <c r="BV1605" s="13"/>
    </row>
    <row r="1606" spans="1:74" hidden="1">
      <c r="A1606" s="109">
        <v>1603</v>
      </c>
      <c r="B1606" s="237" t="s">
        <v>3212</v>
      </c>
      <c r="C1606" s="135" t="s">
        <v>3213</v>
      </c>
      <c r="D1606" s="121" t="s">
        <v>14</v>
      </c>
      <c r="E1606" s="121"/>
      <c r="F1606" s="121"/>
      <c r="G1606" s="165">
        <v>15</v>
      </c>
      <c r="H1606" s="12">
        <f t="shared" si="106"/>
        <v>0</v>
      </c>
      <c r="I1606" s="3">
        <f t="shared" si="107"/>
        <v>0</v>
      </c>
      <c r="J1606" s="33">
        <f t="shared" si="108"/>
        <v>15</v>
      </c>
      <c r="K1606" s="33"/>
      <c r="L1606" s="3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</row>
    <row r="1607" spans="1:74" hidden="1">
      <c r="A1607" s="109">
        <v>1604</v>
      </c>
      <c r="B1607" s="237" t="s">
        <v>3214</v>
      </c>
      <c r="C1607" s="135" t="s">
        <v>3215</v>
      </c>
      <c r="D1607" s="121" t="s">
        <v>14</v>
      </c>
      <c r="E1607" s="121"/>
      <c r="F1607" s="121"/>
      <c r="G1607" s="165">
        <v>20</v>
      </c>
      <c r="H1607" s="12">
        <f t="shared" si="106"/>
        <v>0</v>
      </c>
      <c r="I1607" s="3">
        <f t="shared" si="107"/>
        <v>0</v>
      </c>
      <c r="J1607" s="33">
        <f t="shared" si="108"/>
        <v>20</v>
      </c>
      <c r="K1607" s="33"/>
      <c r="L1607" s="3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</row>
    <row r="1608" spans="1:74" hidden="1">
      <c r="A1608" s="109">
        <v>1605</v>
      </c>
      <c r="B1608" s="237" t="s">
        <v>3216</v>
      </c>
      <c r="C1608" s="135" t="s">
        <v>3217</v>
      </c>
      <c r="D1608" s="121" t="s">
        <v>14</v>
      </c>
      <c r="E1608" s="121"/>
      <c r="F1608" s="121"/>
      <c r="G1608" s="165">
        <v>10</v>
      </c>
      <c r="H1608" s="12">
        <f t="shared" si="106"/>
        <v>0</v>
      </c>
      <c r="I1608" s="3">
        <f t="shared" si="107"/>
        <v>0</v>
      </c>
      <c r="J1608" s="33">
        <f t="shared" si="108"/>
        <v>10</v>
      </c>
      <c r="K1608" s="33"/>
      <c r="L1608" s="3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</row>
    <row r="1609" spans="1:74" hidden="1">
      <c r="A1609" s="109">
        <v>1606</v>
      </c>
      <c r="B1609" s="237" t="s">
        <v>3218</v>
      </c>
      <c r="C1609" s="135" t="s">
        <v>3219</v>
      </c>
      <c r="D1609" s="121" t="s">
        <v>14</v>
      </c>
      <c r="E1609" s="121"/>
      <c r="F1609" s="121"/>
      <c r="G1609" s="165">
        <v>205</v>
      </c>
      <c r="H1609" s="12">
        <f t="shared" si="106"/>
        <v>0</v>
      </c>
      <c r="I1609" s="3">
        <f t="shared" si="107"/>
        <v>0</v>
      </c>
      <c r="J1609" s="33">
        <f t="shared" si="108"/>
        <v>205</v>
      </c>
      <c r="K1609" s="33"/>
      <c r="L1609" s="3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/>
      <c r="BR1609" s="13"/>
      <c r="BS1609" s="13"/>
      <c r="BT1609" s="13"/>
      <c r="BU1609" s="13"/>
      <c r="BV1609" s="13"/>
    </row>
    <row r="1610" spans="1:74" hidden="1">
      <c r="A1610" s="142">
        <v>1607</v>
      </c>
      <c r="B1610" s="328" t="s">
        <v>3220</v>
      </c>
      <c r="C1610" s="290" t="s">
        <v>3221</v>
      </c>
      <c r="D1610" s="256" t="s">
        <v>21</v>
      </c>
      <c r="E1610" s="121"/>
      <c r="F1610" s="121"/>
      <c r="G1610" s="165">
        <v>0</v>
      </c>
      <c r="H1610" s="12">
        <f t="shared" si="106"/>
        <v>0</v>
      </c>
      <c r="I1610" s="3">
        <f t="shared" si="107"/>
        <v>0</v>
      </c>
      <c r="J1610" s="33">
        <f t="shared" si="108"/>
        <v>0</v>
      </c>
      <c r="K1610" s="33"/>
      <c r="L1610" s="3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</row>
    <row r="1611" spans="1:74" hidden="1">
      <c r="A1611" s="142">
        <v>1608</v>
      </c>
      <c r="B1611" s="328" t="s">
        <v>3222</v>
      </c>
      <c r="C1611" s="290" t="s">
        <v>3223</v>
      </c>
      <c r="D1611" s="256" t="s">
        <v>21</v>
      </c>
      <c r="E1611" s="121"/>
      <c r="F1611" s="121"/>
      <c r="G1611" s="165">
        <v>0</v>
      </c>
      <c r="H1611" s="12">
        <f t="shared" si="106"/>
        <v>0</v>
      </c>
      <c r="I1611" s="3">
        <f t="shared" si="107"/>
        <v>0</v>
      </c>
      <c r="J1611" s="33">
        <f t="shared" si="108"/>
        <v>0</v>
      </c>
      <c r="K1611" s="33"/>
      <c r="L1611" s="3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</row>
    <row r="1612" spans="1:74" hidden="1">
      <c r="A1612" s="142">
        <v>1609</v>
      </c>
      <c r="B1612" s="328" t="s">
        <v>3224</v>
      </c>
      <c r="C1612" s="290" t="s">
        <v>3225</v>
      </c>
      <c r="D1612" s="256" t="s">
        <v>21</v>
      </c>
      <c r="E1612" s="121"/>
      <c r="F1612" s="121"/>
      <c r="G1612" s="165">
        <v>0</v>
      </c>
      <c r="H1612" s="12">
        <f t="shared" si="106"/>
        <v>0</v>
      </c>
      <c r="I1612" s="3">
        <f t="shared" si="107"/>
        <v>0</v>
      </c>
      <c r="J1612" s="33">
        <f t="shared" si="108"/>
        <v>0</v>
      </c>
      <c r="K1612" s="33"/>
      <c r="L1612" s="3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/>
      <c r="BR1612" s="13"/>
      <c r="BS1612" s="13"/>
      <c r="BT1612" s="13"/>
      <c r="BU1612" s="13"/>
      <c r="BV1612" s="13"/>
    </row>
    <row r="1613" spans="1:74" hidden="1">
      <c r="A1613" s="142">
        <v>1610</v>
      </c>
      <c r="B1613" s="328" t="s">
        <v>3226</v>
      </c>
      <c r="C1613" s="290" t="s">
        <v>3227</v>
      </c>
      <c r="D1613" s="256" t="s">
        <v>21</v>
      </c>
      <c r="E1613" s="121"/>
      <c r="F1613" s="121"/>
      <c r="G1613" s="165">
        <v>0</v>
      </c>
      <c r="H1613" s="12">
        <f t="shared" si="106"/>
        <v>0</v>
      </c>
      <c r="I1613" s="3">
        <f t="shared" si="107"/>
        <v>0</v>
      </c>
      <c r="J1613" s="33">
        <f t="shared" si="108"/>
        <v>0</v>
      </c>
      <c r="K1613" s="33"/>
      <c r="L1613" s="3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/>
      <c r="AX1613" s="13"/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</row>
    <row r="1614" spans="1:74" hidden="1">
      <c r="A1614" s="109">
        <v>1611</v>
      </c>
      <c r="B1614" s="237" t="s">
        <v>3228</v>
      </c>
      <c r="C1614" s="135" t="s">
        <v>3229</v>
      </c>
      <c r="D1614" s="121" t="s">
        <v>21</v>
      </c>
      <c r="E1614" s="121"/>
      <c r="F1614" s="121"/>
      <c r="G1614" s="165">
        <v>2</v>
      </c>
      <c r="H1614" s="12">
        <f t="shared" si="106"/>
        <v>0</v>
      </c>
      <c r="I1614" s="3">
        <f t="shared" si="107"/>
        <v>0</v>
      </c>
      <c r="J1614" s="33">
        <f t="shared" si="108"/>
        <v>2</v>
      </c>
      <c r="K1614" s="33"/>
      <c r="L1614" s="3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/>
      <c r="BR1614" s="13"/>
      <c r="BS1614" s="13"/>
      <c r="BT1614" s="13"/>
      <c r="BU1614" s="13"/>
      <c r="BV1614" s="13"/>
    </row>
    <row r="1615" spans="1:74" hidden="1">
      <c r="A1615" s="109">
        <v>1612</v>
      </c>
      <c r="B1615" s="237" t="s">
        <v>3230</v>
      </c>
      <c r="C1615" s="135" t="s">
        <v>3231</v>
      </c>
      <c r="D1615" s="121" t="s">
        <v>21</v>
      </c>
      <c r="E1615" s="121"/>
      <c r="F1615" s="121"/>
      <c r="G1615" s="165">
        <v>2</v>
      </c>
      <c r="H1615" s="12">
        <f t="shared" si="106"/>
        <v>0</v>
      </c>
      <c r="I1615" s="3">
        <f t="shared" si="107"/>
        <v>0</v>
      </c>
      <c r="J1615" s="33">
        <f t="shared" si="108"/>
        <v>2</v>
      </c>
      <c r="K1615" s="33"/>
      <c r="L1615" s="3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/>
      <c r="BR1615" s="13"/>
      <c r="BS1615" s="13"/>
      <c r="BT1615" s="13"/>
      <c r="BU1615" s="13"/>
      <c r="BV1615" s="13"/>
    </row>
    <row r="1616" spans="1:74" s="92" customFormat="1" ht="30" hidden="1">
      <c r="A1616" s="109">
        <v>1613</v>
      </c>
      <c r="B1616" s="237" t="s">
        <v>3232</v>
      </c>
      <c r="C1616" s="135" t="s">
        <v>3233</v>
      </c>
      <c r="D1616" s="121" t="s">
        <v>21</v>
      </c>
      <c r="E1616" s="121"/>
      <c r="F1616" s="121"/>
      <c r="G1616" s="183">
        <v>0</v>
      </c>
      <c r="H1616" s="160">
        <f t="shared" si="106"/>
        <v>0</v>
      </c>
      <c r="I1616" s="26">
        <f t="shared" si="107"/>
        <v>0</v>
      </c>
      <c r="J1616" s="30">
        <f t="shared" si="108"/>
        <v>0</v>
      </c>
      <c r="K1616" s="30"/>
      <c r="L1616" s="30"/>
      <c r="M1616" s="121"/>
      <c r="N1616" s="121"/>
      <c r="O1616" s="121"/>
      <c r="P1616" s="121"/>
      <c r="Q1616" s="121"/>
      <c r="R1616" s="121"/>
      <c r="S1616" s="121"/>
      <c r="T1616" s="121"/>
      <c r="U1616" s="121"/>
      <c r="V1616" s="121"/>
      <c r="W1616" s="121"/>
      <c r="X1616" s="121"/>
      <c r="Y1616" s="121"/>
      <c r="Z1616" s="121"/>
      <c r="AA1616" s="121"/>
      <c r="AB1616" s="121"/>
      <c r="AC1616" s="121"/>
      <c r="AD1616" s="121"/>
      <c r="AE1616" s="121"/>
      <c r="AF1616" s="121"/>
      <c r="AG1616" s="121"/>
      <c r="AH1616" s="121"/>
      <c r="AI1616" s="121"/>
      <c r="AJ1616" s="121"/>
      <c r="AK1616" s="121"/>
      <c r="AL1616" s="121"/>
      <c r="AM1616" s="121"/>
      <c r="AN1616" s="121"/>
      <c r="AO1616" s="121"/>
      <c r="AP1616" s="121"/>
      <c r="AQ1616" s="121"/>
      <c r="AR1616" s="121"/>
      <c r="AS1616" s="121"/>
      <c r="AT1616" s="121"/>
      <c r="AU1616" s="121"/>
      <c r="AV1616" s="121"/>
      <c r="AW1616" s="121"/>
      <c r="AX1616" s="121"/>
      <c r="AY1616" s="121"/>
      <c r="AZ1616" s="121"/>
      <c r="BA1616" s="121"/>
      <c r="BB1616" s="121"/>
      <c r="BC1616" s="121"/>
      <c r="BD1616" s="121"/>
      <c r="BE1616" s="121"/>
      <c r="BF1616" s="121"/>
      <c r="BG1616" s="121"/>
      <c r="BH1616" s="121"/>
      <c r="BI1616" s="121"/>
      <c r="BJ1616" s="121"/>
      <c r="BK1616" s="121"/>
      <c r="BL1616" s="121"/>
      <c r="BM1616" s="121"/>
      <c r="BN1616" s="121"/>
      <c r="BO1616" s="121"/>
      <c r="BP1616" s="121"/>
      <c r="BQ1616" s="121"/>
      <c r="BR1616" s="121"/>
      <c r="BS1616" s="121"/>
      <c r="BT1616" s="121"/>
      <c r="BU1616" s="121"/>
      <c r="BV1616" s="121"/>
    </row>
    <row r="1617" spans="1:74" ht="30" hidden="1">
      <c r="A1617" s="109">
        <v>1614</v>
      </c>
      <c r="B1617" s="237" t="s">
        <v>3234</v>
      </c>
      <c r="C1617" s="135" t="s">
        <v>3235</v>
      </c>
      <c r="D1617" s="121" t="s">
        <v>21</v>
      </c>
      <c r="E1617" s="121"/>
      <c r="F1617" s="121"/>
      <c r="G1617" s="165">
        <v>88</v>
      </c>
      <c r="H1617" s="12">
        <f t="shared" si="106"/>
        <v>0</v>
      </c>
      <c r="I1617" s="3">
        <f t="shared" si="107"/>
        <v>0</v>
      </c>
      <c r="J1617" s="33">
        <f t="shared" si="108"/>
        <v>88</v>
      </c>
      <c r="K1617" s="33"/>
      <c r="L1617" s="3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  <c r="AH1617" s="13"/>
      <c r="AI1617" s="13"/>
      <c r="AJ1617" s="13"/>
      <c r="AK1617" s="13"/>
      <c r="AL1617" s="13"/>
      <c r="AM1617" s="13"/>
      <c r="AN1617" s="13"/>
      <c r="AO1617" s="13"/>
      <c r="AP1617" s="13"/>
      <c r="AQ1617" s="13"/>
      <c r="AR1617" s="13"/>
      <c r="AS1617" s="13"/>
      <c r="AT1617" s="13"/>
      <c r="AU1617" s="13"/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O1617" s="13"/>
      <c r="BP1617" s="13"/>
      <c r="BQ1617" s="13"/>
      <c r="BR1617" s="13"/>
      <c r="BS1617" s="13"/>
      <c r="BT1617" s="13"/>
      <c r="BU1617" s="13"/>
      <c r="BV1617" s="13"/>
    </row>
    <row r="1618" spans="1:74" s="92" customFormat="1" ht="30" hidden="1">
      <c r="A1618" s="109">
        <v>1615</v>
      </c>
      <c r="B1618" s="237" t="s">
        <v>3236</v>
      </c>
      <c r="C1618" s="135" t="s">
        <v>3237</v>
      </c>
      <c r="D1618" s="121" t="s">
        <v>21</v>
      </c>
      <c r="E1618" s="121"/>
      <c r="F1618" s="121"/>
      <c r="G1618" s="183">
        <v>0</v>
      </c>
      <c r="H1618" s="160">
        <f t="shared" si="106"/>
        <v>0</v>
      </c>
      <c r="I1618" s="26">
        <f t="shared" si="107"/>
        <v>0</v>
      </c>
      <c r="J1618" s="30">
        <f t="shared" si="108"/>
        <v>0</v>
      </c>
      <c r="K1618" s="30"/>
      <c r="L1618" s="30"/>
      <c r="M1618" s="121"/>
      <c r="N1618" s="121"/>
      <c r="O1618" s="121"/>
      <c r="P1618" s="121"/>
      <c r="Q1618" s="121"/>
      <c r="R1618" s="121"/>
      <c r="S1618" s="121"/>
      <c r="T1618" s="121"/>
      <c r="U1618" s="121"/>
      <c r="V1618" s="121"/>
      <c r="W1618" s="121"/>
      <c r="X1618" s="121"/>
      <c r="Y1618" s="121"/>
      <c r="Z1618" s="121"/>
      <c r="AA1618" s="121"/>
      <c r="AB1618" s="121"/>
      <c r="AC1618" s="121"/>
      <c r="AD1618" s="121"/>
      <c r="AE1618" s="121"/>
      <c r="AF1618" s="121"/>
      <c r="AG1618" s="121"/>
      <c r="AH1618" s="121"/>
      <c r="AI1618" s="121"/>
      <c r="AJ1618" s="121"/>
      <c r="AK1618" s="121"/>
      <c r="AL1618" s="121"/>
      <c r="AM1618" s="121"/>
      <c r="AN1618" s="121"/>
      <c r="AO1618" s="121"/>
      <c r="AP1618" s="121"/>
      <c r="AQ1618" s="121"/>
      <c r="AR1618" s="121"/>
      <c r="AS1618" s="121"/>
      <c r="AT1618" s="121"/>
      <c r="AU1618" s="121"/>
      <c r="AV1618" s="121"/>
      <c r="AW1618" s="121"/>
      <c r="AX1618" s="121"/>
      <c r="AY1618" s="121"/>
      <c r="AZ1618" s="121"/>
      <c r="BA1618" s="121"/>
      <c r="BB1618" s="121"/>
      <c r="BC1618" s="121"/>
      <c r="BD1618" s="121"/>
      <c r="BE1618" s="121"/>
      <c r="BF1618" s="121"/>
      <c r="BG1618" s="121"/>
      <c r="BH1618" s="121"/>
      <c r="BI1618" s="121"/>
      <c r="BJ1618" s="121"/>
      <c r="BK1618" s="121"/>
      <c r="BL1618" s="121"/>
      <c r="BM1618" s="121"/>
      <c r="BN1618" s="121"/>
      <c r="BO1618" s="121"/>
      <c r="BP1618" s="121"/>
      <c r="BQ1618" s="121"/>
      <c r="BR1618" s="121"/>
      <c r="BS1618" s="121"/>
      <c r="BT1618" s="121"/>
      <c r="BU1618" s="121"/>
      <c r="BV1618" s="121"/>
    </row>
    <row r="1619" spans="1:74" ht="30" hidden="1">
      <c r="A1619" s="109">
        <v>1616</v>
      </c>
      <c r="B1619" s="237" t="s">
        <v>3238</v>
      </c>
      <c r="C1619" s="135" t="s">
        <v>3239</v>
      </c>
      <c r="D1619" s="121" t="s">
        <v>14</v>
      </c>
      <c r="E1619" s="121"/>
      <c r="F1619" s="121"/>
      <c r="G1619" s="165">
        <v>40</v>
      </c>
      <c r="H1619" s="12">
        <f t="shared" si="106"/>
        <v>0</v>
      </c>
      <c r="I1619" s="3">
        <f t="shared" si="107"/>
        <v>0</v>
      </c>
      <c r="J1619" s="33">
        <f t="shared" si="108"/>
        <v>40</v>
      </c>
      <c r="K1619" s="33"/>
      <c r="L1619" s="3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</row>
    <row r="1620" spans="1:74" hidden="1">
      <c r="A1620" s="109">
        <v>1617</v>
      </c>
      <c r="B1620" s="237" t="s">
        <v>3240</v>
      </c>
      <c r="C1620" s="135" t="s">
        <v>3241</v>
      </c>
      <c r="D1620" s="121" t="s">
        <v>21</v>
      </c>
      <c r="E1620" s="121"/>
      <c r="F1620" s="121"/>
      <c r="G1620" s="165">
        <v>3</v>
      </c>
      <c r="H1620" s="12">
        <f t="shared" si="106"/>
        <v>0</v>
      </c>
      <c r="I1620" s="3">
        <f t="shared" si="107"/>
        <v>0</v>
      </c>
      <c r="J1620" s="33">
        <f t="shared" si="108"/>
        <v>3</v>
      </c>
      <c r="K1620" s="33"/>
      <c r="L1620" s="3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/>
      <c r="BR1620" s="13"/>
      <c r="BS1620" s="13"/>
      <c r="BT1620" s="13"/>
      <c r="BU1620" s="13"/>
      <c r="BV1620" s="13"/>
    </row>
    <row r="1621" spans="1:74" hidden="1">
      <c r="A1621" s="109">
        <v>1618</v>
      </c>
      <c r="B1621" s="237" t="s">
        <v>3242</v>
      </c>
      <c r="C1621" s="135" t="s">
        <v>3243</v>
      </c>
      <c r="D1621" s="121" t="s">
        <v>21</v>
      </c>
      <c r="E1621" s="121"/>
      <c r="F1621" s="121"/>
      <c r="G1621" s="165">
        <v>0</v>
      </c>
      <c r="H1621" s="12">
        <f t="shared" si="106"/>
        <v>0</v>
      </c>
      <c r="I1621" s="3">
        <f t="shared" si="107"/>
        <v>0</v>
      </c>
      <c r="J1621" s="33">
        <f t="shared" si="108"/>
        <v>0</v>
      </c>
      <c r="K1621" s="33"/>
      <c r="L1621" s="3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3"/>
      <c r="BP1621" s="13"/>
      <c r="BQ1621" s="13"/>
      <c r="BR1621" s="13"/>
      <c r="BS1621" s="13"/>
      <c r="BT1621" s="13"/>
      <c r="BU1621" s="13"/>
      <c r="BV1621" s="13"/>
    </row>
    <row r="1622" spans="1:74" hidden="1">
      <c r="A1622" s="142">
        <v>1619</v>
      </c>
      <c r="B1622" s="328" t="s">
        <v>3244</v>
      </c>
      <c r="C1622" s="290" t="s">
        <v>3245</v>
      </c>
      <c r="D1622" s="256" t="s">
        <v>21</v>
      </c>
      <c r="E1622" s="121"/>
      <c r="F1622" s="121"/>
      <c r="G1622" s="165">
        <v>50</v>
      </c>
      <c r="H1622" s="12">
        <f t="shared" si="106"/>
        <v>0</v>
      </c>
      <c r="I1622" s="3">
        <f t="shared" si="107"/>
        <v>48</v>
      </c>
      <c r="J1622" s="33">
        <f t="shared" si="108"/>
        <v>2</v>
      </c>
      <c r="K1622" s="33"/>
      <c r="L1622" s="3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>
        <v>48</v>
      </c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3"/>
      <c r="BP1622" s="13"/>
      <c r="BQ1622" s="13"/>
      <c r="BR1622" s="13"/>
      <c r="BS1622" s="13"/>
      <c r="BT1622" s="13"/>
      <c r="BU1622" s="13"/>
      <c r="BV1622" s="13"/>
    </row>
    <row r="1623" spans="1:74" hidden="1">
      <c r="A1623" s="109">
        <v>1620</v>
      </c>
      <c r="B1623" s="237" t="s">
        <v>3246</v>
      </c>
      <c r="C1623" s="135" t="s">
        <v>3247</v>
      </c>
      <c r="D1623" s="121" t="s">
        <v>21</v>
      </c>
      <c r="E1623" s="121"/>
      <c r="F1623" s="121"/>
      <c r="G1623" s="165">
        <v>0</v>
      </c>
      <c r="H1623" s="12">
        <f t="shared" si="106"/>
        <v>0</v>
      </c>
      <c r="I1623" s="3">
        <f t="shared" si="107"/>
        <v>0</v>
      </c>
      <c r="J1623" s="33">
        <f t="shared" si="108"/>
        <v>0</v>
      </c>
      <c r="K1623" s="33"/>
      <c r="L1623" s="3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/>
      <c r="BR1623" s="13"/>
      <c r="BS1623" s="13"/>
      <c r="BT1623" s="13"/>
      <c r="BU1623" s="13"/>
      <c r="BV1623" s="13"/>
    </row>
    <row r="1624" spans="1:74" hidden="1">
      <c r="A1624" s="142">
        <v>1621</v>
      </c>
      <c r="B1624" s="328" t="s">
        <v>3248</v>
      </c>
      <c r="C1624" s="290" t="s">
        <v>3249</v>
      </c>
      <c r="D1624" s="256" t="s">
        <v>21</v>
      </c>
      <c r="E1624" s="121"/>
      <c r="F1624" s="121"/>
      <c r="G1624" s="165">
        <v>111</v>
      </c>
      <c r="H1624" s="12">
        <f t="shared" si="106"/>
        <v>0</v>
      </c>
      <c r="I1624" s="3">
        <f t="shared" si="107"/>
        <v>24</v>
      </c>
      <c r="J1624" s="33">
        <f t="shared" si="108"/>
        <v>87</v>
      </c>
      <c r="K1624" s="33"/>
      <c r="L1624" s="3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>
        <v>24</v>
      </c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13"/>
      <c r="AX1624" s="13"/>
      <c r="AY1624" s="13"/>
      <c r="AZ1624" s="13"/>
      <c r="BA1624" s="13"/>
      <c r="BB1624" s="13"/>
      <c r="BC1624" s="13"/>
      <c r="BD1624" s="13"/>
      <c r="BE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O1624" s="13"/>
      <c r="BP1624" s="13"/>
      <c r="BQ1624" s="13"/>
      <c r="BR1624" s="13"/>
      <c r="BS1624" s="13"/>
      <c r="BT1624" s="13"/>
      <c r="BU1624" s="13"/>
      <c r="BV1624" s="13"/>
    </row>
    <row r="1625" spans="1:74" hidden="1">
      <c r="A1625" s="109">
        <v>1622</v>
      </c>
      <c r="B1625" s="237" t="s">
        <v>3136</v>
      </c>
      <c r="C1625" s="135" t="s">
        <v>3137</v>
      </c>
      <c r="D1625" s="121" t="s">
        <v>14</v>
      </c>
      <c r="E1625" s="121"/>
      <c r="F1625" s="121"/>
      <c r="G1625" s="165">
        <v>5</v>
      </c>
      <c r="H1625" s="12">
        <f t="shared" si="106"/>
        <v>0</v>
      </c>
      <c r="I1625" s="3">
        <f t="shared" si="107"/>
        <v>0</v>
      </c>
      <c r="J1625" s="33">
        <f t="shared" si="108"/>
        <v>5</v>
      </c>
      <c r="K1625" s="33"/>
      <c r="L1625" s="3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  <c r="AH1625" s="13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3"/>
      <c r="AS1625" s="13"/>
      <c r="AT1625" s="13"/>
      <c r="AU1625" s="13"/>
      <c r="AV1625" s="13"/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O1625" s="13"/>
      <c r="BP1625" s="13"/>
      <c r="BQ1625" s="13"/>
      <c r="BR1625" s="13"/>
      <c r="BS1625" s="13"/>
      <c r="BT1625" s="13"/>
      <c r="BU1625" s="13"/>
      <c r="BV1625" s="13"/>
    </row>
    <row r="1626" spans="1:74" ht="30" hidden="1">
      <c r="A1626" s="109">
        <v>1623</v>
      </c>
      <c r="B1626" s="237" t="s">
        <v>3250</v>
      </c>
      <c r="C1626" s="135" t="s">
        <v>3251</v>
      </c>
      <c r="D1626" s="121" t="s">
        <v>21</v>
      </c>
      <c r="E1626" s="121"/>
      <c r="F1626" s="121"/>
      <c r="G1626" s="165">
        <v>5</v>
      </c>
      <c r="H1626" s="12">
        <f t="shared" si="106"/>
        <v>0</v>
      </c>
      <c r="I1626" s="3">
        <f t="shared" si="107"/>
        <v>0</v>
      </c>
      <c r="J1626" s="33">
        <f t="shared" si="108"/>
        <v>5</v>
      </c>
      <c r="K1626" s="33"/>
      <c r="L1626" s="3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/>
      <c r="BR1626" s="13"/>
      <c r="BS1626" s="13"/>
      <c r="BT1626" s="13"/>
      <c r="BU1626" s="13"/>
      <c r="BV1626" s="13"/>
    </row>
    <row r="1627" spans="1:74" hidden="1">
      <c r="A1627" s="109">
        <v>1624</v>
      </c>
      <c r="B1627" s="237" t="s">
        <v>3252</v>
      </c>
      <c r="C1627" s="135" t="s">
        <v>3253</v>
      </c>
      <c r="D1627" s="121" t="s">
        <v>21</v>
      </c>
      <c r="E1627" s="121"/>
      <c r="F1627" s="121"/>
      <c r="G1627" s="165">
        <v>78</v>
      </c>
      <c r="H1627" s="12">
        <f t="shared" si="106"/>
        <v>0</v>
      </c>
      <c r="I1627" s="3">
        <f t="shared" si="107"/>
        <v>0</v>
      </c>
      <c r="J1627" s="33">
        <f t="shared" si="108"/>
        <v>78</v>
      </c>
      <c r="K1627" s="33"/>
      <c r="L1627" s="3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O1627" s="13"/>
      <c r="BP1627" s="13"/>
      <c r="BQ1627" s="13"/>
      <c r="BR1627" s="13"/>
      <c r="BS1627" s="13"/>
      <c r="BT1627" s="13"/>
      <c r="BU1627" s="13"/>
      <c r="BV1627" s="13"/>
    </row>
    <row r="1628" spans="1:74" hidden="1">
      <c r="A1628" s="109">
        <v>1625</v>
      </c>
      <c r="B1628" s="237" t="s">
        <v>3254</v>
      </c>
      <c r="C1628" s="135" t="s">
        <v>3255</v>
      </c>
      <c r="D1628" s="121" t="s">
        <v>21</v>
      </c>
      <c r="E1628" s="121"/>
      <c r="F1628" s="121"/>
      <c r="G1628" s="165">
        <v>1</v>
      </c>
      <c r="H1628" s="12">
        <f t="shared" si="106"/>
        <v>0</v>
      </c>
      <c r="I1628" s="3">
        <f t="shared" si="107"/>
        <v>0</v>
      </c>
      <c r="J1628" s="33">
        <f t="shared" si="108"/>
        <v>1</v>
      </c>
      <c r="K1628" s="33"/>
      <c r="L1628" s="3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  <c r="BR1628" s="13"/>
      <c r="BS1628" s="13"/>
      <c r="BT1628" s="13"/>
      <c r="BU1628" s="13"/>
      <c r="BV1628" s="13"/>
    </row>
    <row r="1629" spans="1:74" hidden="1">
      <c r="A1629" s="109">
        <v>1626</v>
      </c>
      <c r="B1629" s="237" t="s">
        <v>3256</v>
      </c>
      <c r="C1629" s="135" t="s">
        <v>3257</v>
      </c>
      <c r="D1629" s="121" t="s">
        <v>21</v>
      </c>
      <c r="E1629" s="121"/>
      <c r="F1629" s="121"/>
      <c r="G1629" s="165">
        <v>0</v>
      </c>
      <c r="H1629" s="12">
        <f t="shared" si="106"/>
        <v>0</v>
      </c>
      <c r="I1629" s="3">
        <f t="shared" si="107"/>
        <v>0</v>
      </c>
      <c r="J1629" s="33">
        <f t="shared" si="108"/>
        <v>0</v>
      </c>
      <c r="K1629" s="33"/>
      <c r="L1629" s="3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</row>
    <row r="1630" spans="1:74" hidden="1">
      <c r="A1630" s="109">
        <v>1627</v>
      </c>
      <c r="B1630" s="195" t="s">
        <v>3258</v>
      </c>
      <c r="C1630" s="195" t="s">
        <v>3259</v>
      </c>
      <c r="D1630" s="121" t="s">
        <v>14</v>
      </c>
      <c r="E1630" s="121"/>
      <c r="F1630" s="121"/>
      <c r="G1630" s="165">
        <v>0</v>
      </c>
      <c r="H1630" s="12">
        <f t="shared" ref="H1630:H1656" si="109">SUM(M1630+O1630+Q1630+S1630+U1630+W1630+Y1630+AA1630+AC1630+AE1630+AG1630+AI1630+AK1630+AM1630+AO1630+AQ1630+AS1630+AU1630+AW1630+AY1630+BA1630+BC1630+BE1630+BG1630+BI1630+BK1630+BM1630+BO1630+BQ1630+BS1630+BU1630)</f>
        <v>0</v>
      </c>
      <c r="I1630" s="3">
        <f t="shared" ref="I1630:I1669" si="110">SUM(N1630+P1630+R1630+T1630+V1630+X1630+Z1630+AB1630+AD1630+AF1630+AH1630+AJ1630+AL1630+AN1630+AP1630+AR1630+AT1630+AV1630+AX1630+AZ1630+BB1630+BD1630+BF1630+BH1630+BJ1630+BL1630+BN1630+BP1630+BR1630+BT1630+BV1630)</f>
        <v>0</v>
      </c>
      <c r="J1630" s="33">
        <f t="shared" ref="J1630:J1655" si="111">G1630+H1630-I1630</f>
        <v>0</v>
      </c>
      <c r="K1630" s="33"/>
      <c r="L1630" s="3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238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  <c r="BR1630" s="13"/>
      <c r="BS1630" s="13"/>
      <c r="BT1630" s="13"/>
      <c r="BU1630" s="13"/>
      <c r="BV1630" s="13"/>
    </row>
    <row r="1631" spans="1:74" hidden="1">
      <c r="A1631" s="109">
        <v>1628</v>
      </c>
      <c r="B1631" s="195" t="s">
        <v>3260</v>
      </c>
      <c r="C1631" s="195" t="s">
        <v>3261</v>
      </c>
      <c r="D1631" s="121" t="s">
        <v>14</v>
      </c>
      <c r="E1631" s="121"/>
      <c r="F1631" s="121"/>
      <c r="G1631" s="165">
        <v>0</v>
      </c>
      <c r="H1631" s="12">
        <f t="shared" si="109"/>
        <v>0</v>
      </c>
      <c r="I1631" s="3">
        <f t="shared" si="110"/>
        <v>0</v>
      </c>
      <c r="J1631" s="33">
        <f t="shared" si="111"/>
        <v>0</v>
      </c>
      <c r="K1631" s="33"/>
      <c r="L1631" s="3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238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</row>
    <row r="1632" spans="1:74" hidden="1">
      <c r="A1632" s="109">
        <v>1629</v>
      </c>
      <c r="B1632" s="195" t="s">
        <v>3262</v>
      </c>
      <c r="C1632" s="195" t="s">
        <v>3263</v>
      </c>
      <c r="D1632" s="121" t="s">
        <v>14</v>
      </c>
      <c r="E1632" s="121"/>
      <c r="F1632" s="121"/>
      <c r="G1632" s="165">
        <v>0</v>
      </c>
      <c r="H1632" s="12">
        <f t="shared" si="109"/>
        <v>0</v>
      </c>
      <c r="I1632" s="3">
        <f t="shared" si="110"/>
        <v>0</v>
      </c>
      <c r="J1632" s="33">
        <f t="shared" si="111"/>
        <v>0</v>
      </c>
      <c r="K1632" s="33"/>
      <c r="L1632" s="3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238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</row>
    <row r="1633" spans="1:74" hidden="1">
      <c r="A1633" s="142">
        <v>1630</v>
      </c>
      <c r="B1633" s="259" t="s">
        <v>3264</v>
      </c>
      <c r="C1633" s="259" t="s">
        <v>3265</v>
      </c>
      <c r="D1633" s="256" t="s">
        <v>14</v>
      </c>
      <c r="E1633" s="10"/>
      <c r="F1633" s="121"/>
      <c r="G1633" s="165">
        <v>1</v>
      </c>
      <c r="H1633" s="12">
        <f t="shared" si="109"/>
        <v>0</v>
      </c>
      <c r="I1633" s="3">
        <f t="shared" si="110"/>
        <v>0</v>
      </c>
      <c r="J1633" s="33">
        <f t="shared" si="111"/>
        <v>1</v>
      </c>
      <c r="K1633" s="33"/>
      <c r="L1633" s="3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238"/>
      <c r="AH1633" s="13"/>
      <c r="AI1633" s="13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  <c r="BD1633" s="13"/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/>
      <c r="BR1633" s="13"/>
      <c r="BS1633" s="13"/>
      <c r="BT1633" s="13"/>
      <c r="BU1633" s="13"/>
      <c r="BV1633" s="13"/>
    </row>
    <row r="1634" spans="1:74" hidden="1">
      <c r="A1634" s="109">
        <v>1631</v>
      </c>
      <c r="B1634" s="195" t="s">
        <v>3266</v>
      </c>
      <c r="C1634" s="195" t="s">
        <v>3267</v>
      </c>
      <c r="D1634" s="121" t="s">
        <v>14</v>
      </c>
      <c r="E1634" s="121"/>
      <c r="F1634" s="121"/>
      <c r="G1634" s="165">
        <v>0</v>
      </c>
      <c r="H1634" s="12">
        <f t="shared" si="109"/>
        <v>0</v>
      </c>
      <c r="I1634" s="3">
        <f t="shared" si="110"/>
        <v>0</v>
      </c>
      <c r="J1634" s="33">
        <f t="shared" si="111"/>
        <v>0</v>
      </c>
      <c r="K1634" s="33"/>
      <c r="L1634" s="3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238"/>
      <c r="AH1634" s="13"/>
      <c r="AI1634" s="13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  <c r="AT1634" s="13"/>
      <c r="AU1634" s="13"/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/>
      <c r="BQ1634" s="13"/>
      <c r="BR1634" s="13"/>
      <c r="BS1634" s="13"/>
      <c r="BT1634" s="13"/>
      <c r="BU1634" s="13"/>
      <c r="BV1634" s="13"/>
    </row>
    <row r="1635" spans="1:74" hidden="1">
      <c r="A1635" s="109">
        <v>1632</v>
      </c>
      <c r="B1635" s="195" t="s">
        <v>3268</v>
      </c>
      <c r="C1635" s="195" t="s">
        <v>3269</v>
      </c>
      <c r="D1635" s="121" t="s">
        <v>14</v>
      </c>
      <c r="E1635" s="121"/>
      <c r="F1635" s="121"/>
      <c r="G1635" s="165">
        <v>0</v>
      </c>
      <c r="H1635" s="12">
        <f t="shared" si="109"/>
        <v>0</v>
      </c>
      <c r="I1635" s="3">
        <f t="shared" si="110"/>
        <v>0</v>
      </c>
      <c r="J1635" s="33">
        <f t="shared" si="111"/>
        <v>0</v>
      </c>
      <c r="K1635" s="33"/>
      <c r="L1635" s="3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238"/>
      <c r="AH1635" s="13"/>
      <c r="AI1635" s="13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/>
      <c r="BR1635" s="13"/>
      <c r="BS1635" s="13"/>
      <c r="BT1635" s="13"/>
      <c r="BU1635" s="13"/>
      <c r="BV1635" s="13"/>
    </row>
    <row r="1636" spans="1:74" hidden="1">
      <c r="A1636" s="142">
        <v>1633</v>
      </c>
      <c r="B1636" s="259" t="s">
        <v>3270</v>
      </c>
      <c r="C1636" s="259" t="s">
        <v>3271</v>
      </c>
      <c r="D1636" s="256" t="s">
        <v>21</v>
      </c>
      <c r="E1636" s="121"/>
      <c r="F1636" s="121"/>
      <c r="G1636" s="165">
        <v>12</v>
      </c>
      <c r="H1636" s="12">
        <f t="shared" si="109"/>
        <v>0</v>
      </c>
      <c r="I1636" s="3">
        <f t="shared" si="110"/>
        <v>0</v>
      </c>
      <c r="J1636" s="33">
        <f t="shared" si="111"/>
        <v>12</v>
      </c>
      <c r="K1636" s="33"/>
      <c r="L1636" s="3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13"/>
      <c r="AX1636" s="13"/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O1636" s="13"/>
      <c r="BP1636" s="13"/>
      <c r="BQ1636" s="13"/>
      <c r="BR1636" s="13"/>
      <c r="BS1636" s="13"/>
      <c r="BT1636" s="13"/>
      <c r="BU1636" s="13"/>
      <c r="BV1636" s="13"/>
    </row>
    <row r="1637" spans="1:74" hidden="1">
      <c r="A1637" s="142">
        <v>1634</v>
      </c>
      <c r="B1637" s="259" t="s">
        <v>3272</v>
      </c>
      <c r="C1637" s="259" t="s">
        <v>3273</v>
      </c>
      <c r="D1637" s="256" t="s">
        <v>21</v>
      </c>
      <c r="E1637" s="121"/>
      <c r="F1637" s="121"/>
      <c r="G1637" s="165">
        <v>12</v>
      </c>
      <c r="H1637" s="12">
        <f t="shared" si="109"/>
        <v>0</v>
      </c>
      <c r="I1637" s="3">
        <f t="shared" si="110"/>
        <v>0</v>
      </c>
      <c r="J1637" s="33">
        <f t="shared" si="111"/>
        <v>12</v>
      </c>
      <c r="K1637" s="33"/>
      <c r="L1637" s="3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/>
      <c r="BR1637" s="13"/>
      <c r="BS1637" s="13"/>
      <c r="BT1637" s="13"/>
      <c r="BU1637" s="13"/>
      <c r="BV1637" s="13"/>
    </row>
    <row r="1638" spans="1:74" hidden="1">
      <c r="A1638" s="142">
        <v>1635</v>
      </c>
      <c r="B1638" s="259" t="s">
        <v>3274</v>
      </c>
      <c r="C1638" s="259" t="s">
        <v>3275</v>
      </c>
      <c r="D1638" s="256" t="s">
        <v>21</v>
      </c>
      <c r="E1638" s="121"/>
      <c r="F1638" s="121"/>
      <c r="G1638" s="165">
        <v>16</v>
      </c>
      <c r="H1638" s="12">
        <f t="shared" si="109"/>
        <v>0</v>
      </c>
      <c r="I1638" s="3">
        <f t="shared" si="110"/>
        <v>0</v>
      </c>
      <c r="J1638" s="33">
        <f t="shared" si="111"/>
        <v>16</v>
      </c>
      <c r="K1638" s="33"/>
      <c r="L1638" s="3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/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</row>
    <row r="1639" spans="1:74" hidden="1">
      <c r="A1639" s="142">
        <v>1636</v>
      </c>
      <c r="B1639" s="259" t="s">
        <v>3276</v>
      </c>
      <c r="C1639" s="259" t="s">
        <v>3277</v>
      </c>
      <c r="D1639" s="256" t="s">
        <v>21</v>
      </c>
      <c r="E1639" s="121"/>
      <c r="F1639" s="121"/>
      <c r="G1639" s="165">
        <v>16</v>
      </c>
      <c r="H1639" s="12">
        <f t="shared" si="109"/>
        <v>0</v>
      </c>
      <c r="I1639" s="3">
        <f t="shared" si="110"/>
        <v>0</v>
      </c>
      <c r="J1639" s="33">
        <f t="shared" si="111"/>
        <v>16</v>
      </c>
      <c r="K1639" s="33"/>
      <c r="L1639" s="3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  <c r="AH1639" s="13"/>
      <c r="AI1639" s="13"/>
      <c r="AJ1639" s="13"/>
      <c r="AK1639" s="13"/>
      <c r="AL1639" s="13"/>
      <c r="AM1639" s="13"/>
      <c r="AN1639" s="13"/>
      <c r="AO1639" s="13"/>
      <c r="AP1639" s="13"/>
      <c r="AQ1639" s="13"/>
      <c r="AR1639" s="13"/>
      <c r="AS1639" s="13"/>
      <c r="AT1639" s="13"/>
      <c r="AU1639" s="13"/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3"/>
      <c r="BP1639" s="13"/>
      <c r="BQ1639" s="13"/>
      <c r="BR1639" s="13"/>
      <c r="BS1639" s="13"/>
      <c r="BT1639" s="13"/>
      <c r="BU1639" s="13"/>
      <c r="BV1639" s="13"/>
    </row>
    <row r="1640" spans="1:74" hidden="1">
      <c r="A1640" s="142">
        <v>1637</v>
      </c>
      <c r="B1640" s="259" t="s">
        <v>3278</v>
      </c>
      <c r="C1640" s="259" t="s">
        <v>3279</v>
      </c>
      <c r="D1640" s="256" t="s">
        <v>21</v>
      </c>
      <c r="E1640" s="121"/>
      <c r="F1640" s="121"/>
      <c r="G1640" s="165">
        <v>24</v>
      </c>
      <c r="H1640" s="12">
        <f t="shared" si="109"/>
        <v>0</v>
      </c>
      <c r="I1640" s="3">
        <f t="shared" si="110"/>
        <v>0</v>
      </c>
      <c r="J1640" s="33">
        <f t="shared" si="111"/>
        <v>24</v>
      </c>
      <c r="K1640" s="33"/>
      <c r="L1640" s="3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/>
      <c r="BR1640" s="13"/>
      <c r="BS1640" s="13"/>
      <c r="BT1640" s="13"/>
      <c r="BU1640" s="13"/>
      <c r="BV1640" s="13"/>
    </row>
    <row r="1641" spans="1:74" hidden="1">
      <c r="A1641" s="109">
        <v>1638</v>
      </c>
      <c r="B1641" s="195" t="s">
        <v>3280</v>
      </c>
      <c r="C1641" s="195" t="s">
        <v>3281</v>
      </c>
      <c r="D1641" s="121" t="s">
        <v>14</v>
      </c>
      <c r="E1641" s="121"/>
      <c r="F1641" s="121"/>
      <c r="G1641" s="165">
        <v>0</v>
      </c>
      <c r="H1641" s="12">
        <f t="shared" si="109"/>
        <v>0</v>
      </c>
      <c r="I1641" s="3">
        <f t="shared" si="110"/>
        <v>0</v>
      </c>
      <c r="J1641" s="33">
        <f t="shared" si="111"/>
        <v>0</v>
      </c>
      <c r="K1641" s="33"/>
      <c r="L1641" s="3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3"/>
      <c r="BP1641" s="13"/>
      <c r="BQ1641" s="13"/>
      <c r="BR1641" s="13"/>
      <c r="BS1641" s="13"/>
      <c r="BT1641" s="13"/>
      <c r="BU1641" s="13"/>
      <c r="BV1641" s="13"/>
    </row>
    <row r="1642" spans="1:74" hidden="1">
      <c r="A1642" s="142">
        <v>1639</v>
      </c>
      <c r="B1642" s="259" t="s">
        <v>3282</v>
      </c>
      <c r="C1642" s="259" t="s">
        <v>3283</v>
      </c>
      <c r="D1642" s="256" t="s">
        <v>21</v>
      </c>
      <c r="E1642" s="121"/>
      <c r="F1642" s="121"/>
      <c r="G1642" s="165">
        <v>24</v>
      </c>
      <c r="H1642" s="12">
        <f t="shared" si="109"/>
        <v>0</v>
      </c>
      <c r="I1642" s="3">
        <f t="shared" si="110"/>
        <v>0</v>
      </c>
      <c r="J1642" s="33">
        <f t="shared" si="111"/>
        <v>24</v>
      </c>
      <c r="K1642" s="33"/>
      <c r="L1642" s="3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13"/>
      <c r="AU1642" s="13"/>
      <c r="AV1642" s="13"/>
      <c r="AW1642" s="13"/>
      <c r="AX1642" s="13"/>
      <c r="AY1642" s="13"/>
      <c r="AZ1642" s="13"/>
      <c r="BA1642" s="13"/>
      <c r="BB1642" s="13"/>
      <c r="BC1642" s="13"/>
      <c r="BD1642" s="13"/>
      <c r="BE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O1642" s="13"/>
      <c r="BP1642" s="13"/>
      <c r="BQ1642" s="13"/>
      <c r="BR1642" s="13"/>
      <c r="BS1642" s="13"/>
      <c r="BT1642" s="13"/>
      <c r="BU1642" s="13"/>
      <c r="BV1642" s="13"/>
    </row>
    <row r="1643" spans="1:74" hidden="1">
      <c r="A1643" s="142">
        <v>1640</v>
      </c>
      <c r="B1643" s="259" t="s">
        <v>3284</v>
      </c>
      <c r="C1643" s="259" t="s">
        <v>3285</v>
      </c>
      <c r="D1643" s="256" t="s">
        <v>21</v>
      </c>
      <c r="E1643" s="121"/>
      <c r="F1643" s="121"/>
      <c r="G1643" s="165">
        <v>104</v>
      </c>
      <c r="H1643" s="12">
        <f t="shared" si="109"/>
        <v>0</v>
      </c>
      <c r="I1643" s="3">
        <f t="shared" si="110"/>
        <v>0</v>
      </c>
      <c r="J1643" s="33">
        <f t="shared" si="111"/>
        <v>104</v>
      </c>
      <c r="K1643" s="33"/>
      <c r="L1643" s="3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  <c r="BR1643" s="13"/>
      <c r="BS1643" s="13"/>
      <c r="BT1643" s="13"/>
      <c r="BU1643" s="13"/>
      <c r="BV1643" s="13"/>
    </row>
    <row r="1644" spans="1:74" hidden="1">
      <c r="A1644" s="256">
        <v>1641</v>
      </c>
      <c r="B1644" s="260" t="s">
        <v>3286</v>
      </c>
      <c r="C1644" s="260" t="s">
        <v>3287</v>
      </c>
      <c r="D1644" s="261" t="s">
        <v>21</v>
      </c>
      <c r="E1644" s="191"/>
      <c r="F1644" s="121"/>
      <c r="G1644" s="165">
        <v>104</v>
      </c>
      <c r="H1644" s="12">
        <f t="shared" si="109"/>
        <v>0</v>
      </c>
      <c r="I1644" s="3">
        <f t="shared" si="110"/>
        <v>0</v>
      </c>
      <c r="J1644" s="33">
        <f t="shared" si="111"/>
        <v>104</v>
      </c>
      <c r="K1644" s="33"/>
      <c r="L1644" s="3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3"/>
      <c r="BP1644" s="13"/>
      <c r="BQ1644" s="13"/>
      <c r="BR1644" s="13"/>
      <c r="BS1644" s="13"/>
      <c r="BT1644" s="13"/>
      <c r="BU1644" s="13"/>
      <c r="BV1644" s="13"/>
    </row>
    <row r="1645" spans="1:74" hidden="1">
      <c r="A1645" s="256">
        <v>1642</v>
      </c>
      <c r="B1645" s="257" t="s">
        <v>3524</v>
      </c>
      <c r="C1645" s="258" t="s">
        <v>3525</v>
      </c>
      <c r="D1645" s="143" t="s">
        <v>21</v>
      </c>
      <c r="E1645" s="26"/>
      <c r="F1645" s="13"/>
      <c r="G1645" s="165">
        <v>33</v>
      </c>
      <c r="H1645" s="12">
        <f t="shared" si="109"/>
        <v>0</v>
      </c>
      <c r="I1645" s="3">
        <f t="shared" si="110"/>
        <v>0</v>
      </c>
      <c r="J1645" s="33">
        <f t="shared" si="111"/>
        <v>33</v>
      </c>
      <c r="K1645" s="33"/>
      <c r="L1645" s="3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/>
      <c r="BR1645" s="13"/>
      <c r="BS1645" s="13"/>
      <c r="BT1645" s="13"/>
      <c r="BU1645" s="13"/>
      <c r="BV1645" s="13"/>
    </row>
    <row r="1646" spans="1:74" hidden="1">
      <c r="A1646" s="256">
        <v>1643</v>
      </c>
      <c r="B1646" s="253" t="s">
        <v>3526</v>
      </c>
      <c r="C1646" s="258" t="s">
        <v>3527</v>
      </c>
      <c r="D1646" s="143" t="s">
        <v>21</v>
      </c>
      <c r="E1646" s="26"/>
      <c r="F1646" s="13"/>
      <c r="G1646" s="165">
        <v>33</v>
      </c>
      <c r="H1646" s="12">
        <f t="shared" si="109"/>
        <v>0</v>
      </c>
      <c r="I1646" s="3">
        <f t="shared" si="110"/>
        <v>0</v>
      </c>
      <c r="J1646" s="33">
        <f t="shared" si="111"/>
        <v>33</v>
      </c>
      <c r="K1646" s="33"/>
      <c r="L1646" s="3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/>
      <c r="BV1646" s="13"/>
    </row>
    <row r="1647" spans="1:74" hidden="1">
      <c r="A1647" s="261">
        <v>1644</v>
      </c>
      <c r="B1647" s="264" t="s">
        <v>3528</v>
      </c>
      <c r="C1647" s="329" t="s">
        <v>3529</v>
      </c>
      <c r="D1647" s="263" t="s">
        <v>21</v>
      </c>
      <c r="E1647" s="161"/>
      <c r="F1647" s="13"/>
      <c r="G1647" s="165">
        <v>1</v>
      </c>
      <c r="H1647" s="12">
        <f t="shared" si="109"/>
        <v>0</v>
      </c>
      <c r="I1647" s="3">
        <f t="shared" si="110"/>
        <v>0</v>
      </c>
      <c r="J1647" s="33">
        <f t="shared" si="111"/>
        <v>1</v>
      </c>
      <c r="K1647" s="33"/>
      <c r="L1647" s="3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</row>
    <row r="1648" spans="1:74" hidden="1">
      <c r="A1648" s="256">
        <v>1645</v>
      </c>
      <c r="B1648" s="279" t="s">
        <v>3530</v>
      </c>
      <c r="C1648" s="330" t="s">
        <v>3531</v>
      </c>
      <c r="D1648" s="280" t="s">
        <v>21</v>
      </c>
      <c r="E1648" s="383"/>
      <c r="F1648" s="13"/>
      <c r="G1648" s="165">
        <v>1</v>
      </c>
      <c r="H1648" s="12">
        <f t="shared" si="109"/>
        <v>0</v>
      </c>
      <c r="I1648" s="3">
        <f t="shared" si="110"/>
        <v>0</v>
      </c>
      <c r="J1648" s="33">
        <f t="shared" si="111"/>
        <v>1</v>
      </c>
      <c r="K1648" s="33"/>
      <c r="L1648" s="3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  <c r="BR1648" s="13"/>
      <c r="BS1648" s="13"/>
      <c r="BT1648" s="13"/>
      <c r="BU1648" s="13"/>
      <c r="BV1648" s="13"/>
    </row>
    <row r="1649" spans="1:74" hidden="1">
      <c r="A1649" s="269">
        <v>1646</v>
      </c>
      <c r="B1649" s="278" t="s">
        <v>3532</v>
      </c>
      <c r="C1649" s="331" t="s">
        <v>3535</v>
      </c>
      <c r="D1649" s="262" t="s">
        <v>21</v>
      </c>
      <c r="E1649" s="381"/>
      <c r="F1649" s="13"/>
      <c r="G1649" s="165">
        <v>23</v>
      </c>
      <c r="H1649" s="12">
        <f t="shared" si="109"/>
        <v>0</v>
      </c>
      <c r="I1649" s="3">
        <f t="shared" si="110"/>
        <v>0</v>
      </c>
      <c r="J1649" s="33">
        <f t="shared" si="111"/>
        <v>23</v>
      </c>
      <c r="K1649" s="33"/>
      <c r="L1649" s="3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/>
      <c r="BR1649" s="13"/>
      <c r="BS1649" s="13"/>
      <c r="BT1649" s="13"/>
      <c r="BU1649" s="13"/>
      <c r="BV1649" s="13"/>
    </row>
    <row r="1650" spans="1:74" hidden="1">
      <c r="A1650" s="252">
        <v>1647</v>
      </c>
      <c r="B1650" s="281" t="s">
        <v>3533</v>
      </c>
      <c r="C1650" s="332" t="s">
        <v>3534</v>
      </c>
      <c r="D1650" s="282" t="s">
        <v>21</v>
      </c>
      <c r="E1650" s="384"/>
      <c r="F1650" s="13"/>
      <c r="G1650" s="165">
        <v>20</v>
      </c>
      <c r="H1650" s="12">
        <f t="shared" si="109"/>
        <v>0</v>
      </c>
      <c r="I1650" s="3">
        <f t="shared" si="110"/>
        <v>0</v>
      </c>
      <c r="J1650" s="33">
        <f t="shared" si="111"/>
        <v>20</v>
      </c>
      <c r="K1650" s="33"/>
      <c r="L1650" s="3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  <c r="AL1650" s="13"/>
      <c r="AM1650" s="13"/>
      <c r="AN1650" s="13"/>
      <c r="AO1650" s="13"/>
      <c r="AP1650" s="13"/>
      <c r="AQ1650" s="13"/>
      <c r="AR1650" s="13"/>
      <c r="AS1650" s="13"/>
      <c r="AT1650" s="13"/>
      <c r="AU1650" s="13"/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O1650" s="13"/>
      <c r="BP1650" s="13"/>
      <c r="BQ1650" s="13"/>
      <c r="BR1650" s="13"/>
      <c r="BS1650" s="13"/>
      <c r="BT1650" s="13"/>
      <c r="BU1650" s="13"/>
      <c r="BV1650" s="13"/>
    </row>
    <row r="1651" spans="1:74" hidden="1">
      <c r="A1651" s="256">
        <v>1648</v>
      </c>
      <c r="B1651" s="306" t="s">
        <v>3536</v>
      </c>
      <c r="C1651" s="291" t="s">
        <v>3537</v>
      </c>
      <c r="D1651" s="252" t="s">
        <v>21</v>
      </c>
      <c r="E1651" s="112"/>
      <c r="F1651" s="10"/>
      <c r="G1651" s="165">
        <v>5</v>
      </c>
      <c r="H1651" s="12">
        <f t="shared" si="109"/>
        <v>0</v>
      </c>
      <c r="I1651" s="3">
        <f t="shared" si="110"/>
        <v>0</v>
      </c>
      <c r="J1651" s="33">
        <f t="shared" si="111"/>
        <v>5</v>
      </c>
      <c r="K1651" s="33"/>
      <c r="L1651" s="3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</row>
    <row r="1652" spans="1:74" hidden="1">
      <c r="A1652" s="256">
        <v>1649</v>
      </c>
      <c r="B1652" s="301" t="s">
        <v>3538</v>
      </c>
      <c r="C1652" s="324" t="s">
        <v>3543</v>
      </c>
      <c r="D1652" s="252" t="s">
        <v>21</v>
      </c>
      <c r="E1652" s="112"/>
      <c r="F1652" s="13"/>
      <c r="G1652" s="165">
        <v>50</v>
      </c>
      <c r="H1652" s="12">
        <f t="shared" si="109"/>
        <v>0</v>
      </c>
      <c r="I1652" s="3">
        <f t="shared" si="110"/>
        <v>1</v>
      </c>
      <c r="J1652" s="33">
        <f t="shared" si="111"/>
        <v>49</v>
      </c>
      <c r="K1652" s="33"/>
      <c r="L1652" s="33"/>
      <c r="M1652" s="13"/>
      <c r="N1652" s="13">
        <v>1</v>
      </c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/>
      <c r="BR1652" s="13"/>
      <c r="BS1652" s="13"/>
      <c r="BT1652" s="13"/>
      <c r="BU1652" s="13"/>
      <c r="BV1652" s="13"/>
    </row>
    <row r="1653" spans="1:74" hidden="1">
      <c r="A1653" s="256">
        <v>1650</v>
      </c>
      <c r="B1653" s="323" t="s">
        <v>3541</v>
      </c>
      <c r="C1653" s="324" t="s">
        <v>3542</v>
      </c>
      <c r="D1653" s="252" t="s">
        <v>21</v>
      </c>
      <c r="E1653" s="112"/>
      <c r="F1653" s="13"/>
      <c r="G1653" s="165">
        <v>13</v>
      </c>
      <c r="H1653" s="12">
        <f t="shared" si="109"/>
        <v>0</v>
      </c>
      <c r="I1653" s="3">
        <f t="shared" si="110"/>
        <v>0</v>
      </c>
      <c r="J1653" s="33">
        <f t="shared" si="111"/>
        <v>13</v>
      </c>
      <c r="K1653" s="33"/>
      <c r="L1653" s="3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/>
      <c r="BR1653" s="13"/>
      <c r="BS1653" s="13"/>
      <c r="BT1653" s="13"/>
      <c r="BU1653" s="13"/>
      <c r="BV1653" s="13"/>
    </row>
    <row r="1654" spans="1:74" hidden="1">
      <c r="A1654" s="256">
        <v>1651</v>
      </c>
      <c r="B1654" s="278" t="s">
        <v>3545</v>
      </c>
      <c r="C1654" s="340" t="s">
        <v>3544</v>
      </c>
      <c r="D1654" s="262" t="s">
        <v>21</v>
      </c>
      <c r="E1654" s="121"/>
      <c r="F1654" s="13"/>
      <c r="G1654" s="165">
        <v>505</v>
      </c>
      <c r="H1654" s="12">
        <f t="shared" si="109"/>
        <v>0</v>
      </c>
      <c r="I1654" s="3">
        <f t="shared" si="110"/>
        <v>0</v>
      </c>
      <c r="J1654" s="33">
        <f t="shared" si="111"/>
        <v>505</v>
      </c>
      <c r="K1654" s="33"/>
      <c r="L1654" s="3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3"/>
      <c r="BP1654" s="13"/>
      <c r="BQ1654" s="13"/>
      <c r="BR1654" s="13"/>
      <c r="BS1654" s="13"/>
      <c r="BT1654" s="13"/>
      <c r="BU1654" s="13"/>
      <c r="BV1654" s="13"/>
    </row>
    <row r="1655" spans="1:74" hidden="1">
      <c r="A1655" s="256">
        <v>1652</v>
      </c>
      <c r="B1655" s="382" t="s">
        <v>3547</v>
      </c>
      <c r="C1655" s="340" t="s">
        <v>3548</v>
      </c>
      <c r="D1655" s="262" t="s">
        <v>21</v>
      </c>
      <c r="E1655" s="13"/>
      <c r="F1655" s="13"/>
      <c r="G1655" s="165">
        <v>48</v>
      </c>
      <c r="H1655" s="12">
        <f t="shared" si="109"/>
        <v>175</v>
      </c>
      <c r="I1655" s="3">
        <f t="shared" si="110"/>
        <v>124</v>
      </c>
      <c r="J1655" s="33">
        <f t="shared" si="111"/>
        <v>99</v>
      </c>
      <c r="K1655" s="33"/>
      <c r="L1655" s="3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>
        <v>48</v>
      </c>
      <c r="AA1655" s="13"/>
      <c r="AB1655" s="13"/>
      <c r="AC1655" s="13"/>
      <c r="AD1655" s="13"/>
      <c r="AE1655" s="13">
        <v>175</v>
      </c>
      <c r="AF1655" s="13">
        <v>15</v>
      </c>
      <c r="AG1655" s="13"/>
      <c r="AH1655" s="13">
        <v>6</v>
      </c>
      <c r="AI1655" s="13"/>
      <c r="AJ1655" s="13"/>
      <c r="AK1655" s="13"/>
      <c r="AL1655" s="13">
        <f>9+46</f>
        <v>55</v>
      </c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  <c r="BR1655" s="13"/>
      <c r="BS1655" s="13"/>
      <c r="BT1655" s="13"/>
      <c r="BU1655" s="13"/>
      <c r="BV1655" s="13"/>
    </row>
    <row r="1656" spans="1:74" hidden="1">
      <c r="A1656" s="256">
        <v>1653</v>
      </c>
      <c r="B1656" s="382" t="s">
        <v>3550</v>
      </c>
      <c r="C1656" s="317" t="s">
        <v>3549</v>
      </c>
      <c r="D1656" s="262" t="s">
        <v>21</v>
      </c>
      <c r="E1656" s="13"/>
      <c r="F1656" s="13"/>
      <c r="G1656" s="165">
        <v>25</v>
      </c>
      <c r="H1656" s="12">
        <f t="shared" si="109"/>
        <v>0</v>
      </c>
      <c r="I1656" s="3">
        <f t="shared" si="110"/>
        <v>0</v>
      </c>
      <c r="J1656" s="33">
        <f t="shared" ref="J1656:J1669" si="112">G1656+H1656-I1656</f>
        <v>25</v>
      </c>
      <c r="K1656" s="33"/>
      <c r="L1656" s="3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/>
      <c r="BR1656" s="13"/>
      <c r="BS1656" s="13"/>
      <c r="BT1656" s="13"/>
      <c r="BU1656" s="13"/>
      <c r="BV1656" s="13"/>
    </row>
    <row r="1657" spans="1:74" hidden="1">
      <c r="A1657" s="261">
        <v>1654</v>
      </c>
      <c r="B1657" s="399" t="s">
        <v>3551</v>
      </c>
      <c r="C1657" s="388" t="s">
        <v>3552</v>
      </c>
      <c r="D1657" s="400" t="s">
        <v>21</v>
      </c>
      <c r="E1657" s="13"/>
      <c r="F1657" s="13"/>
      <c r="G1657" s="165">
        <v>11000</v>
      </c>
      <c r="H1657" s="12">
        <f t="shared" ref="H1657:H1669" si="113">SUM(M1657+O1657+Q1657+S1657+U1657+W1657+Y1657+AA1657+AC1657+AE1657+AG1657+AI1657+AK1657+AM1657+AO1657+AQ1657+AS1657+AU1657+AW1657+AY1657+BA1657+BC1657+BE1657+BG1657+BI1657+BK1657+BM1657+BO1657+BQ1657+BS1657+BU1657)</f>
        <v>0</v>
      </c>
      <c r="I1657" s="3">
        <f t="shared" si="110"/>
        <v>0</v>
      </c>
      <c r="J1657" s="33">
        <f t="shared" si="112"/>
        <v>11000</v>
      </c>
      <c r="K1657" s="33"/>
      <c r="L1657" s="3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3"/>
      <c r="BP1657" s="13"/>
      <c r="BQ1657" s="13"/>
      <c r="BR1657" s="13"/>
      <c r="BS1657" s="13"/>
      <c r="BT1657" s="13"/>
      <c r="BU1657" s="13"/>
      <c r="BV1657" s="13"/>
    </row>
    <row r="1658" spans="1:74" hidden="1">
      <c r="A1658" s="256">
        <v>1655</v>
      </c>
      <c r="B1658" s="264" t="s">
        <v>3554</v>
      </c>
      <c r="C1658" s="401" t="s">
        <v>3555</v>
      </c>
      <c r="D1658" s="262" t="s">
        <v>21</v>
      </c>
      <c r="E1658" s="13"/>
      <c r="F1658" s="13"/>
      <c r="G1658" s="165">
        <v>16</v>
      </c>
      <c r="H1658" s="12">
        <f t="shared" si="113"/>
        <v>0</v>
      </c>
      <c r="I1658" s="3">
        <f t="shared" si="110"/>
        <v>15</v>
      </c>
      <c r="J1658" s="33">
        <f t="shared" si="112"/>
        <v>1</v>
      </c>
      <c r="K1658" s="33"/>
      <c r="L1658" s="3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>
        <v>6</v>
      </c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>
        <v>9</v>
      </c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</row>
    <row r="1659" spans="1:74" hidden="1">
      <c r="A1659" s="256">
        <v>1656</v>
      </c>
      <c r="B1659" s="264" t="s">
        <v>3556</v>
      </c>
      <c r="C1659" s="401" t="s">
        <v>3557</v>
      </c>
      <c r="D1659" s="262" t="s">
        <v>21</v>
      </c>
      <c r="E1659" s="13"/>
      <c r="F1659" s="13"/>
      <c r="G1659" s="165">
        <v>16</v>
      </c>
      <c r="H1659" s="12">
        <f t="shared" si="113"/>
        <v>0</v>
      </c>
      <c r="I1659" s="3">
        <f t="shared" si="110"/>
        <v>15</v>
      </c>
      <c r="J1659" s="33">
        <f t="shared" si="112"/>
        <v>1</v>
      </c>
      <c r="K1659" s="33"/>
      <c r="L1659" s="3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>
        <v>6</v>
      </c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>
        <v>9</v>
      </c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</row>
    <row r="1660" spans="1:74" hidden="1">
      <c r="A1660" s="147">
        <v>1657</v>
      </c>
      <c r="B1660" s="415" t="s">
        <v>3559</v>
      </c>
      <c r="C1660" s="415" t="s">
        <v>3560</v>
      </c>
      <c r="D1660" s="147" t="s">
        <v>21</v>
      </c>
      <c r="E1660" s="13"/>
      <c r="F1660" s="13"/>
      <c r="G1660" s="165">
        <v>16</v>
      </c>
      <c r="H1660" s="12">
        <f t="shared" si="113"/>
        <v>0</v>
      </c>
      <c r="I1660" s="3">
        <f t="shared" si="110"/>
        <v>15</v>
      </c>
      <c r="J1660" s="33">
        <f t="shared" si="112"/>
        <v>1</v>
      </c>
      <c r="K1660" s="33"/>
      <c r="L1660" s="3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>
        <v>6</v>
      </c>
      <c r="AE1660" s="13"/>
      <c r="AF1660" s="13"/>
      <c r="AG1660" s="13"/>
      <c r="AH1660" s="13"/>
      <c r="AI1660" s="13"/>
      <c r="AJ1660" s="13"/>
      <c r="AK1660" s="13"/>
      <c r="AL1660" s="13">
        <v>9</v>
      </c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/>
      <c r="BD1660" s="13"/>
      <c r="BE1660" s="13"/>
      <c r="BF1660" s="13"/>
      <c r="BG1660" s="13"/>
      <c r="BH1660" s="13"/>
      <c r="BI1660" s="13"/>
      <c r="BJ1660" s="13"/>
      <c r="BK1660" s="13"/>
      <c r="BL1660" s="13"/>
      <c r="BM1660" s="13"/>
      <c r="BN1660" s="13"/>
      <c r="BO1660" s="13"/>
      <c r="BP1660" s="13"/>
      <c r="BQ1660" s="13"/>
      <c r="BR1660" s="13"/>
      <c r="BS1660" s="13"/>
      <c r="BT1660" s="13"/>
      <c r="BU1660" s="13"/>
      <c r="BV1660" s="13"/>
    </row>
    <row r="1661" spans="1:74" hidden="1">
      <c r="A1661" s="416">
        <v>1658</v>
      </c>
      <c r="B1661" s="417" t="s">
        <v>3562</v>
      </c>
      <c r="C1661" s="417" t="s">
        <v>3561</v>
      </c>
      <c r="D1661" s="147" t="s">
        <v>21</v>
      </c>
      <c r="E1661" s="13"/>
      <c r="F1661" s="13"/>
      <c r="G1661" s="165">
        <v>200</v>
      </c>
      <c r="H1661" s="12">
        <f t="shared" si="113"/>
        <v>0</v>
      </c>
      <c r="I1661" s="3" t="e">
        <f t="shared" si="110"/>
        <v>#VALUE!</v>
      </c>
      <c r="J1661" s="33" t="e">
        <f>G1661+H1661-I1661</f>
        <v>#VALUE!</v>
      </c>
      <c r="K1661" s="33"/>
      <c r="L1661" s="3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 t="s">
        <v>3558</v>
      </c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3"/>
      <c r="BP1661" s="13"/>
      <c r="BQ1661" s="13"/>
      <c r="BR1661" s="13"/>
      <c r="BS1661" s="13"/>
      <c r="BT1661" s="13"/>
      <c r="BU1661" s="13"/>
      <c r="BV1661" s="13"/>
    </row>
    <row r="1662" spans="1:74" hidden="1">
      <c r="A1662" s="147">
        <v>1659</v>
      </c>
      <c r="B1662" s="415" t="s">
        <v>3564</v>
      </c>
      <c r="C1662" s="401" t="s">
        <v>3563</v>
      </c>
      <c r="D1662" s="147" t="s">
        <v>14</v>
      </c>
      <c r="E1662" s="13"/>
      <c r="F1662" s="13"/>
      <c r="G1662" s="165">
        <v>0</v>
      </c>
      <c r="H1662" s="12">
        <f t="shared" si="113"/>
        <v>2</v>
      </c>
      <c r="I1662" s="3">
        <f t="shared" si="110"/>
        <v>0</v>
      </c>
      <c r="J1662" s="33">
        <f t="shared" si="112"/>
        <v>2</v>
      </c>
      <c r="K1662" s="33"/>
      <c r="L1662" s="3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>
        <v>2</v>
      </c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</row>
    <row r="1663" spans="1:74" hidden="1">
      <c r="A1663" s="147">
        <v>1660</v>
      </c>
      <c r="B1663" s="415" t="s">
        <v>3565</v>
      </c>
      <c r="C1663" s="418" t="s">
        <v>3566</v>
      </c>
      <c r="D1663" s="147" t="s">
        <v>14</v>
      </c>
      <c r="E1663" s="13"/>
      <c r="F1663" s="13"/>
      <c r="G1663" s="165">
        <v>0</v>
      </c>
      <c r="H1663" s="12">
        <f t="shared" si="113"/>
        <v>174</v>
      </c>
      <c r="I1663" s="3">
        <f t="shared" si="110"/>
        <v>0</v>
      </c>
      <c r="J1663" s="33">
        <f t="shared" si="112"/>
        <v>174</v>
      </c>
      <c r="K1663" s="33"/>
      <c r="L1663" s="3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>
        <v>174</v>
      </c>
      <c r="AD1663" s="13"/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3"/>
      <c r="BP1663" s="13"/>
      <c r="BQ1663" s="13"/>
      <c r="BR1663" s="13"/>
      <c r="BS1663" s="13"/>
      <c r="BT1663" s="13"/>
      <c r="BU1663" s="13"/>
      <c r="BV1663" s="13"/>
    </row>
    <row r="1664" spans="1:74" hidden="1">
      <c r="A1664" s="147">
        <v>1661</v>
      </c>
      <c r="B1664" s="415" t="s">
        <v>3568</v>
      </c>
      <c r="C1664" s="418" t="s">
        <v>3567</v>
      </c>
      <c r="D1664" s="147" t="s">
        <v>21</v>
      </c>
      <c r="E1664" s="13"/>
      <c r="F1664" s="13"/>
      <c r="G1664" s="165">
        <v>0</v>
      </c>
      <c r="H1664" s="12">
        <f t="shared" si="113"/>
        <v>103</v>
      </c>
      <c r="I1664" s="3">
        <f t="shared" si="110"/>
        <v>0</v>
      </c>
      <c r="J1664" s="33">
        <f t="shared" si="112"/>
        <v>103</v>
      </c>
      <c r="K1664" s="33"/>
      <c r="L1664" s="3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>
        <v>103</v>
      </c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3"/>
      <c r="BP1664" s="13"/>
      <c r="BQ1664" s="13"/>
      <c r="BR1664" s="13"/>
      <c r="BS1664" s="13"/>
      <c r="BT1664" s="13"/>
      <c r="BU1664" s="13"/>
      <c r="BV1664" s="13"/>
    </row>
    <row r="1665" spans="1:74" hidden="1">
      <c r="A1665" s="147">
        <v>1662</v>
      </c>
      <c r="B1665" s="415" t="s">
        <v>3569</v>
      </c>
      <c r="C1665" s="415" t="s">
        <v>3570</v>
      </c>
      <c r="D1665" s="147" t="s">
        <v>21</v>
      </c>
      <c r="E1665" s="13"/>
      <c r="F1665" s="13"/>
      <c r="G1665" s="165">
        <v>60</v>
      </c>
      <c r="H1665" s="12">
        <f t="shared" si="113"/>
        <v>24</v>
      </c>
      <c r="I1665" s="3">
        <f t="shared" si="110"/>
        <v>2</v>
      </c>
      <c r="J1665" s="33">
        <f t="shared" si="112"/>
        <v>82</v>
      </c>
      <c r="K1665" s="33"/>
      <c r="L1665" s="3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>
        <v>2</v>
      </c>
      <c r="AC1665" s="13"/>
      <c r="AD1665" s="13"/>
      <c r="AE1665" s="13"/>
      <c r="AF1665" s="13"/>
      <c r="AG1665" s="13"/>
      <c r="AH1665" s="13"/>
      <c r="AI1665" s="13"/>
      <c r="AJ1665" s="13"/>
      <c r="AK1665" s="13">
        <v>24</v>
      </c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3"/>
      <c r="BP1665" s="13"/>
      <c r="BQ1665" s="13"/>
      <c r="BR1665" s="13"/>
      <c r="BS1665" s="13"/>
      <c r="BT1665" s="13"/>
      <c r="BU1665" s="13"/>
      <c r="BV1665" s="13"/>
    </row>
    <row r="1666" spans="1:74" hidden="1">
      <c r="A1666" s="147">
        <v>1663</v>
      </c>
      <c r="B1666" s="417" t="s">
        <v>3571</v>
      </c>
      <c r="C1666" s="417" t="s">
        <v>3572</v>
      </c>
      <c r="D1666" s="147" t="s">
        <v>21</v>
      </c>
      <c r="E1666" s="13"/>
      <c r="F1666" s="13"/>
      <c r="G1666" s="165">
        <v>11</v>
      </c>
      <c r="H1666" s="12">
        <f t="shared" si="113"/>
        <v>9</v>
      </c>
      <c r="I1666" s="3">
        <f t="shared" si="110"/>
        <v>0</v>
      </c>
      <c r="J1666" s="33">
        <f t="shared" si="112"/>
        <v>20</v>
      </c>
      <c r="K1666" s="33"/>
      <c r="L1666" s="3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/>
      <c r="AI1666" s="13"/>
      <c r="AJ1666" s="13"/>
      <c r="AK1666" s="13">
        <v>9</v>
      </c>
      <c r="AL1666" s="13"/>
      <c r="AM1666" s="13"/>
      <c r="AN1666" s="13"/>
      <c r="AO1666" s="13"/>
      <c r="AP1666" s="13"/>
      <c r="AQ1666" s="13"/>
      <c r="AR1666" s="13"/>
      <c r="AS1666" s="13"/>
      <c r="AT1666" s="13"/>
      <c r="AU1666" s="13"/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3"/>
      <c r="BP1666" s="13"/>
      <c r="BQ1666" s="13"/>
      <c r="BR1666" s="13"/>
      <c r="BS1666" s="13"/>
      <c r="BT1666" s="13"/>
      <c r="BU1666" s="13"/>
      <c r="BV1666" s="13"/>
    </row>
    <row r="1667" spans="1:74" hidden="1">
      <c r="A1667" s="256">
        <v>1664</v>
      </c>
      <c r="B1667" s="414" t="s">
        <v>3575</v>
      </c>
      <c r="C1667" s="412" t="s">
        <v>3576</v>
      </c>
      <c r="D1667" s="262" t="s">
        <v>21</v>
      </c>
      <c r="E1667" s="13"/>
      <c r="F1667" s="13"/>
      <c r="G1667" s="165">
        <v>145</v>
      </c>
      <c r="H1667" s="12">
        <f t="shared" si="113"/>
        <v>16</v>
      </c>
      <c r="I1667" s="3">
        <f t="shared" si="110"/>
        <v>2</v>
      </c>
      <c r="J1667" s="33">
        <f t="shared" si="112"/>
        <v>159</v>
      </c>
      <c r="K1667" s="33"/>
      <c r="L1667" s="3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>
        <v>2</v>
      </c>
      <c r="AC1667" s="13"/>
      <c r="AD1667" s="13"/>
      <c r="AE1667" s="13"/>
      <c r="AF1667" s="13"/>
      <c r="AG1667" s="13"/>
      <c r="AH1667" s="13"/>
      <c r="AI1667" s="13"/>
      <c r="AJ1667" s="13"/>
      <c r="AK1667" s="13">
        <v>16</v>
      </c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  <c r="BR1667" s="13"/>
      <c r="BS1667" s="13"/>
      <c r="BT1667" s="13"/>
      <c r="BU1667" s="13"/>
      <c r="BV1667" s="13"/>
    </row>
    <row r="1668" spans="1:74" hidden="1">
      <c r="A1668" s="256">
        <v>1665</v>
      </c>
      <c r="B1668" s="414" t="s">
        <v>3577</v>
      </c>
      <c r="C1668" s="412" t="s">
        <v>3578</v>
      </c>
      <c r="D1668" s="262" t="s">
        <v>21</v>
      </c>
      <c r="E1668" s="13"/>
      <c r="F1668" s="13"/>
      <c r="G1668" s="165">
        <v>5</v>
      </c>
      <c r="H1668" s="12">
        <f t="shared" si="113"/>
        <v>38</v>
      </c>
      <c r="I1668" s="3">
        <f t="shared" si="110"/>
        <v>2</v>
      </c>
      <c r="J1668" s="33">
        <f t="shared" si="112"/>
        <v>41</v>
      </c>
      <c r="K1668" s="33"/>
      <c r="L1668" s="3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>
        <v>2</v>
      </c>
      <c r="AC1668" s="13"/>
      <c r="AD1668" s="13"/>
      <c r="AE1668" s="13"/>
      <c r="AF1668" s="13"/>
      <c r="AG1668" s="13"/>
      <c r="AH1668" s="13"/>
      <c r="AI1668" s="13"/>
      <c r="AJ1668" s="13"/>
      <c r="AK1668" s="13">
        <v>38</v>
      </c>
      <c r="AL1668" s="13"/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  <c r="BR1668" s="13"/>
      <c r="BS1668" s="13"/>
      <c r="BT1668" s="13"/>
      <c r="BU1668" s="13"/>
      <c r="BV1668" s="13"/>
    </row>
    <row r="1669" spans="1:74" hidden="1">
      <c r="A1669" s="13"/>
      <c r="B1669" s="427" t="s">
        <v>3579</v>
      </c>
      <c r="C1669" s="427" t="s">
        <v>3580</v>
      </c>
      <c r="D1669" s="411" t="s">
        <v>21</v>
      </c>
      <c r="E1669" s="13"/>
      <c r="F1669" s="13"/>
      <c r="G1669" s="165">
        <v>132</v>
      </c>
      <c r="H1669" s="12">
        <f t="shared" si="113"/>
        <v>0</v>
      </c>
      <c r="I1669" s="3">
        <f t="shared" si="110"/>
        <v>0</v>
      </c>
      <c r="J1669" s="33">
        <f t="shared" si="112"/>
        <v>132</v>
      </c>
      <c r="K1669" s="33"/>
      <c r="L1669" s="3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  <c r="BR1669" s="13"/>
      <c r="BS1669" s="13"/>
      <c r="BT1669" s="13"/>
      <c r="BU1669" s="13"/>
      <c r="BV1669" s="13"/>
    </row>
    <row r="1670" spans="1:74">
      <c r="A1670" s="13"/>
      <c r="B1670" s="239"/>
      <c r="C1670" s="23"/>
      <c r="D1670" s="13"/>
      <c r="E1670" s="13"/>
      <c r="F1670" s="13"/>
      <c r="G1670" s="165"/>
      <c r="H1670" s="13"/>
      <c r="I1670" s="13"/>
      <c r="J1670" s="165"/>
      <c r="K1670" s="165"/>
      <c r="L1670" s="165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  <c r="BR1670" s="13"/>
      <c r="BS1670" s="13"/>
      <c r="BT1670" s="13"/>
      <c r="BU1670" s="13"/>
      <c r="BV1670" s="13"/>
    </row>
    <row r="1671" spans="1:74">
      <c r="A1671" s="13"/>
      <c r="B1671" s="239"/>
      <c r="C1671" s="23"/>
      <c r="D1671" s="13"/>
      <c r="E1671" s="13"/>
      <c r="F1671" s="13"/>
      <c r="G1671" s="165"/>
      <c r="H1671" s="13"/>
      <c r="I1671" s="13"/>
      <c r="J1671" s="165"/>
      <c r="K1671" s="165"/>
      <c r="L1671" s="165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</row>
    <row r="1672" spans="1:74">
      <c r="A1672" s="13"/>
      <c r="B1672" s="239"/>
      <c r="C1672" s="23"/>
      <c r="D1672" s="13"/>
      <c r="E1672" s="13"/>
      <c r="F1672" s="13"/>
      <c r="G1672" s="165"/>
      <c r="H1672" s="13"/>
      <c r="I1672" s="13"/>
      <c r="J1672" s="165"/>
      <c r="K1672" s="165"/>
      <c r="L1672" s="165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3"/>
      <c r="BP1672" s="13"/>
      <c r="BQ1672" s="13"/>
      <c r="BR1672" s="13"/>
      <c r="BS1672" s="13"/>
      <c r="BT1672" s="13"/>
      <c r="BU1672" s="13"/>
      <c r="BV1672" s="13"/>
    </row>
    <row r="1673" spans="1:74">
      <c r="A1673" s="13"/>
      <c r="B1673" s="239"/>
      <c r="C1673" s="23"/>
      <c r="D1673" s="13"/>
      <c r="E1673" s="13"/>
      <c r="F1673" s="13"/>
      <c r="G1673" s="165"/>
      <c r="H1673" s="13"/>
      <c r="I1673" s="13"/>
      <c r="J1673" s="165"/>
      <c r="K1673" s="165"/>
      <c r="L1673" s="165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  <c r="BR1673" s="13"/>
      <c r="BS1673" s="13"/>
      <c r="BT1673" s="13"/>
      <c r="BU1673" s="13"/>
      <c r="BV1673" s="13"/>
    </row>
    <row r="1674" spans="1:74">
      <c r="A1674" s="13"/>
      <c r="B1674" s="239"/>
      <c r="C1674" s="23"/>
      <c r="D1674" s="13"/>
      <c r="E1674" s="13"/>
      <c r="F1674" s="13"/>
      <c r="G1674" s="165"/>
      <c r="H1674" s="13"/>
      <c r="I1674" s="13"/>
      <c r="J1674" s="165"/>
      <c r="K1674" s="165"/>
      <c r="L1674" s="165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/>
      <c r="BO1674" s="13"/>
      <c r="BP1674" s="13"/>
      <c r="BQ1674" s="13"/>
      <c r="BR1674" s="13"/>
      <c r="BS1674" s="13"/>
      <c r="BT1674" s="13"/>
      <c r="BU1674" s="13"/>
      <c r="BV1674" s="13"/>
    </row>
    <row r="1675" spans="1:74">
      <c r="A1675" s="13"/>
      <c r="B1675" s="239"/>
      <c r="C1675" s="23"/>
      <c r="D1675" s="13"/>
      <c r="E1675" s="13"/>
      <c r="F1675" s="13"/>
      <c r="G1675" s="165"/>
      <c r="H1675" s="13"/>
      <c r="I1675" s="13"/>
      <c r="J1675" s="165"/>
      <c r="K1675" s="165"/>
      <c r="L1675" s="165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  <c r="AH1675" s="13"/>
      <c r="AI1675" s="13"/>
      <c r="AJ1675" s="13"/>
      <c r="AK1675" s="13"/>
      <c r="AL1675" s="13"/>
      <c r="AM1675" s="13"/>
      <c r="AN1675" s="13"/>
      <c r="AO1675" s="13"/>
      <c r="AP1675" s="13"/>
      <c r="AQ1675" s="13"/>
      <c r="AR1675" s="13"/>
      <c r="AS1675" s="13"/>
      <c r="AT1675" s="13"/>
      <c r="AU1675" s="13"/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3"/>
      <c r="BP1675" s="13"/>
      <c r="BQ1675" s="13"/>
      <c r="BR1675" s="13"/>
      <c r="BS1675" s="13"/>
      <c r="BT1675" s="13"/>
      <c r="BU1675" s="13"/>
      <c r="BV1675" s="13"/>
    </row>
    <row r="1676" spans="1:74">
      <c r="A1676" s="13"/>
      <c r="B1676" s="239"/>
      <c r="C1676" s="23"/>
      <c r="D1676" s="13"/>
      <c r="E1676" s="13"/>
      <c r="F1676" s="13"/>
      <c r="G1676" s="165"/>
      <c r="H1676" s="13"/>
      <c r="I1676" s="13"/>
      <c r="J1676" s="165"/>
      <c r="K1676" s="165"/>
      <c r="L1676" s="165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/>
      <c r="BC1676" s="13"/>
      <c r="BD1676" s="13"/>
      <c r="BE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O1676" s="13"/>
      <c r="BP1676" s="13"/>
      <c r="BQ1676" s="13"/>
      <c r="BR1676" s="13"/>
      <c r="BS1676" s="13"/>
      <c r="BT1676" s="13"/>
      <c r="BU1676" s="13"/>
      <c r="BV1676" s="13"/>
    </row>
    <row r="1677" spans="1:74">
      <c r="A1677" s="13"/>
      <c r="B1677" s="239"/>
      <c r="C1677" s="23"/>
      <c r="D1677" s="13"/>
      <c r="E1677" s="13"/>
      <c r="F1677" s="13"/>
      <c r="G1677" s="165"/>
      <c r="H1677" s="13"/>
      <c r="I1677" s="13"/>
      <c r="J1677" s="165"/>
      <c r="K1677" s="165"/>
      <c r="L1677" s="165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O1677" s="13"/>
      <c r="BP1677" s="13"/>
      <c r="BQ1677" s="13"/>
      <c r="BR1677" s="13"/>
      <c r="BS1677" s="13"/>
      <c r="BT1677" s="13"/>
      <c r="BU1677" s="13"/>
      <c r="BV1677" s="13"/>
    </row>
    <row r="1678" spans="1:74">
      <c r="A1678" s="13"/>
      <c r="B1678" s="239"/>
      <c r="C1678" s="23"/>
      <c r="D1678" s="13"/>
      <c r="E1678" s="13"/>
      <c r="F1678" s="13"/>
      <c r="G1678" s="165"/>
      <c r="H1678" s="13"/>
      <c r="I1678" s="13"/>
      <c r="J1678" s="165"/>
      <c r="K1678" s="165"/>
      <c r="L1678" s="165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  <c r="AH1678" s="13"/>
      <c r="AI1678" s="13"/>
      <c r="AJ1678" s="13"/>
      <c r="AK1678" s="13"/>
      <c r="AL1678" s="13"/>
      <c r="AM1678" s="13"/>
      <c r="AN1678" s="13"/>
      <c r="AO1678" s="13"/>
      <c r="AP1678" s="13"/>
      <c r="AQ1678" s="13"/>
      <c r="AR1678" s="13"/>
      <c r="AS1678" s="13"/>
      <c r="AT1678" s="13"/>
      <c r="AU1678" s="13"/>
      <c r="AV1678" s="13"/>
      <c r="AW1678" s="13"/>
      <c r="AX1678" s="13"/>
      <c r="AY1678" s="13"/>
      <c r="AZ1678" s="13"/>
      <c r="BA1678" s="13"/>
      <c r="BB1678" s="13"/>
      <c r="BC1678" s="13"/>
      <c r="BD1678" s="13"/>
      <c r="BE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O1678" s="13"/>
      <c r="BP1678" s="13"/>
      <c r="BQ1678" s="13"/>
      <c r="BR1678" s="13"/>
      <c r="BS1678" s="13"/>
      <c r="BT1678" s="13"/>
      <c r="BU1678" s="13"/>
      <c r="BV1678" s="13"/>
    </row>
    <row r="1679" spans="1:74">
      <c r="A1679" s="13"/>
      <c r="B1679" s="239"/>
      <c r="C1679" s="23"/>
      <c r="D1679" s="13"/>
      <c r="E1679" s="13"/>
      <c r="F1679" s="13"/>
      <c r="G1679" s="165"/>
      <c r="H1679" s="13"/>
      <c r="I1679" s="13"/>
      <c r="J1679" s="165"/>
      <c r="K1679" s="165"/>
      <c r="L1679" s="165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  <c r="BR1679" s="13"/>
      <c r="BS1679" s="13"/>
      <c r="BT1679" s="13"/>
      <c r="BU1679" s="13"/>
      <c r="BV1679" s="13"/>
    </row>
    <row r="1680" spans="1:74">
      <c r="A1680" s="13"/>
      <c r="B1680" s="239"/>
      <c r="C1680" s="23"/>
      <c r="D1680" s="13"/>
      <c r="E1680" s="13"/>
      <c r="F1680" s="13"/>
      <c r="G1680" s="165"/>
      <c r="H1680" s="13"/>
      <c r="I1680" s="13"/>
      <c r="J1680" s="165"/>
      <c r="K1680" s="165"/>
      <c r="L1680" s="165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  <c r="BR1680" s="13"/>
      <c r="BS1680" s="13"/>
      <c r="BT1680" s="13"/>
      <c r="BU1680" s="13"/>
      <c r="BV1680" s="13"/>
    </row>
    <row r="1681" spans="1:74">
      <c r="A1681" s="13"/>
      <c r="B1681" s="239"/>
      <c r="C1681" s="23"/>
      <c r="D1681" s="13"/>
      <c r="E1681" s="13"/>
      <c r="F1681" s="13"/>
      <c r="G1681" s="165"/>
      <c r="H1681" s="13"/>
      <c r="I1681" s="13"/>
      <c r="J1681" s="165"/>
      <c r="K1681" s="165"/>
      <c r="L1681" s="165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  <c r="AH1681" s="13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3"/>
      <c r="AS1681" s="13"/>
      <c r="AT1681" s="13"/>
      <c r="AU1681" s="13"/>
      <c r="AV1681" s="13"/>
      <c r="AW1681" s="13"/>
      <c r="AX1681" s="13"/>
      <c r="AY1681" s="13"/>
      <c r="AZ1681" s="13"/>
      <c r="BA1681" s="13"/>
      <c r="BB1681" s="13"/>
      <c r="BC1681" s="13"/>
      <c r="BD1681" s="13"/>
      <c r="BE1681" s="13"/>
      <c r="BF1681" s="13"/>
      <c r="BG1681" s="13"/>
      <c r="BH1681" s="13"/>
      <c r="BI1681" s="13"/>
      <c r="BJ1681" s="13"/>
      <c r="BK1681" s="13"/>
      <c r="BL1681" s="13"/>
      <c r="BM1681" s="13"/>
      <c r="BN1681" s="13"/>
      <c r="BO1681" s="13"/>
      <c r="BP1681" s="13"/>
      <c r="BQ1681" s="13"/>
      <c r="BR1681" s="13"/>
      <c r="BS1681" s="13"/>
      <c r="BT1681" s="13"/>
      <c r="BU1681" s="13"/>
      <c r="BV1681" s="13"/>
    </row>
    <row r="1682" spans="1:74">
      <c r="A1682" s="13"/>
      <c r="B1682" s="239"/>
      <c r="C1682" s="23"/>
      <c r="D1682" s="13"/>
      <c r="E1682" s="13"/>
      <c r="F1682" s="13"/>
      <c r="G1682" s="165"/>
      <c r="H1682" s="13"/>
      <c r="I1682" s="13"/>
      <c r="J1682" s="165"/>
      <c r="K1682" s="165"/>
      <c r="L1682" s="165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</row>
    <row r="1683" spans="1:74">
      <c r="A1683" s="13"/>
      <c r="B1683" s="239"/>
      <c r="C1683" s="23"/>
      <c r="D1683" s="13"/>
      <c r="E1683" s="13"/>
      <c r="F1683" s="13"/>
      <c r="G1683" s="165"/>
      <c r="H1683" s="13"/>
      <c r="I1683" s="13"/>
      <c r="J1683" s="165"/>
      <c r="K1683" s="165"/>
      <c r="L1683" s="165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O1683" s="13"/>
      <c r="BP1683" s="13"/>
      <c r="BQ1683" s="13"/>
      <c r="BR1683" s="13"/>
      <c r="BS1683" s="13"/>
      <c r="BT1683" s="13"/>
      <c r="BU1683" s="13"/>
      <c r="BV1683" s="13"/>
    </row>
    <row r="1684" spans="1:74">
      <c r="A1684" s="13"/>
      <c r="B1684" s="239"/>
      <c r="C1684" s="23"/>
      <c r="D1684" s="13"/>
      <c r="E1684" s="13"/>
      <c r="F1684" s="13"/>
      <c r="G1684" s="165"/>
      <c r="H1684" s="13"/>
      <c r="I1684" s="13"/>
      <c r="J1684" s="165"/>
      <c r="K1684" s="165"/>
      <c r="L1684" s="165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  <c r="BR1684" s="13"/>
      <c r="BS1684" s="13"/>
      <c r="BT1684" s="13"/>
      <c r="BU1684" s="13"/>
      <c r="BV1684" s="13"/>
    </row>
    <row r="1685" spans="1:74">
      <c r="A1685" s="13"/>
      <c r="B1685" s="239"/>
      <c r="C1685" s="23"/>
      <c r="D1685" s="13"/>
      <c r="E1685" s="13"/>
      <c r="F1685" s="13"/>
      <c r="G1685" s="165"/>
      <c r="H1685" s="13"/>
      <c r="I1685" s="13"/>
      <c r="J1685" s="165"/>
      <c r="K1685" s="165"/>
      <c r="L1685" s="165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3"/>
      <c r="BP1685" s="13"/>
      <c r="BQ1685" s="13"/>
      <c r="BR1685" s="13"/>
      <c r="BS1685" s="13"/>
      <c r="BT1685" s="13"/>
      <c r="BU1685" s="13"/>
      <c r="BV1685" s="13"/>
    </row>
    <row r="1686" spans="1:74">
      <c r="A1686" s="13"/>
      <c r="B1686" s="239"/>
      <c r="C1686" s="23"/>
      <c r="D1686" s="13"/>
      <c r="E1686" s="13"/>
      <c r="F1686" s="13"/>
      <c r="G1686" s="165"/>
      <c r="H1686" s="13"/>
      <c r="I1686" s="13"/>
      <c r="J1686" s="165"/>
      <c r="K1686" s="165"/>
      <c r="L1686" s="165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</row>
    <row r="1687" spans="1:74">
      <c r="A1687" s="13"/>
      <c r="B1687" s="239"/>
      <c r="C1687" s="23"/>
      <c r="D1687" s="13"/>
      <c r="E1687" s="13"/>
      <c r="F1687" s="13"/>
      <c r="G1687" s="165"/>
      <c r="H1687" s="13"/>
      <c r="I1687" s="13"/>
      <c r="J1687" s="165"/>
      <c r="K1687" s="165"/>
      <c r="L1687" s="165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O1687" s="13"/>
      <c r="BP1687" s="13"/>
      <c r="BQ1687" s="13"/>
      <c r="BR1687" s="13"/>
      <c r="BS1687" s="13"/>
      <c r="BT1687" s="13"/>
      <c r="BU1687" s="13"/>
      <c r="BV1687" s="13"/>
    </row>
    <row r="1688" spans="1:74">
      <c r="A1688" s="13"/>
      <c r="B1688" s="239"/>
      <c r="C1688" s="23"/>
      <c r="D1688" s="13"/>
      <c r="E1688" s="13"/>
      <c r="F1688" s="13"/>
      <c r="G1688" s="165"/>
      <c r="H1688" s="13"/>
      <c r="I1688" s="13"/>
      <c r="J1688" s="165"/>
      <c r="K1688" s="165"/>
      <c r="L1688" s="165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</row>
    <row r="1689" spans="1:74">
      <c r="A1689" s="13"/>
      <c r="B1689" s="239"/>
      <c r="C1689" s="23"/>
      <c r="D1689" s="13"/>
      <c r="E1689" s="13"/>
      <c r="F1689" s="13"/>
      <c r="G1689" s="165"/>
      <c r="H1689" s="13"/>
      <c r="I1689" s="13"/>
      <c r="J1689" s="165"/>
      <c r="K1689" s="165"/>
      <c r="L1689" s="165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3"/>
      <c r="BP1689" s="13"/>
      <c r="BQ1689" s="13"/>
      <c r="BR1689" s="13"/>
      <c r="BS1689" s="13"/>
      <c r="BT1689" s="13"/>
      <c r="BU1689" s="13"/>
      <c r="BV1689" s="13"/>
    </row>
    <row r="1690" spans="1:74">
      <c r="A1690" s="13"/>
      <c r="B1690" s="239"/>
      <c r="C1690" s="23"/>
      <c r="D1690" s="13"/>
      <c r="E1690" s="13"/>
      <c r="F1690" s="13"/>
      <c r="G1690" s="165"/>
      <c r="H1690" s="13"/>
      <c r="I1690" s="13"/>
      <c r="J1690" s="165"/>
      <c r="K1690" s="165"/>
      <c r="L1690" s="165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</row>
    <row r="1691" spans="1:74">
      <c r="A1691" s="13"/>
      <c r="B1691" s="239"/>
      <c r="C1691" s="23"/>
      <c r="D1691" s="13"/>
      <c r="E1691" s="13"/>
      <c r="F1691" s="13"/>
      <c r="G1691" s="165"/>
      <c r="H1691" s="13"/>
      <c r="I1691" s="13"/>
      <c r="J1691" s="165"/>
      <c r="K1691" s="165"/>
      <c r="L1691" s="165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  <c r="BR1691" s="13"/>
      <c r="BS1691" s="13"/>
      <c r="BT1691" s="13"/>
      <c r="BU1691" s="13"/>
      <c r="BV1691" s="13"/>
    </row>
    <row r="1692" spans="1:74">
      <c r="A1692" s="13"/>
      <c r="B1692" s="239"/>
      <c r="C1692" s="23"/>
      <c r="D1692" s="13"/>
      <c r="E1692" s="13"/>
      <c r="F1692" s="13"/>
      <c r="G1692" s="165"/>
      <c r="H1692" s="13"/>
      <c r="I1692" s="13"/>
      <c r="J1692" s="165"/>
      <c r="K1692" s="165"/>
      <c r="L1692" s="165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3"/>
      <c r="BR1692" s="13"/>
      <c r="BS1692" s="13"/>
      <c r="BT1692" s="13"/>
      <c r="BU1692" s="13"/>
      <c r="BV1692" s="13"/>
    </row>
    <row r="1693" spans="1:74">
      <c r="A1693" s="13"/>
      <c r="B1693" s="239"/>
      <c r="C1693" s="23"/>
      <c r="D1693" s="13"/>
      <c r="E1693" s="13"/>
      <c r="F1693" s="13"/>
      <c r="G1693" s="165"/>
      <c r="H1693" s="13"/>
      <c r="I1693" s="13"/>
      <c r="J1693" s="165"/>
      <c r="K1693" s="165"/>
      <c r="L1693" s="165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3"/>
      <c r="BP1693" s="13"/>
      <c r="BQ1693" s="13"/>
      <c r="BR1693" s="13"/>
      <c r="BS1693" s="13"/>
      <c r="BT1693" s="13"/>
      <c r="BU1693" s="13"/>
      <c r="BV1693" s="13"/>
    </row>
    <row r="1694" spans="1:74">
      <c r="A1694" s="13"/>
      <c r="B1694" s="239"/>
      <c r="C1694" s="23"/>
      <c r="D1694" s="13"/>
      <c r="E1694" s="13"/>
      <c r="F1694" s="13"/>
      <c r="G1694" s="165"/>
      <c r="H1694" s="13"/>
      <c r="I1694" s="13"/>
      <c r="J1694" s="165"/>
      <c r="K1694" s="165"/>
      <c r="L1694" s="165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</row>
    <row r="1695" spans="1:74">
      <c r="A1695" s="13"/>
      <c r="B1695" s="239"/>
      <c r="C1695" s="23"/>
      <c r="D1695" s="13"/>
      <c r="E1695" s="13"/>
      <c r="F1695" s="13"/>
      <c r="G1695" s="165"/>
      <c r="H1695" s="13"/>
      <c r="I1695" s="13"/>
      <c r="J1695" s="165"/>
      <c r="K1695" s="165"/>
      <c r="L1695" s="165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  <c r="AH1695" s="13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3"/>
      <c r="AS1695" s="13"/>
      <c r="AT1695" s="13"/>
      <c r="AU1695" s="13"/>
      <c r="AV1695" s="13"/>
      <c r="AW1695" s="13"/>
      <c r="AX1695" s="13"/>
      <c r="AY1695" s="13"/>
      <c r="AZ1695" s="13"/>
      <c r="BA1695" s="13"/>
      <c r="BB1695" s="13"/>
      <c r="BC1695" s="13"/>
      <c r="BD1695" s="13"/>
      <c r="BE1695" s="13"/>
      <c r="BF1695" s="13"/>
      <c r="BG1695" s="13"/>
      <c r="BH1695" s="13"/>
      <c r="BI1695" s="13"/>
      <c r="BJ1695" s="13"/>
      <c r="BK1695" s="13"/>
      <c r="BL1695" s="13"/>
      <c r="BM1695" s="13"/>
      <c r="BN1695" s="13"/>
      <c r="BO1695" s="13"/>
      <c r="BP1695" s="13"/>
      <c r="BQ1695" s="13"/>
      <c r="BR1695" s="13"/>
      <c r="BS1695" s="13"/>
      <c r="BT1695" s="13"/>
      <c r="BU1695" s="13"/>
      <c r="BV1695" s="13"/>
    </row>
    <row r="1696" spans="1:74">
      <c r="A1696" s="13"/>
      <c r="B1696" s="239"/>
      <c r="C1696" s="23"/>
      <c r="D1696" s="13"/>
      <c r="E1696" s="13"/>
      <c r="F1696" s="13"/>
      <c r="G1696" s="165"/>
      <c r="H1696" s="13"/>
      <c r="I1696" s="13"/>
      <c r="J1696" s="165"/>
      <c r="K1696" s="165"/>
      <c r="L1696" s="165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3"/>
      <c r="BP1696" s="13"/>
      <c r="BQ1696" s="13"/>
      <c r="BR1696" s="13"/>
      <c r="BS1696" s="13"/>
      <c r="BT1696" s="13"/>
      <c r="BU1696" s="13"/>
      <c r="BV1696" s="13"/>
    </row>
    <row r="1697" spans="1:74">
      <c r="A1697" s="13"/>
      <c r="B1697" s="239"/>
      <c r="C1697" s="23"/>
      <c r="D1697" s="13"/>
      <c r="E1697" s="13"/>
      <c r="F1697" s="13"/>
      <c r="G1697" s="165"/>
      <c r="H1697" s="13"/>
      <c r="I1697" s="13"/>
      <c r="J1697" s="165"/>
      <c r="K1697" s="165"/>
      <c r="L1697" s="165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  <c r="BD1697" s="13"/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3"/>
      <c r="BP1697" s="13"/>
      <c r="BQ1697" s="13"/>
      <c r="BR1697" s="13"/>
      <c r="BS1697" s="13"/>
      <c r="BT1697" s="13"/>
      <c r="BU1697" s="13"/>
      <c r="BV1697" s="13"/>
    </row>
    <row r="1698" spans="1:74">
      <c r="A1698" s="13"/>
      <c r="B1698" s="239"/>
      <c r="C1698" s="23"/>
      <c r="D1698" s="13"/>
      <c r="E1698" s="13"/>
      <c r="F1698" s="13"/>
      <c r="G1698" s="165"/>
      <c r="H1698" s="13"/>
      <c r="I1698" s="13"/>
      <c r="J1698" s="165"/>
      <c r="K1698" s="165"/>
      <c r="L1698" s="165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</row>
    <row r="1699" spans="1:74">
      <c r="A1699" s="13"/>
      <c r="B1699" s="239"/>
      <c r="C1699" s="23"/>
      <c r="D1699" s="13"/>
      <c r="E1699" s="13"/>
      <c r="F1699" s="13"/>
      <c r="G1699" s="165"/>
      <c r="H1699" s="13"/>
      <c r="I1699" s="13"/>
      <c r="J1699" s="165"/>
      <c r="K1699" s="165"/>
      <c r="L1699" s="165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  <c r="BD1699" s="13"/>
      <c r="BE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O1699" s="13"/>
      <c r="BP1699" s="13"/>
      <c r="BQ1699" s="13"/>
      <c r="BR1699" s="13"/>
      <c r="BS1699" s="13"/>
      <c r="BT1699" s="13"/>
      <c r="BU1699" s="13"/>
      <c r="BV1699" s="13"/>
    </row>
    <row r="1700" spans="1:74">
      <c r="A1700" s="13"/>
      <c r="B1700" s="239"/>
      <c r="C1700" s="23"/>
      <c r="D1700" s="13"/>
      <c r="E1700" s="13"/>
      <c r="F1700" s="13"/>
      <c r="G1700" s="165"/>
      <c r="H1700" s="13"/>
      <c r="I1700" s="13"/>
      <c r="J1700" s="165"/>
      <c r="K1700" s="165"/>
      <c r="L1700" s="165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  <c r="BD1700" s="13"/>
      <c r="BE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O1700" s="13"/>
      <c r="BP1700" s="13"/>
      <c r="BQ1700" s="13"/>
      <c r="BR1700" s="13"/>
      <c r="BS1700" s="13"/>
      <c r="BT1700" s="13"/>
      <c r="BU1700" s="13"/>
      <c r="BV1700" s="13"/>
    </row>
    <row r="1701" spans="1:74">
      <c r="A1701" s="13"/>
      <c r="B1701" s="239"/>
      <c r="C1701" s="23"/>
      <c r="D1701" s="13"/>
      <c r="E1701" s="13"/>
      <c r="F1701" s="13"/>
      <c r="G1701" s="165"/>
      <c r="H1701" s="13"/>
      <c r="I1701" s="13"/>
      <c r="J1701" s="165"/>
      <c r="K1701" s="165"/>
      <c r="L1701" s="165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3"/>
      <c r="AY1701" s="13"/>
      <c r="AZ1701" s="13"/>
      <c r="BA1701" s="13"/>
      <c r="BB1701" s="13"/>
      <c r="BC1701" s="13"/>
      <c r="BD1701" s="13"/>
      <c r="BE1701" s="13"/>
      <c r="BF1701" s="13"/>
      <c r="BG1701" s="13"/>
      <c r="BH1701" s="13"/>
      <c r="BI1701" s="13"/>
      <c r="BJ1701" s="13"/>
      <c r="BK1701" s="13"/>
      <c r="BL1701" s="13"/>
      <c r="BM1701" s="13"/>
      <c r="BN1701" s="13"/>
      <c r="BO1701" s="13"/>
      <c r="BP1701" s="13"/>
      <c r="BQ1701" s="13"/>
      <c r="BR1701" s="13"/>
      <c r="BS1701" s="13"/>
      <c r="BT1701" s="13"/>
      <c r="BU1701" s="13"/>
      <c r="BV1701" s="13"/>
    </row>
    <row r="1702" spans="1:74">
      <c r="A1702" s="13"/>
      <c r="B1702" s="239"/>
      <c r="C1702" s="23"/>
      <c r="D1702" s="13"/>
      <c r="E1702" s="13"/>
      <c r="F1702" s="13"/>
      <c r="G1702" s="165"/>
      <c r="H1702" s="13"/>
      <c r="I1702" s="13"/>
      <c r="J1702" s="165"/>
      <c r="K1702" s="165"/>
      <c r="L1702" s="165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  <c r="BD1702" s="13"/>
      <c r="BE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O1702" s="13"/>
      <c r="BP1702" s="13"/>
      <c r="BQ1702" s="13"/>
      <c r="BR1702" s="13"/>
      <c r="BS1702" s="13"/>
      <c r="BT1702" s="13"/>
      <c r="BU1702" s="13"/>
      <c r="BV1702" s="13"/>
    </row>
    <row r="1703" spans="1:74">
      <c r="A1703" s="13"/>
      <c r="B1703" s="239"/>
      <c r="C1703" s="23"/>
      <c r="D1703" s="13"/>
      <c r="E1703" s="13"/>
      <c r="F1703" s="13"/>
      <c r="G1703" s="165"/>
      <c r="H1703" s="13"/>
      <c r="I1703" s="13"/>
      <c r="J1703" s="165"/>
      <c r="K1703" s="165"/>
      <c r="L1703" s="165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O1703" s="13"/>
      <c r="BP1703" s="13"/>
      <c r="BQ1703" s="13"/>
      <c r="BR1703" s="13"/>
      <c r="BS1703" s="13"/>
      <c r="BT1703" s="13"/>
      <c r="BU1703" s="13"/>
      <c r="BV1703" s="13"/>
    </row>
    <row r="1704" spans="1:74">
      <c r="A1704" s="13"/>
      <c r="B1704" s="239"/>
      <c r="C1704" s="23"/>
      <c r="D1704" s="13"/>
      <c r="E1704" s="13"/>
      <c r="F1704" s="13"/>
      <c r="G1704" s="165"/>
      <c r="H1704" s="13"/>
      <c r="I1704" s="13"/>
      <c r="J1704" s="165"/>
      <c r="K1704" s="165"/>
      <c r="L1704" s="165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  <c r="BD1704" s="13"/>
      <c r="BE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O1704" s="13"/>
      <c r="BP1704" s="13"/>
      <c r="BQ1704" s="13"/>
      <c r="BR1704" s="13"/>
      <c r="BS1704" s="13"/>
      <c r="BT1704" s="13"/>
      <c r="BU1704" s="13"/>
      <c r="BV1704" s="13"/>
    </row>
    <row r="1705" spans="1:74">
      <c r="A1705" s="13"/>
      <c r="B1705" s="239"/>
      <c r="C1705" s="23"/>
      <c r="D1705" s="13"/>
      <c r="E1705" s="13"/>
      <c r="F1705" s="13"/>
      <c r="G1705" s="165"/>
      <c r="H1705" s="13"/>
      <c r="I1705" s="13"/>
      <c r="J1705" s="165"/>
      <c r="K1705" s="165"/>
      <c r="L1705" s="165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</row>
    <row r="1706" spans="1:74">
      <c r="A1706" s="13"/>
      <c r="B1706" s="239"/>
      <c r="C1706" s="23"/>
      <c r="D1706" s="13"/>
      <c r="E1706" s="13"/>
      <c r="F1706" s="13"/>
      <c r="G1706" s="165"/>
      <c r="H1706" s="13"/>
      <c r="I1706" s="13"/>
      <c r="J1706" s="165"/>
      <c r="K1706" s="165"/>
      <c r="L1706" s="165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/>
      <c r="BE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O1706" s="13"/>
      <c r="BP1706" s="13"/>
      <c r="BQ1706" s="13"/>
      <c r="BR1706" s="13"/>
      <c r="BS1706" s="13"/>
      <c r="BT1706" s="13"/>
      <c r="BU1706" s="13"/>
      <c r="BV1706" s="13"/>
    </row>
    <row r="1707" spans="1:74">
      <c r="A1707" s="13"/>
      <c r="B1707" s="239"/>
      <c r="C1707" s="23"/>
      <c r="D1707" s="13"/>
      <c r="E1707" s="13"/>
      <c r="F1707" s="13"/>
      <c r="G1707" s="165"/>
      <c r="H1707" s="13"/>
      <c r="I1707" s="13"/>
      <c r="J1707" s="165"/>
      <c r="K1707" s="165"/>
      <c r="L1707" s="165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/>
      <c r="BP1707" s="13"/>
      <c r="BQ1707" s="13"/>
      <c r="BR1707" s="13"/>
      <c r="BS1707" s="13"/>
      <c r="BT1707" s="13"/>
      <c r="BU1707" s="13"/>
      <c r="BV1707" s="13"/>
    </row>
    <row r="1708" spans="1:74">
      <c r="A1708" s="13"/>
      <c r="B1708" s="239"/>
      <c r="C1708" s="23"/>
      <c r="D1708" s="13"/>
      <c r="E1708" s="13"/>
      <c r="F1708" s="13"/>
      <c r="G1708" s="165"/>
      <c r="H1708" s="13"/>
      <c r="I1708" s="13"/>
      <c r="J1708" s="165"/>
      <c r="K1708" s="165"/>
      <c r="L1708" s="165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</row>
    <row r="1709" spans="1:74">
      <c r="A1709" s="13"/>
      <c r="B1709" s="239"/>
      <c r="C1709" s="23"/>
      <c r="D1709" s="13"/>
      <c r="E1709" s="13"/>
      <c r="F1709" s="13"/>
      <c r="G1709" s="165"/>
      <c r="H1709" s="13"/>
      <c r="I1709" s="13"/>
      <c r="J1709" s="165"/>
      <c r="K1709" s="165"/>
      <c r="L1709" s="165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3"/>
      <c r="AY1709" s="13"/>
      <c r="AZ1709" s="13"/>
      <c r="BA1709" s="13"/>
      <c r="BB1709" s="13"/>
      <c r="BC1709" s="13"/>
      <c r="BD1709" s="13"/>
      <c r="BE1709" s="13"/>
      <c r="BF1709" s="13"/>
      <c r="BG1709" s="13"/>
      <c r="BH1709" s="13"/>
      <c r="BI1709" s="13"/>
      <c r="BJ1709" s="13"/>
      <c r="BK1709" s="13"/>
      <c r="BL1709" s="13"/>
      <c r="BM1709" s="13"/>
      <c r="BN1709" s="13"/>
      <c r="BO1709" s="13"/>
      <c r="BP1709" s="13"/>
      <c r="BQ1709" s="13"/>
      <c r="BR1709" s="13"/>
      <c r="BS1709" s="13"/>
      <c r="BT1709" s="13"/>
      <c r="BU1709" s="13"/>
      <c r="BV1709" s="13"/>
    </row>
    <row r="1710" spans="1:74">
      <c r="A1710" s="13"/>
      <c r="B1710" s="239"/>
      <c r="C1710" s="23"/>
      <c r="D1710" s="13"/>
      <c r="E1710" s="13"/>
      <c r="F1710" s="13"/>
      <c r="G1710" s="165"/>
      <c r="H1710" s="13"/>
      <c r="I1710" s="13"/>
      <c r="J1710" s="165"/>
      <c r="K1710" s="165"/>
      <c r="L1710" s="165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3"/>
      <c r="BP1710" s="13"/>
      <c r="BQ1710" s="13"/>
      <c r="BR1710" s="13"/>
      <c r="BS1710" s="13"/>
      <c r="BT1710" s="13"/>
      <c r="BU1710" s="13"/>
      <c r="BV1710" s="13"/>
    </row>
    <row r="1711" spans="1:74">
      <c r="A1711" s="13"/>
      <c r="B1711" s="239"/>
      <c r="C1711" s="23"/>
      <c r="D1711" s="13"/>
      <c r="E1711" s="13"/>
      <c r="F1711" s="13"/>
      <c r="G1711" s="165"/>
      <c r="H1711" s="13"/>
      <c r="I1711" s="13"/>
      <c r="J1711" s="165"/>
      <c r="K1711" s="165"/>
      <c r="L1711" s="165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3"/>
      <c r="BP1711" s="13"/>
      <c r="BQ1711" s="13"/>
      <c r="BR1711" s="13"/>
      <c r="BS1711" s="13"/>
      <c r="BT1711" s="13"/>
      <c r="BU1711" s="13"/>
      <c r="BV1711" s="13"/>
    </row>
    <row r="1712" spans="1:74">
      <c r="A1712" s="13"/>
      <c r="B1712" s="239"/>
      <c r="C1712" s="23"/>
      <c r="D1712" s="13"/>
      <c r="E1712" s="13"/>
      <c r="F1712" s="13"/>
      <c r="G1712" s="165"/>
      <c r="H1712" s="13"/>
      <c r="I1712" s="13"/>
      <c r="J1712" s="165"/>
      <c r="K1712" s="165"/>
      <c r="L1712" s="165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3"/>
      <c r="BP1712" s="13"/>
      <c r="BQ1712" s="13"/>
      <c r="BR1712" s="13"/>
      <c r="BS1712" s="13"/>
      <c r="BT1712" s="13"/>
      <c r="BU1712" s="13"/>
      <c r="BV1712" s="13"/>
    </row>
    <row r="1713" spans="1:74">
      <c r="A1713" s="13"/>
      <c r="B1713" s="239"/>
      <c r="C1713" s="23"/>
      <c r="D1713" s="13"/>
      <c r="E1713" s="13"/>
      <c r="F1713" s="13"/>
      <c r="G1713" s="165"/>
      <c r="H1713" s="13"/>
      <c r="I1713" s="13"/>
      <c r="J1713" s="165"/>
      <c r="K1713" s="165"/>
      <c r="L1713" s="165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/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3"/>
      <c r="BP1713" s="13"/>
      <c r="BQ1713" s="13"/>
      <c r="BR1713" s="13"/>
      <c r="BS1713" s="13"/>
      <c r="BT1713" s="13"/>
      <c r="BU1713" s="13"/>
      <c r="BV1713" s="13"/>
    </row>
    <row r="1714" spans="1:74">
      <c r="A1714" s="13"/>
      <c r="B1714" s="239"/>
      <c r="C1714" s="23"/>
      <c r="D1714" s="13"/>
      <c r="E1714" s="13"/>
      <c r="F1714" s="13"/>
      <c r="G1714" s="165"/>
      <c r="H1714" s="13"/>
      <c r="I1714" s="13"/>
      <c r="J1714" s="165"/>
      <c r="K1714" s="165"/>
      <c r="L1714" s="165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3"/>
      <c r="BP1714" s="13"/>
      <c r="BQ1714" s="13"/>
      <c r="BR1714" s="13"/>
      <c r="BS1714" s="13"/>
      <c r="BT1714" s="13"/>
      <c r="BU1714" s="13"/>
      <c r="BV1714" s="13"/>
    </row>
    <row r="1715" spans="1:74">
      <c r="A1715" s="13"/>
      <c r="B1715" s="239"/>
      <c r="C1715" s="23"/>
      <c r="D1715" s="13"/>
      <c r="E1715" s="13"/>
      <c r="F1715" s="13"/>
      <c r="G1715" s="165"/>
      <c r="H1715" s="13"/>
      <c r="I1715" s="13"/>
      <c r="J1715" s="165"/>
      <c r="K1715" s="165"/>
      <c r="L1715" s="165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</row>
    <row r="1716" spans="1:74">
      <c r="A1716" s="13"/>
      <c r="B1716" s="239"/>
      <c r="C1716" s="23"/>
      <c r="D1716" s="13"/>
      <c r="E1716" s="13"/>
      <c r="F1716" s="13"/>
      <c r="G1716" s="165"/>
      <c r="H1716" s="13"/>
      <c r="I1716" s="13"/>
      <c r="J1716" s="165"/>
      <c r="K1716" s="165"/>
      <c r="L1716" s="165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/>
      <c r="AU1716" s="13"/>
      <c r="AV1716" s="13"/>
      <c r="AW1716" s="13"/>
      <c r="AX1716" s="13"/>
      <c r="AY1716" s="13"/>
      <c r="AZ1716" s="13"/>
      <c r="BA1716" s="13"/>
      <c r="BB1716" s="13"/>
      <c r="BC1716" s="13"/>
      <c r="BD1716" s="13"/>
      <c r="BE1716" s="13"/>
      <c r="BF1716" s="13"/>
      <c r="BG1716" s="13"/>
      <c r="BH1716" s="13"/>
      <c r="BI1716" s="13"/>
      <c r="BJ1716" s="13"/>
      <c r="BK1716" s="13"/>
      <c r="BL1716" s="13"/>
      <c r="BM1716" s="13"/>
      <c r="BN1716" s="13"/>
      <c r="BO1716" s="13"/>
      <c r="BP1716" s="13"/>
      <c r="BQ1716" s="13"/>
      <c r="BR1716" s="13"/>
      <c r="BS1716" s="13"/>
      <c r="BT1716" s="13"/>
      <c r="BU1716" s="13"/>
      <c r="BV1716" s="13"/>
    </row>
    <row r="1717" spans="1:74">
      <c r="A1717" s="13"/>
      <c r="B1717" s="239"/>
      <c r="C1717" s="23"/>
      <c r="D1717" s="13"/>
      <c r="E1717" s="13"/>
      <c r="F1717" s="13"/>
      <c r="G1717" s="165"/>
      <c r="H1717" s="13"/>
      <c r="I1717" s="13"/>
      <c r="J1717" s="165"/>
      <c r="K1717" s="165"/>
      <c r="L1717" s="165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/>
      <c r="AX1717" s="13"/>
      <c r="AY1717" s="13"/>
      <c r="AZ1717" s="13"/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3"/>
      <c r="BP1717" s="13"/>
      <c r="BQ1717" s="13"/>
      <c r="BR1717" s="13"/>
      <c r="BS1717" s="13"/>
      <c r="BT1717" s="13"/>
      <c r="BU1717" s="13"/>
      <c r="BV1717" s="13"/>
    </row>
    <row r="1718" spans="1:74">
      <c r="A1718" s="13"/>
      <c r="B1718" s="239"/>
      <c r="C1718" s="23"/>
      <c r="D1718" s="13"/>
      <c r="E1718" s="13"/>
      <c r="F1718" s="13"/>
      <c r="G1718" s="165"/>
      <c r="H1718" s="13"/>
      <c r="I1718" s="13"/>
      <c r="J1718" s="165"/>
      <c r="K1718" s="165"/>
      <c r="L1718" s="165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3"/>
      <c r="AS1718" s="13"/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3"/>
      <c r="BP1718" s="13"/>
      <c r="BQ1718" s="13"/>
      <c r="BR1718" s="13"/>
      <c r="BS1718" s="13"/>
      <c r="BT1718" s="13"/>
      <c r="BU1718" s="13"/>
      <c r="BV1718" s="13"/>
    </row>
    <row r="1719" spans="1:74">
      <c r="A1719" s="13"/>
      <c r="B1719" s="239"/>
      <c r="C1719" s="23"/>
      <c r="D1719" s="13"/>
      <c r="E1719" s="13"/>
      <c r="F1719" s="13"/>
      <c r="G1719" s="165"/>
      <c r="H1719" s="13"/>
      <c r="I1719" s="13"/>
      <c r="J1719" s="165"/>
      <c r="K1719" s="165"/>
      <c r="L1719" s="165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</row>
    <row r="1720" spans="1:74">
      <c r="A1720" s="13"/>
      <c r="B1720" s="239"/>
      <c r="C1720" s="23"/>
      <c r="D1720" s="13"/>
      <c r="E1720" s="13"/>
      <c r="F1720" s="13"/>
      <c r="G1720" s="165"/>
      <c r="H1720" s="13"/>
      <c r="I1720" s="13"/>
      <c r="J1720" s="165"/>
      <c r="K1720" s="165"/>
      <c r="L1720" s="165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/>
      <c r="AY1720" s="13"/>
      <c r="AZ1720" s="13"/>
      <c r="BA1720" s="13"/>
      <c r="BB1720" s="13"/>
      <c r="BC1720" s="13"/>
      <c r="BD1720" s="13"/>
      <c r="BE1720" s="13"/>
      <c r="BF1720" s="13"/>
      <c r="BG1720" s="13"/>
      <c r="BH1720" s="13"/>
      <c r="BI1720" s="13"/>
      <c r="BJ1720" s="13"/>
      <c r="BK1720" s="13"/>
      <c r="BL1720" s="13"/>
      <c r="BM1720" s="13"/>
      <c r="BN1720" s="13"/>
      <c r="BO1720" s="13"/>
      <c r="BP1720" s="13"/>
      <c r="BQ1720" s="13"/>
      <c r="BR1720" s="13"/>
      <c r="BS1720" s="13"/>
      <c r="BT1720" s="13"/>
      <c r="BU1720" s="13"/>
      <c r="BV1720" s="13"/>
    </row>
    <row r="1721" spans="1:74">
      <c r="A1721" s="13"/>
      <c r="B1721" s="239"/>
      <c r="C1721" s="23"/>
      <c r="D1721" s="13"/>
      <c r="E1721" s="13"/>
      <c r="F1721" s="13"/>
      <c r="G1721" s="165"/>
      <c r="H1721" s="13"/>
      <c r="I1721" s="13"/>
      <c r="J1721" s="165"/>
      <c r="K1721" s="165"/>
      <c r="L1721" s="165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3"/>
      <c r="BP1721" s="13"/>
      <c r="BQ1721" s="13"/>
      <c r="BR1721" s="13"/>
      <c r="BS1721" s="13"/>
      <c r="BT1721" s="13"/>
      <c r="BU1721" s="13"/>
      <c r="BV1721" s="13"/>
    </row>
    <row r="1722" spans="1:74">
      <c r="A1722" s="13"/>
      <c r="B1722" s="239"/>
      <c r="C1722" s="23"/>
      <c r="D1722" s="13"/>
      <c r="E1722" s="13"/>
      <c r="F1722" s="13"/>
      <c r="G1722" s="165"/>
      <c r="H1722" s="13"/>
      <c r="I1722" s="13"/>
      <c r="J1722" s="165"/>
      <c r="K1722" s="165"/>
      <c r="L1722" s="165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</row>
    <row r="1723" spans="1:74">
      <c r="A1723" s="13"/>
      <c r="B1723" s="239"/>
      <c r="C1723" s="23"/>
      <c r="D1723" s="13"/>
      <c r="E1723" s="13"/>
      <c r="F1723" s="13"/>
      <c r="G1723" s="165"/>
      <c r="H1723" s="13"/>
      <c r="I1723" s="13"/>
      <c r="J1723" s="165"/>
      <c r="K1723" s="165"/>
      <c r="L1723" s="165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3"/>
      <c r="BP1723" s="13"/>
      <c r="BQ1723" s="13"/>
      <c r="BR1723" s="13"/>
      <c r="BS1723" s="13"/>
      <c r="BT1723" s="13"/>
      <c r="BU1723" s="13"/>
      <c r="BV1723" s="13"/>
    </row>
    <row r="1724" spans="1:74">
      <c r="A1724" s="13"/>
      <c r="B1724" s="239"/>
      <c r="C1724" s="23"/>
      <c r="D1724" s="13"/>
      <c r="E1724" s="13"/>
      <c r="F1724" s="13"/>
      <c r="G1724" s="165"/>
      <c r="H1724" s="13"/>
      <c r="I1724" s="13"/>
      <c r="J1724" s="165"/>
      <c r="K1724" s="165"/>
      <c r="L1724" s="165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3"/>
      <c r="BP1724" s="13"/>
      <c r="BQ1724" s="13"/>
      <c r="BR1724" s="13"/>
      <c r="BS1724" s="13"/>
      <c r="BT1724" s="13"/>
      <c r="BU1724" s="13"/>
      <c r="BV1724" s="13"/>
    </row>
    <row r="1725" spans="1:74">
      <c r="A1725" s="13"/>
      <c r="B1725" s="239"/>
      <c r="C1725" s="23"/>
      <c r="D1725" s="13"/>
      <c r="E1725" s="13"/>
      <c r="F1725" s="13"/>
      <c r="G1725" s="165"/>
      <c r="H1725" s="13"/>
      <c r="I1725" s="13"/>
      <c r="J1725" s="165"/>
      <c r="K1725" s="165"/>
      <c r="L1725" s="165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/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3"/>
      <c r="BP1725" s="13"/>
      <c r="BQ1725" s="13"/>
      <c r="BR1725" s="13"/>
      <c r="BS1725" s="13"/>
      <c r="BT1725" s="13"/>
      <c r="BU1725" s="13"/>
      <c r="BV1725" s="13"/>
    </row>
    <row r="1726" spans="1:74">
      <c r="A1726" s="13"/>
      <c r="B1726" s="239"/>
      <c r="C1726" s="23"/>
      <c r="D1726" s="13"/>
      <c r="E1726" s="13"/>
      <c r="F1726" s="13"/>
      <c r="G1726" s="165"/>
      <c r="H1726" s="13"/>
      <c r="I1726" s="13"/>
      <c r="J1726" s="165"/>
      <c r="K1726" s="165"/>
      <c r="L1726" s="165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3"/>
      <c r="BP1726" s="13"/>
      <c r="BQ1726" s="13"/>
      <c r="BR1726" s="13"/>
      <c r="BS1726" s="13"/>
      <c r="BT1726" s="13"/>
      <c r="BU1726" s="13"/>
      <c r="BV1726" s="13"/>
    </row>
    <row r="1727" spans="1:74">
      <c r="A1727" s="13"/>
      <c r="B1727" s="239"/>
      <c r="C1727" s="23"/>
      <c r="D1727" s="13"/>
      <c r="E1727" s="13"/>
      <c r="F1727" s="13"/>
      <c r="G1727" s="165"/>
      <c r="H1727" s="13"/>
      <c r="I1727" s="13"/>
      <c r="J1727" s="165"/>
      <c r="K1727" s="165"/>
      <c r="L1727" s="165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</row>
    <row r="1728" spans="1:74">
      <c r="A1728" s="13"/>
      <c r="B1728" s="239"/>
      <c r="C1728" s="23"/>
      <c r="D1728" s="13"/>
      <c r="E1728" s="13"/>
      <c r="F1728" s="13"/>
      <c r="G1728" s="165"/>
      <c r="H1728" s="13"/>
      <c r="I1728" s="13"/>
      <c r="J1728" s="165"/>
      <c r="K1728" s="165"/>
      <c r="L1728" s="165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3"/>
      <c r="BP1728" s="13"/>
      <c r="BQ1728" s="13"/>
      <c r="BR1728" s="13"/>
      <c r="BS1728" s="13"/>
      <c r="BT1728" s="13"/>
      <c r="BU1728" s="13"/>
      <c r="BV1728" s="13"/>
    </row>
    <row r="1729" spans="1:74">
      <c r="A1729" s="13"/>
      <c r="B1729" s="239"/>
      <c r="C1729" s="23"/>
      <c r="D1729" s="13"/>
      <c r="E1729" s="13"/>
      <c r="F1729" s="13"/>
      <c r="G1729" s="165"/>
      <c r="H1729" s="13"/>
      <c r="I1729" s="13"/>
      <c r="J1729" s="165"/>
      <c r="K1729" s="165"/>
      <c r="L1729" s="165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</row>
    <row r="1730" spans="1:74">
      <c r="A1730" s="13"/>
      <c r="B1730" s="239"/>
      <c r="C1730" s="23"/>
      <c r="D1730" s="13"/>
      <c r="E1730" s="13"/>
      <c r="F1730" s="13"/>
      <c r="G1730" s="165"/>
      <c r="H1730" s="13"/>
      <c r="I1730" s="13"/>
      <c r="J1730" s="165"/>
      <c r="K1730" s="165"/>
      <c r="L1730" s="165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</row>
    <row r="1731" spans="1:74">
      <c r="A1731" s="13"/>
      <c r="B1731" s="239"/>
      <c r="C1731" s="23"/>
      <c r="D1731" s="13"/>
      <c r="E1731" s="13"/>
      <c r="F1731" s="13"/>
      <c r="G1731" s="165"/>
      <c r="H1731" s="13"/>
      <c r="I1731" s="13"/>
      <c r="J1731" s="165"/>
      <c r="K1731" s="165"/>
      <c r="L1731" s="165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3"/>
      <c r="BP1731" s="13"/>
      <c r="BQ1731" s="13"/>
      <c r="BR1731" s="13"/>
      <c r="BS1731" s="13"/>
      <c r="BT1731" s="13"/>
      <c r="BU1731" s="13"/>
      <c r="BV1731" s="13"/>
    </row>
    <row r="1732" spans="1:74">
      <c r="A1732" s="13"/>
      <c r="B1732" s="239"/>
      <c r="C1732" s="23"/>
      <c r="D1732" s="13"/>
      <c r="E1732" s="13"/>
      <c r="F1732" s="13"/>
      <c r="G1732" s="165"/>
      <c r="H1732" s="13"/>
      <c r="I1732" s="13"/>
      <c r="J1732" s="165"/>
      <c r="K1732" s="165"/>
      <c r="L1732" s="165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</row>
    <row r="1733" spans="1:74">
      <c r="A1733" s="13"/>
      <c r="B1733" s="239"/>
      <c r="C1733" s="23"/>
      <c r="D1733" s="13"/>
      <c r="E1733" s="13"/>
      <c r="F1733" s="13"/>
      <c r="G1733" s="165"/>
      <c r="H1733" s="13"/>
      <c r="I1733" s="13"/>
      <c r="J1733" s="165"/>
      <c r="K1733" s="165"/>
      <c r="L1733" s="165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</row>
    <row r="1734" spans="1:74">
      <c r="A1734" s="13"/>
      <c r="B1734" s="239"/>
      <c r="C1734" s="23"/>
      <c r="D1734" s="13"/>
      <c r="E1734" s="13"/>
      <c r="F1734" s="13"/>
      <c r="G1734" s="165"/>
      <c r="H1734" s="13"/>
      <c r="I1734" s="13"/>
      <c r="J1734" s="165"/>
      <c r="K1734" s="165"/>
      <c r="L1734" s="165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/>
      <c r="BV1734" s="13"/>
    </row>
    <row r="1735" spans="1:74">
      <c r="A1735" s="13"/>
      <c r="B1735" s="239"/>
      <c r="C1735" s="23"/>
      <c r="D1735" s="13"/>
      <c r="E1735" s="13"/>
      <c r="F1735" s="13"/>
      <c r="G1735" s="165"/>
      <c r="H1735" s="13"/>
      <c r="I1735" s="13"/>
      <c r="J1735" s="165"/>
      <c r="K1735" s="165"/>
      <c r="L1735" s="165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/>
      <c r="AY1735" s="13"/>
      <c r="AZ1735" s="13"/>
      <c r="BA1735" s="13"/>
      <c r="BB1735" s="13"/>
      <c r="BC1735" s="13"/>
      <c r="BD1735" s="13"/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3"/>
      <c r="BP1735" s="13"/>
      <c r="BQ1735" s="13"/>
      <c r="BR1735" s="13"/>
      <c r="BS1735" s="13"/>
      <c r="BT1735" s="13"/>
      <c r="BU1735" s="13"/>
      <c r="BV1735" s="13"/>
    </row>
    <row r="1736" spans="1:74">
      <c r="A1736" s="13"/>
      <c r="B1736" s="239"/>
      <c r="C1736" s="23"/>
      <c r="D1736" s="13"/>
      <c r="E1736" s="13"/>
      <c r="F1736" s="13"/>
      <c r="G1736" s="165"/>
      <c r="H1736" s="13"/>
      <c r="I1736" s="13"/>
      <c r="J1736" s="165"/>
      <c r="K1736" s="165"/>
      <c r="L1736" s="165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/>
      <c r="BR1736" s="13"/>
      <c r="BS1736" s="13"/>
      <c r="BT1736" s="13"/>
      <c r="BU1736" s="13"/>
      <c r="BV1736" s="13"/>
    </row>
    <row r="1737" spans="1:74">
      <c r="A1737" s="13"/>
      <c r="B1737" s="239"/>
      <c r="C1737" s="23"/>
      <c r="D1737" s="13"/>
      <c r="E1737" s="13"/>
      <c r="F1737" s="13"/>
      <c r="G1737" s="165"/>
      <c r="H1737" s="13"/>
      <c r="I1737" s="13"/>
      <c r="J1737" s="165"/>
      <c r="K1737" s="165"/>
      <c r="L1737" s="165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</row>
    <row r="1738" spans="1:74">
      <c r="A1738" s="13"/>
      <c r="B1738" s="239"/>
      <c r="C1738" s="23"/>
      <c r="D1738" s="13"/>
      <c r="E1738" s="13"/>
      <c r="F1738" s="13"/>
      <c r="G1738" s="165"/>
      <c r="H1738" s="13"/>
      <c r="I1738" s="13"/>
      <c r="J1738" s="165"/>
      <c r="K1738" s="165"/>
      <c r="L1738" s="165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</row>
    <row r="1739" spans="1:74">
      <c r="A1739" s="13"/>
      <c r="B1739" s="239"/>
      <c r="C1739" s="23"/>
      <c r="D1739" s="13"/>
      <c r="E1739" s="13"/>
      <c r="F1739" s="13"/>
      <c r="G1739" s="165"/>
      <c r="H1739" s="13"/>
      <c r="I1739" s="13"/>
      <c r="J1739" s="165"/>
      <c r="K1739" s="165"/>
      <c r="L1739" s="165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/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/>
      <c r="BN1739" s="13"/>
      <c r="BO1739" s="13"/>
      <c r="BP1739" s="13"/>
      <c r="BQ1739" s="13"/>
      <c r="BR1739" s="13"/>
      <c r="BS1739" s="13"/>
      <c r="BT1739" s="13"/>
      <c r="BU1739" s="13"/>
      <c r="BV1739" s="13"/>
    </row>
    <row r="1740" spans="1:74">
      <c r="A1740" s="13"/>
      <c r="B1740" s="239"/>
      <c r="C1740" s="23"/>
      <c r="D1740" s="13"/>
      <c r="E1740" s="13"/>
      <c r="F1740" s="13"/>
      <c r="G1740" s="165"/>
      <c r="H1740" s="13"/>
      <c r="I1740" s="13"/>
      <c r="J1740" s="165"/>
      <c r="K1740" s="165"/>
      <c r="L1740" s="165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/>
      <c r="AY1740" s="13"/>
      <c r="AZ1740" s="13"/>
      <c r="BA1740" s="13"/>
      <c r="BB1740" s="13"/>
      <c r="BC1740" s="13"/>
      <c r="BD1740" s="13"/>
      <c r="BE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O1740" s="13"/>
      <c r="BP1740" s="13"/>
      <c r="BQ1740" s="13"/>
      <c r="BR1740" s="13"/>
      <c r="BS1740" s="13"/>
      <c r="BT1740" s="13"/>
      <c r="BU1740" s="13"/>
      <c r="BV1740" s="13"/>
    </row>
    <row r="1741" spans="1:74">
      <c r="A1741" s="13"/>
      <c r="B1741" s="239"/>
      <c r="C1741" s="23"/>
      <c r="D1741" s="13"/>
      <c r="E1741" s="13"/>
      <c r="F1741" s="13"/>
      <c r="G1741" s="165"/>
      <c r="H1741" s="13"/>
      <c r="I1741" s="13"/>
      <c r="J1741" s="165"/>
      <c r="K1741" s="165"/>
      <c r="L1741" s="165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</row>
    <row r="1742" spans="1:74">
      <c r="A1742" s="13"/>
      <c r="B1742" s="239"/>
      <c r="C1742" s="23"/>
      <c r="D1742" s="13"/>
      <c r="E1742" s="13"/>
      <c r="F1742" s="13"/>
      <c r="G1742" s="165"/>
      <c r="H1742" s="13"/>
      <c r="I1742" s="13"/>
      <c r="J1742" s="165"/>
      <c r="K1742" s="165"/>
      <c r="L1742" s="165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</row>
    <row r="1743" spans="1:74">
      <c r="A1743" s="13"/>
      <c r="B1743" s="239"/>
      <c r="C1743" s="23"/>
      <c r="D1743" s="13"/>
      <c r="E1743" s="13"/>
      <c r="F1743" s="13"/>
      <c r="G1743" s="165"/>
      <c r="H1743" s="13"/>
      <c r="I1743" s="13"/>
      <c r="J1743" s="165"/>
      <c r="K1743" s="165"/>
      <c r="L1743" s="165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/>
      <c r="BF1743" s="13"/>
      <c r="BG1743" s="13"/>
      <c r="BH1743" s="13"/>
      <c r="BI1743" s="13"/>
      <c r="BJ1743" s="13"/>
      <c r="BK1743" s="13"/>
      <c r="BL1743" s="13"/>
      <c r="BM1743" s="13"/>
      <c r="BN1743" s="13"/>
      <c r="BO1743" s="13"/>
      <c r="BP1743" s="13"/>
      <c r="BQ1743" s="13"/>
      <c r="BR1743" s="13"/>
      <c r="BS1743" s="13"/>
      <c r="BT1743" s="13"/>
      <c r="BU1743" s="13"/>
      <c r="BV1743" s="13"/>
    </row>
    <row r="1744" spans="1:74">
      <c r="A1744" s="13"/>
      <c r="B1744" s="239"/>
      <c r="C1744" s="23"/>
      <c r="D1744" s="13"/>
      <c r="E1744" s="13"/>
      <c r="F1744" s="13"/>
      <c r="G1744" s="165"/>
      <c r="H1744" s="13"/>
      <c r="I1744" s="13"/>
      <c r="J1744" s="165"/>
      <c r="K1744" s="165"/>
      <c r="L1744" s="165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</row>
    <row r="1745" spans="1:74">
      <c r="A1745" s="13"/>
      <c r="B1745" s="239"/>
      <c r="C1745" s="23"/>
      <c r="D1745" s="13"/>
      <c r="E1745" s="13"/>
      <c r="F1745" s="13"/>
      <c r="G1745" s="165"/>
      <c r="H1745" s="13"/>
      <c r="I1745" s="13"/>
      <c r="J1745" s="165"/>
      <c r="K1745" s="165"/>
      <c r="L1745" s="165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3"/>
      <c r="BP1745" s="13"/>
      <c r="BQ1745" s="13"/>
      <c r="BR1745" s="13"/>
      <c r="BS1745" s="13"/>
      <c r="BT1745" s="13"/>
      <c r="BU1745" s="13"/>
      <c r="BV1745" s="13"/>
    </row>
    <row r="1746" spans="1:74">
      <c r="A1746" s="13"/>
      <c r="B1746" s="239"/>
      <c r="C1746" s="23"/>
      <c r="D1746" s="13"/>
      <c r="E1746" s="13"/>
      <c r="F1746" s="13"/>
      <c r="G1746" s="165"/>
      <c r="H1746" s="13"/>
      <c r="I1746" s="13"/>
      <c r="J1746" s="165"/>
      <c r="K1746" s="165"/>
      <c r="L1746" s="165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</row>
    <row r="1747" spans="1:74">
      <c r="A1747" s="13"/>
      <c r="B1747" s="239"/>
      <c r="C1747" s="23"/>
      <c r="D1747" s="13"/>
      <c r="E1747" s="13"/>
      <c r="F1747" s="13"/>
      <c r="G1747" s="165"/>
      <c r="H1747" s="13"/>
      <c r="I1747" s="13"/>
      <c r="J1747" s="165"/>
      <c r="K1747" s="165"/>
      <c r="L1747" s="165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3"/>
      <c r="BP1747" s="13"/>
      <c r="BQ1747" s="13"/>
      <c r="BR1747" s="13"/>
      <c r="BS1747" s="13"/>
      <c r="BT1747" s="13"/>
      <c r="BU1747" s="13"/>
      <c r="BV1747" s="13"/>
    </row>
    <row r="1748" spans="1:74">
      <c r="A1748" s="13"/>
      <c r="B1748" s="239"/>
      <c r="C1748" s="23"/>
      <c r="D1748" s="13"/>
      <c r="E1748" s="13"/>
      <c r="F1748" s="13"/>
      <c r="G1748" s="165"/>
      <c r="H1748" s="13"/>
      <c r="I1748" s="13"/>
      <c r="J1748" s="165"/>
      <c r="K1748" s="165"/>
      <c r="L1748" s="165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O1748" s="13"/>
      <c r="BP1748" s="13"/>
      <c r="BQ1748" s="13"/>
      <c r="BR1748" s="13"/>
      <c r="BS1748" s="13"/>
      <c r="BT1748" s="13"/>
      <c r="BU1748" s="13"/>
      <c r="BV1748" s="13"/>
    </row>
    <row r="1749" spans="1:74">
      <c r="A1749" s="13"/>
      <c r="B1749" s="239"/>
      <c r="C1749" s="23"/>
      <c r="D1749" s="13"/>
      <c r="E1749" s="13"/>
      <c r="F1749" s="13"/>
      <c r="G1749" s="165"/>
      <c r="H1749" s="13"/>
      <c r="I1749" s="13"/>
      <c r="J1749" s="165"/>
      <c r="K1749" s="165"/>
      <c r="L1749" s="165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</row>
    <row r="1750" spans="1:74">
      <c r="A1750" s="13"/>
      <c r="B1750" s="239"/>
      <c r="C1750" s="23"/>
      <c r="D1750" s="13"/>
      <c r="E1750" s="13"/>
      <c r="F1750" s="13"/>
      <c r="G1750" s="165"/>
      <c r="H1750" s="13"/>
      <c r="I1750" s="13"/>
      <c r="J1750" s="165"/>
      <c r="K1750" s="165"/>
      <c r="L1750" s="165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3"/>
      <c r="AS1750" s="13"/>
      <c r="AT1750" s="13"/>
      <c r="AU1750" s="13"/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/>
      <c r="BV1750" s="13"/>
    </row>
    <row r="1751" spans="1:74">
      <c r="A1751" s="13"/>
      <c r="B1751" s="239"/>
      <c r="C1751" s="23"/>
      <c r="D1751" s="13"/>
      <c r="E1751" s="13"/>
      <c r="F1751" s="13"/>
      <c r="G1751" s="165"/>
      <c r="H1751" s="13"/>
      <c r="I1751" s="13"/>
      <c r="J1751" s="165"/>
      <c r="K1751" s="165"/>
      <c r="L1751" s="165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/>
      <c r="BB1751" s="13"/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</row>
    <row r="1752" spans="1:74">
      <c r="A1752" s="13"/>
      <c r="B1752" s="239"/>
      <c r="C1752" s="23"/>
      <c r="D1752" s="13"/>
      <c r="E1752" s="13"/>
      <c r="F1752" s="13"/>
      <c r="G1752" s="165"/>
      <c r="H1752" s="13"/>
      <c r="I1752" s="13"/>
      <c r="J1752" s="165"/>
      <c r="K1752" s="165"/>
      <c r="L1752" s="165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</row>
    <row r="1753" spans="1:74">
      <c r="A1753" s="13"/>
      <c r="B1753" s="239"/>
      <c r="C1753" s="23"/>
      <c r="D1753" s="13"/>
      <c r="E1753" s="13"/>
      <c r="F1753" s="13"/>
      <c r="G1753" s="165"/>
      <c r="H1753" s="13"/>
      <c r="I1753" s="13"/>
      <c r="J1753" s="165"/>
      <c r="K1753" s="165"/>
      <c r="L1753" s="165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</row>
    <row r="1754" spans="1:74">
      <c r="A1754" s="13"/>
      <c r="B1754" s="239"/>
      <c r="C1754" s="23"/>
      <c r="D1754" s="13"/>
      <c r="E1754" s="13"/>
      <c r="F1754" s="13"/>
      <c r="G1754" s="165"/>
      <c r="H1754" s="13"/>
      <c r="I1754" s="13"/>
      <c r="J1754" s="165"/>
      <c r="K1754" s="165"/>
      <c r="L1754" s="165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3"/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O1754" s="13"/>
      <c r="BP1754" s="13"/>
      <c r="BQ1754" s="13"/>
      <c r="BR1754" s="13"/>
      <c r="BS1754" s="13"/>
      <c r="BT1754" s="13"/>
      <c r="BU1754" s="13"/>
      <c r="BV1754" s="13"/>
    </row>
    <row r="1755" spans="1:74">
      <c r="A1755" s="13"/>
      <c r="B1755" s="239"/>
      <c r="C1755" s="23"/>
      <c r="D1755" s="13"/>
      <c r="E1755" s="13"/>
      <c r="F1755" s="13"/>
      <c r="G1755" s="165"/>
      <c r="H1755" s="13"/>
      <c r="I1755" s="13"/>
      <c r="J1755" s="165"/>
      <c r="K1755" s="165"/>
      <c r="L1755" s="165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/>
      <c r="BR1755" s="13"/>
      <c r="BS1755" s="13"/>
      <c r="BT1755" s="13"/>
      <c r="BU1755" s="13"/>
      <c r="BV1755" s="13"/>
    </row>
    <row r="1756" spans="1:74">
      <c r="A1756" s="13"/>
      <c r="B1756" s="239"/>
      <c r="C1756" s="23"/>
      <c r="D1756" s="13"/>
      <c r="E1756" s="13"/>
      <c r="F1756" s="13"/>
      <c r="G1756" s="165"/>
      <c r="H1756" s="13"/>
      <c r="I1756" s="13"/>
      <c r="J1756" s="165"/>
      <c r="K1756" s="165"/>
      <c r="L1756" s="165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</row>
    <row r="1757" spans="1:74">
      <c r="A1757" s="13"/>
      <c r="B1757" s="239"/>
      <c r="C1757" s="23"/>
      <c r="D1757" s="13"/>
      <c r="E1757" s="13"/>
      <c r="F1757" s="13"/>
      <c r="G1757" s="165"/>
      <c r="H1757" s="13"/>
      <c r="I1757" s="13"/>
      <c r="J1757" s="165"/>
      <c r="K1757" s="165"/>
      <c r="L1757" s="165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</row>
    <row r="1758" spans="1:74">
      <c r="A1758" s="13"/>
      <c r="B1758" s="239"/>
      <c r="C1758" s="23"/>
      <c r="D1758" s="13"/>
      <c r="E1758" s="13"/>
      <c r="F1758" s="13"/>
      <c r="G1758" s="165"/>
      <c r="H1758" s="13"/>
      <c r="I1758" s="13"/>
      <c r="J1758" s="165"/>
      <c r="K1758" s="165"/>
      <c r="L1758" s="165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</row>
    <row r="1759" spans="1:74">
      <c r="A1759" s="13"/>
      <c r="B1759" s="239"/>
      <c r="C1759" s="23"/>
      <c r="D1759" s="13"/>
      <c r="E1759" s="13"/>
      <c r="F1759" s="13"/>
      <c r="G1759" s="165"/>
      <c r="H1759" s="13"/>
      <c r="I1759" s="13"/>
      <c r="J1759" s="165"/>
      <c r="K1759" s="165"/>
      <c r="L1759" s="165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/>
      <c r="AP1759" s="13"/>
      <c r="AQ1759" s="13"/>
      <c r="AR1759" s="13"/>
      <c r="AS1759" s="13"/>
      <c r="AT1759" s="13"/>
      <c r="AU1759" s="13"/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3"/>
      <c r="BT1759" s="13"/>
      <c r="BU1759" s="13"/>
      <c r="BV1759" s="13"/>
    </row>
    <row r="1760" spans="1:74">
      <c r="A1760" s="13"/>
      <c r="B1760" s="239"/>
      <c r="C1760" s="23"/>
      <c r="D1760" s="13"/>
      <c r="E1760" s="13"/>
      <c r="F1760" s="13"/>
      <c r="G1760" s="165"/>
      <c r="H1760" s="13"/>
      <c r="I1760" s="13"/>
      <c r="J1760" s="165"/>
      <c r="K1760" s="165"/>
      <c r="L1760" s="165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/>
      <c r="BE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O1760" s="13"/>
      <c r="BP1760" s="13"/>
      <c r="BQ1760" s="13"/>
      <c r="BR1760" s="13"/>
      <c r="BS1760" s="13"/>
      <c r="BT1760" s="13"/>
      <c r="BU1760" s="13"/>
      <c r="BV1760" s="13"/>
    </row>
    <row r="1761" spans="1:74">
      <c r="A1761" s="13"/>
      <c r="B1761" s="239"/>
      <c r="C1761" s="23"/>
      <c r="D1761" s="13"/>
      <c r="E1761" s="13"/>
      <c r="F1761" s="13"/>
      <c r="G1761" s="165"/>
      <c r="H1761" s="13"/>
      <c r="I1761" s="13"/>
      <c r="J1761" s="165"/>
      <c r="K1761" s="165"/>
      <c r="L1761" s="165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</row>
    <row r="1762" spans="1:74">
      <c r="A1762" s="13"/>
      <c r="B1762" s="239"/>
      <c r="C1762" s="23"/>
      <c r="D1762" s="13"/>
      <c r="E1762" s="13"/>
      <c r="F1762" s="13"/>
      <c r="G1762" s="165"/>
      <c r="H1762" s="13"/>
      <c r="I1762" s="13"/>
      <c r="J1762" s="165"/>
      <c r="K1762" s="165"/>
      <c r="L1762" s="165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</row>
    <row r="1763" spans="1:74">
      <c r="A1763" s="13"/>
      <c r="B1763" s="239"/>
      <c r="C1763" s="23"/>
      <c r="D1763" s="13"/>
      <c r="E1763" s="13"/>
      <c r="F1763" s="13"/>
      <c r="G1763" s="165"/>
      <c r="H1763" s="13"/>
      <c r="I1763" s="13"/>
      <c r="J1763" s="165"/>
      <c r="K1763" s="165"/>
      <c r="L1763" s="165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/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</row>
    <row r="1764" spans="1:74">
      <c r="A1764" s="13"/>
      <c r="B1764" s="239"/>
      <c r="C1764" s="23"/>
      <c r="D1764" s="13"/>
      <c r="E1764" s="13"/>
      <c r="F1764" s="13"/>
      <c r="G1764" s="165"/>
      <c r="H1764" s="13"/>
      <c r="I1764" s="13"/>
      <c r="J1764" s="165"/>
      <c r="K1764" s="165"/>
      <c r="L1764" s="165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</row>
    <row r="1765" spans="1:74">
      <c r="A1765" s="13"/>
      <c r="B1765" s="239"/>
      <c r="C1765" s="23"/>
      <c r="D1765" s="13"/>
      <c r="E1765" s="13"/>
      <c r="F1765" s="13"/>
      <c r="G1765" s="165"/>
      <c r="H1765" s="13"/>
      <c r="I1765" s="13"/>
      <c r="J1765" s="165"/>
      <c r="K1765" s="165"/>
      <c r="L1765" s="165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</row>
    <row r="1766" spans="1:74">
      <c r="A1766" s="13"/>
      <c r="B1766" s="239"/>
      <c r="C1766" s="23"/>
      <c r="D1766" s="13"/>
      <c r="E1766" s="13"/>
      <c r="F1766" s="13"/>
      <c r="G1766" s="165"/>
      <c r="H1766" s="13"/>
      <c r="I1766" s="13"/>
      <c r="J1766" s="165"/>
      <c r="K1766" s="165"/>
      <c r="L1766" s="165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O1766" s="13"/>
      <c r="BP1766" s="13"/>
      <c r="BQ1766" s="13"/>
      <c r="BR1766" s="13"/>
      <c r="BS1766" s="13"/>
      <c r="BT1766" s="13"/>
      <c r="BU1766" s="13"/>
      <c r="BV1766" s="13"/>
    </row>
    <row r="1767" spans="1:74">
      <c r="A1767" s="13"/>
      <c r="B1767" s="239"/>
      <c r="C1767" s="23"/>
      <c r="D1767" s="13"/>
      <c r="E1767" s="13"/>
      <c r="F1767" s="13"/>
      <c r="G1767" s="165"/>
      <c r="H1767" s="13"/>
      <c r="I1767" s="13"/>
      <c r="J1767" s="165"/>
      <c r="K1767" s="165"/>
      <c r="L1767" s="165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</row>
    <row r="1768" spans="1:74">
      <c r="A1768" s="13"/>
      <c r="B1768" s="239"/>
      <c r="C1768" s="23"/>
      <c r="D1768" s="13"/>
      <c r="E1768" s="13"/>
      <c r="F1768" s="13"/>
      <c r="G1768" s="165"/>
      <c r="H1768" s="13"/>
      <c r="I1768" s="13"/>
      <c r="J1768" s="165"/>
      <c r="K1768" s="165"/>
      <c r="L1768" s="165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  <c r="AT1768" s="13"/>
      <c r="AU1768" s="13"/>
      <c r="AV1768" s="13"/>
      <c r="AW1768" s="13"/>
      <c r="AX1768" s="13"/>
      <c r="AY1768" s="13"/>
      <c r="AZ1768" s="13"/>
      <c r="BA1768" s="13"/>
      <c r="BB1768" s="13"/>
      <c r="BC1768" s="13"/>
      <c r="BD1768" s="13"/>
      <c r="BE1768" s="13"/>
      <c r="BF1768" s="13"/>
      <c r="BG1768" s="13"/>
      <c r="BH1768" s="13"/>
      <c r="BI1768" s="13"/>
      <c r="BJ1768" s="13"/>
      <c r="BK1768" s="13"/>
      <c r="BL1768" s="13"/>
      <c r="BM1768" s="13"/>
      <c r="BN1768" s="13"/>
      <c r="BO1768" s="13"/>
      <c r="BP1768" s="13"/>
      <c r="BQ1768" s="13"/>
      <c r="BR1768" s="13"/>
      <c r="BS1768" s="13"/>
      <c r="BT1768" s="13"/>
      <c r="BU1768" s="13"/>
      <c r="BV1768" s="13"/>
    </row>
    <row r="1769" spans="1:74">
      <c r="A1769" s="13"/>
      <c r="B1769" s="239"/>
      <c r="C1769" s="23"/>
      <c r="D1769" s="13"/>
      <c r="E1769" s="13"/>
      <c r="F1769" s="13"/>
      <c r="G1769" s="165"/>
      <c r="H1769" s="13"/>
      <c r="I1769" s="13"/>
      <c r="J1769" s="165"/>
      <c r="K1769" s="165"/>
      <c r="L1769" s="165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3"/>
      <c r="BP1769" s="13"/>
      <c r="BQ1769" s="13"/>
      <c r="BR1769" s="13"/>
      <c r="BS1769" s="13"/>
      <c r="BT1769" s="13"/>
      <c r="BU1769" s="13"/>
      <c r="BV1769" s="13"/>
    </row>
    <row r="1770" spans="1:74">
      <c r="A1770" s="13"/>
      <c r="B1770" s="239"/>
      <c r="C1770" s="23"/>
      <c r="D1770" s="13"/>
      <c r="E1770" s="13"/>
      <c r="F1770" s="13"/>
      <c r="G1770" s="165"/>
      <c r="H1770" s="13"/>
      <c r="I1770" s="13"/>
      <c r="J1770" s="165"/>
      <c r="K1770" s="165"/>
      <c r="L1770" s="165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</row>
    <row r="1771" spans="1:74">
      <c r="A1771" s="13"/>
      <c r="B1771" s="239"/>
      <c r="C1771" s="23"/>
      <c r="D1771" s="13"/>
      <c r="E1771" s="13"/>
      <c r="F1771" s="13"/>
      <c r="G1771" s="165"/>
      <c r="H1771" s="13"/>
      <c r="I1771" s="13"/>
      <c r="J1771" s="165"/>
      <c r="K1771" s="165"/>
      <c r="L1771" s="165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</row>
    <row r="1772" spans="1:74">
      <c r="A1772" s="13"/>
      <c r="B1772" s="239"/>
      <c r="C1772" s="23"/>
      <c r="D1772" s="13"/>
      <c r="E1772" s="13"/>
      <c r="F1772" s="13"/>
      <c r="G1772" s="165"/>
      <c r="H1772" s="13"/>
      <c r="I1772" s="13"/>
      <c r="J1772" s="165"/>
      <c r="K1772" s="165"/>
      <c r="L1772" s="165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</row>
    <row r="1773" spans="1:74">
      <c r="A1773" s="13"/>
      <c r="B1773" s="239"/>
      <c r="C1773" s="23"/>
      <c r="D1773" s="13"/>
      <c r="E1773" s="13"/>
      <c r="F1773" s="13"/>
      <c r="G1773" s="165"/>
      <c r="H1773" s="13"/>
      <c r="I1773" s="13"/>
      <c r="J1773" s="165"/>
      <c r="K1773" s="165"/>
      <c r="L1773" s="165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/>
      <c r="AZ1773" s="13"/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</row>
    <row r="1774" spans="1:74">
      <c r="A1774" s="13"/>
      <c r="B1774" s="239"/>
      <c r="C1774" s="23"/>
      <c r="D1774" s="13"/>
      <c r="E1774" s="13"/>
      <c r="F1774" s="13"/>
      <c r="G1774" s="165"/>
      <c r="H1774" s="13"/>
      <c r="I1774" s="13"/>
      <c r="J1774" s="165"/>
      <c r="K1774" s="165"/>
      <c r="L1774" s="165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3"/>
      <c r="AY1774" s="13"/>
      <c r="AZ1774" s="13"/>
      <c r="BA1774" s="13"/>
      <c r="BB1774" s="13"/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</row>
    <row r="1775" spans="1:74">
      <c r="A1775" s="13"/>
      <c r="B1775" s="239"/>
      <c r="C1775" s="23"/>
      <c r="D1775" s="13"/>
      <c r="E1775" s="13"/>
      <c r="F1775" s="13"/>
      <c r="G1775" s="165"/>
      <c r="H1775" s="13"/>
      <c r="I1775" s="13"/>
      <c r="J1775" s="165"/>
      <c r="K1775" s="165"/>
      <c r="L1775" s="165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</row>
    <row r="1776" spans="1:74">
      <c r="A1776" s="13"/>
      <c r="B1776" s="239"/>
      <c r="C1776" s="23"/>
      <c r="D1776" s="13"/>
      <c r="E1776" s="13"/>
      <c r="F1776" s="13"/>
      <c r="G1776" s="165"/>
      <c r="H1776" s="13"/>
      <c r="I1776" s="13"/>
      <c r="J1776" s="165"/>
      <c r="K1776" s="165"/>
      <c r="L1776" s="165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/>
      <c r="AS1776" s="13"/>
      <c r="AT1776" s="13"/>
      <c r="AU1776" s="13"/>
      <c r="AV1776" s="13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</row>
    <row r="1777" spans="1:74">
      <c r="A1777" s="13"/>
      <c r="B1777" s="239"/>
      <c r="C1777" s="23"/>
      <c r="D1777" s="13"/>
      <c r="E1777" s="13"/>
      <c r="F1777" s="13"/>
      <c r="G1777" s="165"/>
      <c r="H1777" s="13"/>
      <c r="I1777" s="13"/>
      <c r="J1777" s="165"/>
      <c r="K1777" s="165"/>
      <c r="L1777" s="165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  <c r="AT1777" s="13"/>
      <c r="AU1777" s="13"/>
      <c r="AV1777" s="13"/>
      <c r="AW1777" s="13"/>
      <c r="AX1777" s="13"/>
      <c r="AY1777" s="13"/>
      <c r="AZ1777" s="13"/>
      <c r="BA1777" s="13"/>
      <c r="BB1777" s="13"/>
      <c r="BC1777" s="13"/>
      <c r="BD1777" s="13"/>
      <c r="BE1777" s="13"/>
      <c r="BF1777" s="13"/>
      <c r="BG1777" s="13"/>
      <c r="BH1777" s="13"/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</row>
    <row r="1778" spans="1:74">
      <c r="A1778" s="13"/>
      <c r="B1778" s="239"/>
      <c r="C1778" s="23"/>
      <c r="D1778" s="13"/>
      <c r="E1778" s="13"/>
      <c r="F1778" s="13"/>
      <c r="G1778" s="165"/>
      <c r="H1778" s="13"/>
      <c r="I1778" s="13"/>
      <c r="J1778" s="165"/>
      <c r="K1778" s="165"/>
      <c r="L1778" s="165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  <c r="AO1778" s="13"/>
      <c r="AP1778" s="13"/>
      <c r="AQ1778" s="13"/>
      <c r="AR1778" s="13"/>
      <c r="AS1778" s="13"/>
      <c r="AT1778" s="13"/>
      <c r="AU1778" s="13"/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</row>
    <row r="1779" spans="1:74">
      <c r="A1779" s="13"/>
      <c r="B1779" s="239"/>
      <c r="C1779" s="23"/>
      <c r="D1779" s="13"/>
      <c r="E1779" s="13"/>
      <c r="F1779" s="13"/>
      <c r="G1779" s="165"/>
      <c r="H1779" s="13"/>
      <c r="I1779" s="13"/>
      <c r="J1779" s="165"/>
      <c r="K1779" s="165"/>
      <c r="L1779" s="165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</row>
    <row r="1780" spans="1:74">
      <c r="A1780" s="13"/>
      <c r="B1780" s="239"/>
      <c r="C1780" s="23"/>
      <c r="D1780" s="13"/>
      <c r="E1780" s="13"/>
      <c r="F1780" s="13"/>
      <c r="G1780" s="165"/>
      <c r="H1780" s="13"/>
      <c r="I1780" s="13"/>
      <c r="J1780" s="165"/>
      <c r="K1780" s="165"/>
      <c r="L1780" s="165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  <c r="AT1780" s="13"/>
      <c r="AU1780" s="13"/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</row>
    <row r="1781" spans="1:74">
      <c r="A1781" s="13"/>
      <c r="B1781" s="239"/>
      <c r="C1781" s="23"/>
      <c r="D1781" s="13"/>
      <c r="E1781" s="13"/>
      <c r="F1781" s="13"/>
      <c r="G1781" s="165"/>
      <c r="H1781" s="13"/>
      <c r="I1781" s="13"/>
      <c r="J1781" s="165"/>
      <c r="K1781" s="165"/>
      <c r="L1781" s="165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/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</row>
    <row r="1782" spans="1:74">
      <c r="A1782" s="13"/>
      <c r="B1782" s="239"/>
      <c r="C1782" s="23"/>
      <c r="D1782" s="13"/>
      <c r="E1782" s="13"/>
      <c r="F1782" s="13"/>
      <c r="G1782" s="165"/>
      <c r="H1782" s="13"/>
      <c r="I1782" s="13"/>
      <c r="J1782" s="165"/>
      <c r="K1782" s="165"/>
      <c r="L1782" s="165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  <c r="AO1782" s="13"/>
      <c r="AP1782" s="13"/>
      <c r="AQ1782" s="13"/>
      <c r="AR1782" s="13"/>
      <c r="AS1782" s="13"/>
      <c r="AT1782" s="13"/>
      <c r="AU1782" s="13"/>
      <c r="AV1782" s="13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</row>
    <row r="1783" spans="1:74">
      <c r="A1783" s="13"/>
      <c r="B1783" s="239"/>
      <c r="C1783" s="23"/>
      <c r="D1783" s="13"/>
      <c r="E1783" s="13"/>
      <c r="F1783" s="13"/>
      <c r="G1783" s="165"/>
      <c r="H1783" s="13"/>
      <c r="I1783" s="13"/>
      <c r="J1783" s="165"/>
      <c r="K1783" s="165"/>
      <c r="L1783" s="165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/>
      <c r="BC1783" s="13"/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</row>
    <row r="1784" spans="1:74">
      <c r="A1784" s="13"/>
      <c r="B1784" s="239"/>
      <c r="C1784" s="23"/>
      <c r="D1784" s="13"/>
      <c r="E1784" s="13"/>
      <c r="F1784" s="13"/>
      <c r="G1784" s="165"/>
      <c r="H1784" s="13"/>
      <c r="I1784" s="13"/>
      <c r="J1784" s="165"/>
      <c r="K1784" s="165"/>
      <c r="L1784" s="165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</row>
    <row r="1785" spans="1:74">
      <c r="A1785" s="13"/>
      <c r="B1785" s="239"/>
      <c r="C1785" s="23"/>
      <c r="D1785" s="13"/>
      <c r="E1785" s="13"/>
      <c r="F1785" s="13"/>
      <c r="G1785" s="165"/>
      <c r="H1785" s="13"/>
      <c r="I1785" s="13"/>
      <c r="J1785" s="165"/>
      <c r="K1785" s="165"/>
      <c r="L1785" s="165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</row>
    <row r="1786" spans="1:74">
      <c r="A1786" s="13"/>
      <c r="B1786" s="239"/>
      <c r="C1786" s="23"/>
      <c r="D1786" s="13"/>
      <c r="E1786" s="13"/>
      <c r="F1786" s="13"/>
      <c r="G1786" s="165"/>
      <c r="H1786" s="13"/>
      <c r="I1786" s="13"/>
      <c r="J1786" s="165"/>
      <c r="K1786" s="165"/>
      <c r="L1786" s="165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</row>
    <row r="1787" spans="1:74">
      <c r="A1787" s="13"/>
      <c r="B1787" s="239"/>
      <c r="C1787" s="23"/>
      <c r="D1787" s="13"/>
      <c r="E1787" s="13"/>
      <c r="F1787" s="13"/>
      <c r="G1787" s="165"/>
      <c r="H1787" s="13"/>
      <c r="I1787" s="13"/>
      <c r="J1787" s="165"/>
      <c r="K1787" s="165"/>
      <c r="L1787" s="165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</row>
    <row r="1788" spans="1:74">
      <c r="A1788" s="13"/>
      <c r="B1788" s="239"/>
      <c r="C1788" s="23"/>
      <c r="D1788" s="13"/>
      <c r="E1788" s="13"/>
      <c r="F1788" s="13"/>
      <c r="G1788" s="165"/>
      <c r="H1788" s="13"/>
      <c r="I1788" s="13"/>
      <c r="J1788" s="165"/>
      <c r="K1788" s="165"/>
      <c r="L1788" s="165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</row>
    <row r="1789" spans="1:74">
      <c r="A1789" s="13"/>
      <c r="B1789" s="239"/>
      <c r="C1789" s="23"/>
      <c r="D1789" s="13"/>
      <c r="E1789" s="13"/>
      <c r="F1789" s="13"/>
      <c r="G1789" s="165"/>
      <c r="H1789" s="13"/>
      <c r="I1789" s="13"/>
      <c r="J1789" s="165"/>
      <c r="K1789" s="165"/>
      <c r="L1789" s="165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  <c r="AT1789" s="13"/>
      <c r="AU1789" s="13"/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3"/>
      <c r="BP1789" s="13"/>
      <c r="BQ1789" s="13"/>
      <c r="BR1789" s="13"/>
      <c r="BS1789" s="13"/>
      <c r="BT1789" s="13"/>
      <c r="BU1789" s="13"/>
      <c r="BV1789" s="13"/>
    </row>
    <row r="1790" spans="1:74">
      <c r="A1790" s="13"/>
      <c r="B1790" s="239"/>
      <c r="C1790" s="23"/>
      <c r="D1790" s="13"/>
      <c r="E1790" s="13"/>
      <c r="F1790" s="13"/>
      <c r="G1790" s="165"/>
      <c r="H1790" s="13"/>
      <c r="I1790" s="13"/>
      <c r="J1790" s="165"/>
      <c r="K1790" s="165"/>
      <c r="L1790" s="165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  <c r="AT1790" s="13"/>
      <c r="AU1790" s="13"/>
      <c r="AV1790" s="13"/>
      <c r="AW1790" s="13"/>
      <c r="AX1790" s="13"/>
      <c r="AY1790" s="13"/>
      <c r="AZ1790" s="13"/>
      <c r="BA1790" s="13"/>
      <c r="BB1790" s="13"/>
      <c r="BC1790" s="13"/>
      <c r="BD1790" s="13"/>
      <c r="BE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O1790" s="13"/>
      <c r="BP1790" s="13"/>
      <c r="BQ1790" s="13"/>
      <c r="BR1790" s="13"/>
      <c r="BS1790" s="13"/>
      <c r="BT1790" s="13"/>
      <c r="BU1790" s="13"/>
      <c r="BV1790" s="13"/>
    </row>
    <row r="1791" spans="1:74">
      <c r="A1791" s="13"/>
      <c r="B1791" s="239"/>
      <c r="C1791" s="23"/>
      <c r="D1791" s="13"/>
      <c r="E1791" s="13"/>
      <c r="F1791" s="13"/>
      <c r="G1791" s="165"/>
      <c r="H1791" s="13"/>
      <c r="I1791" s="13"/>
      <c r="J1791" s="165"/>
      <c r="K1791" s="165"/>
      <c r="L1791" s="165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  <c r="AT1791" s="13"/>
      <c r="AU1791" s="13"/>
      <c r="AV1791" s="13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O1791" s="13"/>
      <c r="BP1791" s="13"/>
      <c r="BQ1791" s="13"/>
      <c r="BR1791" s="13"/>
      <c r="BS1791" s="13"/>
      <c r="BT1791" s="13"/>
      <c r="BU1791" s="13"/>
      <c r="BV1791" s="13"/>
    </row>
    <row r="1792" spans="1:74">
      <c r="A1792" s="13"/>
      <c r="B1792" s="239"/>
      <c r="C1792" s="23"/>
      <c r="D1792" s="13"/>
      <c r="E1792" s="13"/>
      <c r="F1792" s="13"/>
      <c r="G1792" s="165"/>
      <c r="H1792" s="13"/>
      <c r="I1792" s="13"/>
      <c r="J1792" s="165"/>
      <c r="K1792" s="165"/>
      <c r="L1792" s="165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/>
      <c r="AZ1792" s="13"/>
      <c r="BA1792" s="13"/>
      <c r="BB1792" s="13"/>
      <c r="BC1792" s="13"/>
      <c r="BD1792" s="13"/>
      <c r="BE1792" s="13"/>
      <c r="BF1792" s="13"/>
      <c r="BG1792" s="13"/>
      <c r="BH1792" s="13"/>
      <c r="BI1792" s="13"/>
      <c r="BJ1792" s="13"/>
      <c r="BK1792" s="13"/>
      <c r="BL1792" s="13"/>
      <c r="BM1792" s="13"/>
      <c r="BN1792" s="13"/>
      <c r="BO1792" s="13"/>
      <c r="BP1792" s="13"/>
      <c r="BQ1792" s="13"/>
      <c r="BR1792" s="13"/>
      <c r="BS1792" s="13"/>
      <c r="BT1792" s="13"/>
      <c r="BU1792" s="13"/>
      <c r="BV1792" s="13"/>
    </row>
    <row r="1793" spans="1:74">
      <c r="A1793" s="13"/>
      <c r="B1793" s="239"/>
      <c r="C1793" s="23"/>
      <c r="D1793" s="13"/>
      <c r="E1793" s="13"/>
      <c r="F1793" s="13"/>
      <c r="G1793" s="165"/>
      <c r="H1793" s="13"/>
      <c r="I1793" s="13"/>
      <c r="J1793" s="165"/>
      <c r="K1793" s="165"/>
      <c r="L1793" s="165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  <c r="AO1793" s="13"/>
      <c r="AP1793" s="13"/>
      <c r="AQ1793" s="13"/>
      <c r="AR1793" s="13"/>
      <c r="AS1793" s="13"/>
      <c r="AT1793" s="13"/>
      <c r="AU1793" s="13"/>
      <c r="AV1793" s="13"/>
      <c r="AW1793" s="13"/>
      <c r="AX1793" s="13"/>
      <c r="AY1793" s="13"/>
      <c r="AZ1793" s="13"/>
      <c r="BA1793" s="13"/>
      <c r="BB1793" s="13"/>
      <c r="BC1793" s="13"/>
      <c r="BD1793" s="13"/>
      <c r="BE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O1793" s="13"/>
      <c r="BP1793" s="13"/>
      <c r="BQ1793" s="13"/>
      <c r="BR1793" s="13"/>
      <c r="BS1793" s="13"/>
      <c r="BT1793" s="13"/>
      <c r="BU1793" s="13"/>
      <c r="BV1793" s="13"/>
    </row>
    <row r="1794" spans="1:74">
      <c r="A1794" s="13"/>
      <c r="B1794" s="239"/>
      <c r="C1794" s="23"/>
      <c r="D1794" s="13"/>
      <c r="E1794" s="13"/>
      <c r="F1794" s="13"/>
      <c r="G1794" s="165"/>
      <c r="H1794" s="13"/>
      <c r="I1794" s="13"/>
      <c r="J1794" s="165"/>
      <c r="K1794" s="165"/>
      <c r="L1794" s="165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</row>
    <row r="1795" spans="1:74">
      <c r="A1795" s="13"/>
      <c r="B1795" s="239"/>
      <c r="C1795" s="23"/>
      <c r="D1795" s="13"/>
      <c r="E1795" s="13"/>
      <c r="F1795" s="13"/>
      <c r="G1795" s="165"/>
      <c r="H1795" s="13"/>
      <c r="I1795" s="13"/>
      <c r="J1795" s="165"/>
      <c r="K1795" s="165"/>
      <c r="L1795" s="165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  <c r="AO1795" s="13"/>
      <c r="AP1795" s="13"/>
      <c r="AQ1795" s="13"/>
      <c r="AR1795" s="13"/>
      <c r="AS1795" s="13"/>
      <c r="AT1795" s="13"/>
      <c r="AU1795" s="13"/>
      <c r="AV1795" s="13"/>
      <c r="AW1795" s="13"/>
      <c r="AX1795" s="13"/>
      <c r="AY1795" s="13"/>
      <c r="AZ1795" s="13"/>
      <c r="BA1795" s="13"/>
      <c r="BB1795" s="13"/>
      <c r="BC1795" s="13"/>
      <c r="BD1795" s="13"/>
      <c r="BE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O1795" s="13"/>
      <c r="BP1795" s="13"/>
      <c r="BQ1795" s="13"/>
      <c r="BR1795" s="13"/>
      <c r="BS1795" s="13"/>
      <c r="BT1795" s="13"/>
      <c r="BU1795" s="13"/>
      <c r="BV1795" s="13"/>
    </row>
    <row r="1796" spans="1:74">
      <c r="A1796" s="13"/>
      <c r="B1796" s="239"/>
      <c r="C1796" s="23"/>
      <c r="D1796" s="13"/>
      <c r="E1796" s="13"/>
      <c r="F1796" s="13"/>
      <c r="G1796" s="165"/>
      <c r="H1796" s="13"/>
      <c r="I1796" s="13"/>
      <c r="J1796" s="165"/>
      <c r="K1796" s="165"/>
      <c r="L1796" s="165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</row>
    <row r="1797" spans="1:74">
      <c r="A1797" s="13"/>
      <c r="B1797" s="239"/>
      <c r="C1797" s="23"/>
      <c r="D1797" s="13"/>
      <c r="E1797" s="13"/>
      <c r="F1797" s="13"/>
      <c r="G1797" s="165"/>
      <c r="H1797" s="13"/>
      <c r="I1797" s="13"/>
      <c r="J1797" s="165"/>
      <c r="K1797" s="165"/>
      <c r="L1797" s="165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</row>
    <row r="1798" spans="1:74">
      <c r="A1798" s="13"/>
      <c r="B1798" s="239"/>
      <c r="C1798" s="23"/>
      <c r="D1798" s="13"/>
      <c r="E1798" s="13"/>
      <c r="F1798" s="13"/>
      <c r="G1798" s="165"/>
      <c r="H1798" s="13"/>
      <c r="I1798" s="13"/>
      <c r="J1798" s="165"/>
      <c r="K1798" s="165"/>
      <c r="L1798" s="165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</row>
    <row r="1799" spans="1:74">
      <c r="A1799" s="13"/>
      <c r="B1799" s="239"/>
      <c r="C1799" s="23"/>
      <c r="D1799" s="13"/>
      <c r="E1799" s="13"/>
      <c r="F1799" s="13"/>
      <c r="G1799" s="165"/>
      <c r="H1799" s="13"/>
      <c r="I1799" s="13"/>
      <c r="J1799" s="165"/>
      <c r="K1799" s="165"/>
      <c r="L1799" s="165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3"/>
      <c r="AY1799" s="13"/>
      <c r="AZ1799" s="13"/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3"/>
      <c r="BP1799" s="13"/>
      <c r="BQ1799" s="13"/>
      <c r="BR1799" s="13"/>
      <c r="BS1799" s="13"/>
      <c r="BT1799" s="13"/>
      <c r="BU1799" s="13"/>
      <c r="BV1799" s="13"/>
    </row>
    <row r="1800" spans="1:74">
      <c r="A1800" s="13"/>
      <c r="B1800" s="239"/>
      <c r="C1800" s="23"/>
      <c r="D1800" s="13"/>
      <c r="E1800" s="13"/>
      <c r="F1800" s="13"/>
      <c r="G1800" s="165"/>
      <c r="H1800" s="13"/>
      <c r="I1800" s="13"/>
      <c r="J1800" s="165"/>
      <c r="K1800" s="165"/>
      <c r="L1800" s="165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O1800" s="13"/>
      <c r="BP1800" s="13"/>
      <c r="BQ1800" s="13"/>
      <c r="BR1800" s="13"/>
      <c r="BS1800" s="13"/>
      <c r="BT1800" s="13"/>
      <c r="BU1800" s="13"/>
      <c r="BV1800" s="13"/>
    </row>
    <row r="1801" spans="1:74">
      <c r="A1801" s="13"/>
      <c r="B1801" s="239"/>
      <c r="C1801" s="23"/>
      <c r="D1801" s="13"/>
      <c r="E1801" s="13"/>
      <c r="F1801" s="13"/>
      <c r="G1801" s="165"/>
      <c r="H1801" s="13"/>
      <c r="I1801" s="13"/>
      <c r="J1801" s="165"/>
      <c r="K1801" s="165"/>
      <c r="L1801" s="165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</row>
    <row r="1802" spans="1:74">
      <c r="A1802" s="13"/>
      <c r="B1802" s="239"/>
      <c r="C1802" s="23"/>
      <c r="D1802" s="13"/>
      <c r="E1802" s="13"/>
      <c r="F1802" s="13"/>
      <c r="G1802" s="165"/>
      <c r="H1802" s="13"/>
      <c r="I1802" s="13"/>
      <c r="J1802" s="165"/>
      <c r="K1802" s="165"/>
      <c r="L1802" s="165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</row>
    <row r="1803" spans="1:74">
      <c r="A1803" s="13"/>
      <c r="B1803" s="239"/>
      <c r="C1803" s="23"/>
      <c r="D1803" s="13"/>
      <c r="E1803" s="13"/>
      <c r="F1803" s="13"/>
      <c r="G1803" s="165"/>
      <c r="H1803" s="13"/>
      <c r="I1803" s="13"/>
      <c r="J1803" s="165"/>
      <c r="K1803" s="165"/>
      <c r="L1803" s="165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</row>
    <row r="1804" spans="1:74">
      <c r="A1804" s="13"/>
      <c r="B1804" s="239"/>
      <c r="C1804" s="23"/>
      <c r="D1804" s="13"/>
      <c r="E1804" s="13"/>
      <c r="F1804" s="13"/>
      <c r="G1804" s="165"/>
      <c r="H1804" s="13"/>
      <c r="I1804" s="13"/>
      <c r="J1804" s="165"/>
      <c r="K1804" s="165"/>
      <c r="L1804" s="165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</row>
    <row r="1805" spans="1:74">
      <c r="A1805" s="13"/>
      <c r="B1805" s="239"/>
      <c r="C1805" s="23"/>
      <c r="D1805" s="13"/>
      <c r="E1805" s="13"/>
      <c r="F1805" s="13"/>
      <c r="G1805" s="165"/>
      <c r="H1805" s="13"/>
      <c r="I1805" s="13"/>
      <c r="J1805" s="165"/>
      <c r="K1805" s="165"/>
      <c r="L1805" s="165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</row>
    <row r="1806" spans="1:74">
      <c r="A1806" s="13"/>
      <c r="B1806" s="239"/>
      <c r="C1806" s="23"/>
      <c r="D1806" s="13"/>
      <c r="E1806" s="13"/>
      <c r="F1806" s="13"/>
      <c r="G1806" s="165"/>
      <c r="H1806" s="13"/>
      <c r="I1806" s="13"/>
      <c r="J1806" s="165"/>
      <c r="K1806" s="165"/>
      <c r="L1806" s="165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</row>
    <row r="1807" spans="1:74">
      <c r="A1807" s="13"/>
      <c r="B1807" s="239"/>
      <c r="C1807" s="23"/>
      <c r="D1807" s="13"/>
      <c r="E1807" s="13"/>
      <c r="F1807" s="13"/>
      <c r="G1807" s="165"/>
      <c r="H1807" s="13"/>
      <c r="I1807" s="13"/>
      <c r="J1807" s="165"/>
      <c r="K1807" s="165"/>
      <c r="L1807" s="165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</row>
    <row r="1808" spans="1:74">
      <c r="A1808" s="13"/>
      <c r="B1808" s="239"/>
      <c r="C1808" s="23"/>
      <c r="D1808" s="13"/>
      <c r="E1808" s="13"/>
      <c r="F1808" s="13"/>
      <c r="G1808" s="165"/>
      <c r="H1808" s="13"/>
      <c r="I1808" s="13"/>
      <c r="J1808" s="165"/>
      <c r="K1808" s="165"/>
      <c r="L1808" s="165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</row>
    <row r="1809" spans="1:74">
      <c r="A1809" s="13"/>
      <c r="B1809" s="239"/>
      <c r="C1809" s="23"/>
      <c r="D1809" s="13"/>
      <c r="E1809" s="13"/>
      <c r="F1809" s="13"/>
      <c r="G1809" s="165"/>
      <c r="H1809" s="13"/>
      <c r="I1809" s="13"/>
      <c r="J1809" s="165"/>
      <c r="K1809" s="165"/>
      <c r="L1809" s="165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</row>
    <row r="1810" spans="1:74">
      <c r="A1810" s="13"/>
      <c r="B1810" s="239"/>
      <c r="C1810" s="23"/>
      <c r="D1810" s="13"/>
      <c r="E1810" s="13"/>
      <c r="F1810" s="13"/>
      <c r="G1810" s="165"/>
      <c r="H1810" s="13"/>
      <c r="I1810" s="13"/>
      <c r="J1810" s="165"/>
      <c r="K1810" s="165"/>
      <c r="L1810" s="165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</row>
    <row r="1811" spans="1:74">
      <c r="A1811" s="13"/>
      <c r="B1811" s="239"/>
      <c r="C1811" s="23"/>
      <c r="D1811" s="13"/>
      <c r="E1811" s="13"/>
      <c r="F1811" s="13"/>
      <c r="G1811" s="165"/>
      <c r="H1811" s="13"/>
      <c r="I1811" s="13"/>
      <c r="J1811" s="165"/>
      <c r="K1811" s="165"/>
      <c r="L1811" s="165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</row>
    <row r="1812" spans="1:74">
      <c r="A1812" s="13"/>
      <c r="B1812" s="239"/>
      <c r="C1812" s="23"/>
      <c r="D1812" s="13"/>
      <c r="E1812" s="13"/>
      <c r="F1812" s="13"/>
      <c r="G1812" s="165"/>
      <c r="H1812" s="13"/>
      <c r="I1812" s="13"/>
      <c r="J1812" s="165"/>
      <c r="K1812" s="165"/>
      <c r="L1812" s="165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/>
      <c r="BL1812" s="13"/>
      <c r="BM1812" s="13"/>
      <c r="BN1812" s="13"/>
      <c r="BO1812" s="13"/>
      <c r="BP1812" s="13"/>
      <c r="BQ1812" s="13"/>
      <c r="BR1812" s="13"/>
      <c r="BS1812" s="13"/>
      <c r="BT1812" s="13"/>
      <c r="BU1812" s="13"/>
      <c r="BV1812" s="13"/>
    </row>
    <row r="1813" spans="1:74">
      <c r="A1813" s="13"/>
      <c r="B1813" s="239"/>
      <c r="C1813" s="23"/>
      <c r="D1813" s="13"/>
      <c r="E1813" s="13"/>
      <c r="F1813" s="13"/>
      <c r="G1813" s="165"/>
      <c r="H1813" s="13"/>
      <c r="I1813" s="13"/>
      <c r="J1813" s="165"/>
      <c r="K1813" s="165"/>
      <c r="L1813" s="165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</row>
    <row r="1814" spans="1:74">
      <c r="A1814" s="13"/>
      <c r="B1814" s="239"/>
      <c r="C1814" s="23"/>
      <c r="D1814" s="13"/>
      <c r="E1814" s="13"/>
      <c r="F1814" s="13"/>
      <c r="G1814" s="165"/>
      <c r="H1814" s="13"/>
      <c r="I1814" s="13"/>
      <c r="J1814" s="165"/>
      <c r="K1814" s="165"/>
      <c r="L1814" s="165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  <c r="AO1814" s="13"/>
      <c r="AP1814" s="13"/>
      <c r="AQ1814" s="13"/>
      <c r="AR1814" s="13"/>
      <c r="AS1814" s="13"/>
      <c r="AT1814" s="13"/>
      <c r="AU1814" s="13"/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/>
      <c r="BF1814" s="13"/>
      <c r="BG1814" s="13"/>
      <c r="BH1814" s="13"/>
      <c r="BI1814" s="13"/>
      <c r="BJ1814" s="13"/>
      <c r="BK1814" s="13"/>
      <c r="BL1814" s="13"/>
      <c r="BM1814" s="13"/>
      <c r="BN1814" s="13"/>
      <c r="BO1814" s="13"/>
      <c r="BP1814" s="13"/>
      <c r="BQ1814" s="13"/>
      <c r="BR1814" s="13"/>
      <c r="BS1814" s="13"/>
      <c r="BT1814" s="13"/>
      <c r="BU1814" s="13"/>
      <c r="BV1814" s="13"/>
    </row>
    <row r="1815" spans="1:74">
      <c r="A1815" s="13"/>
      <c r="B1815" s="239"/>
      <c r="C1815" s="23"/>
      <c r="D1815" s="13"/>
      <c r="E1815" s="13"/>
      <c r="F1815" s="13"/>
      <c r="G1815" s="165"/>
      <c r="H1815" s="13"/>
      <c r="I1815" s="13"/>
      <c r="J1815" s="165"/>
      <c r="K1815" s="165"/>
      <c r="L1815" s="165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  <c r="AO1815" s="13"/>
      <c r="AP1815" s="13"/>
      <c r="AQ1815" s="13"/>
      <c r="AR1815" s="13"/>
      <c r="AS1815" s="13"/>
      <c r="AT1815" s="13"/>
      <c r="AU1815" s="13"/>
      <c r="AV1815" s="13"/>
      <c r="AW1815" s="13"/>
      <c r="AX1815" s="13"/>
      <c r="AY1815" s="13"/>
      <c r="AZ1815" s="13"/>
      <c r="BA1815" s="13"/>
      <c r="BB1815" s="13"/>
      <c r="BC1815" s="13"/>
      <c r="BD1815" s="13"/>
      <c r="BE1815" s="13"/>
      <c r="BF1815" s="13"/>
      <c r="BG1815" s="13"/>
      <c r="BH1815" s="13"/>
      <c r="BI1815" s="13"/>
      <c r="BJ1815" s="13"/>
      <c r="BK1815" s="13"/>
      <c r="BL1815" s="13"/>
      <c r="BM1815" s="13"/>
      <c r="BN1815" s="13"/>
      <c r="BO1815" s="13"/>
      <c r="BP1815" s="13"/>
      <c r="BQ1815" s="13"/>
      <c r="BR1815" s="13"/>
      <c r="BS1815" s="13"/>
      <c r="BT1815" s="13"/>
      <c r="BU1815" s="13"/>
      <c r="BV1815" s="13"/>
    </row>
    <row r="1816" spans="1:74">
      <c r="A1816" s="13"/>
      <c r="B1816" s="239"/>
      <c r="C1816" s="23"/>
      <c r="D1816" s="13"/>
      <c r="E1816" s="13"/>
      <c r="F1816" s="13"/>
      <c r="G1816" s="165"/>
      <c r="H1816" s="13"/>
      <c r="I1816" s="13"/>
      <c r="J1816" s="165"/>
      <c r="K1816" s="165"/>
      <c r="L1816" s="165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  <c r="AT1816" s="13"/>
      <c r="AU1816" s="13"/>
      <c r="AV1816" s="13"/>
      <c r="AW1816" s="13"/>
      <c r="AX1816" s="13"/>
      <c r="AY1816" s="13"/>
      <c r="AZ1816" s="13"/>
      <c r="BA1816" s="13"/>
      <c r="BB1816" s="13"/>
      <c r="BC1816" s="13"/>
      <c r="BD1816" s="13"/>
      <c r="BE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O1816" s="13"/>
      <c r="BP1816" s="13"/>
      <c r="BQ1816" s="13"/>
      <c r="BR1816" s="13"/>
      <c r="BS1816" s="13"/>
      <c r="BT1816" s="13"/>
      <c r="BU1816" s="13"/>
      <c r="BV1816" s="13"/>
    </row>
    <row r="1817" spans="1:74">
      <c r="A1817" s="13"/>
      <c r="B1817" s="239"/>
      <c r="C1817" s="23"/>
      <c r="D1817" s="13"/>
      <c r="E1817" s="13"/>
      <c r="F1817" s="13"/>
      <c r="G1817" s="165"/>
      <c r="H1817" s="13"/>
      <c r="I1817" s="13"/>
      <c r="J1817" s="165"/>
      <c r="K1817" s="165"/>
      <c r="L1817" s="165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</row>
    <row r="1818" spans="1:74">
      <c r="A1818" s="13"/>
      <c r="B1818" s="239"/>
      <c r="C1818" s="23"/>
      <c r="D1818" s="13"/>
      <c r="E1818" s="13"/>
      <c r="F1818" s="13"/>
      <c r="G1818" s="165"/>
      <c r="H1818" s="13"/>
      <c r="I1818" s="13"/>
      <c r="J1818" s="165"/>
      <c r="K1818" s="165"/>
      <c r="L1818" s="165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/>
      <c r="AX1818" s="13"/>
      <c r="AY1818" s="13"/>
      <c r="AZ1818" s="13"/>
      <c r="BA1818" s="13"/>
      <c r="BB1818" s="13"/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</row>
    <row r="1819" spans="1:74">
      <c r="A1819" s="13"/>
      <c r="B1819" s="239"/>
      <c r="C1819" s="23"/>
      <c r="D1819" s="13"/>
      <c r="E1819" s="13"/>
      <c r="F1819" s="13"/>
      <c r="G1819" s="165"/>
      <c r="H1819" s="13"/>
      <c r="I1819" s="13"/>
      <c r="J1819" s="165"/>
      <c r="K1819" s="165"/>
      <c r="L1819" s="165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  <c r="AO1819" s="13"/>
      <c r="AP1819" s="13"/>
      <c r="AQ1819" s="13"/>
      <c r="AR1819" s="13"/>
      <c r="AS1819" s="13"/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/>
      <c r="BF1819" s="13"/>
      <c r="BG1819" s="13"/>
      <c r="BH1819" s="13"/>
      <c r="BI1819" s="13"/>
      <c r="BJ1819" s="13"/>
      <c r="BK1819" s="13"/>
      <c r="BL1819" s="13"/>
      <c r="BM1819" s="13"/>
      <c r="BN1819" s="13"/>
      <c r="BO1819" s="13"/>
      <c r="BP1819" s="13"/>
      <c r="BQ1819" s="13"/>
      <c r="BR1819" s="13"/>
      <c r="BS1819" s="13"/>
      <c r="BT1819" s="13"/>
      <c r="BU1819" s="13"/>
      <c r="BV1819" s="13"/>
    </row>
    <row r="1820" spans="1:74">
      <c r="A1820" s="13"/>
      <c r="B1820" s="239"/>
      <c r="C1820" s="23"/>
      <c r="D1820" s="13"/>
      <c r="E1820" s="13"/>
      <c r="F1820" s="13"/>
      <c r="G1820" s="165"/>
      <c r="H1820" s="13"/>
      <c r="I1820" s="13"/>
      <c r="J1820" s="165"/>
      <c r="K1820" s="165"/>
      <c r="L1820" s="165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  <c r="AT1820" s="13"/>
      <c r="AU1820" s="13"/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O1820" s="13"/>
      <c r="BP1820" s="13"/>
      <c r="BQ1820" s="13"/>
      <c r="BR1820" s="13"/>
      <c r="BS1820" s="13"/>
      <c r="BT1820" s="13"/>
      <c r="BU1820" s="13"/>
      <c r="BV1820" s="13"/>
    </row>
    <row r="1821" spans="1:74">
      <c r="A1821" s="13"/>
      <c r="B1821" s="239"/>
      <c r="C1821" s="23"/>
      <c r="D1821" s="13"/>
      <c r="E1821" s="13"/>
      <c r="F1821" s="13"/>
      <c r="G1821" s="165"/>
      <c r="H1821" s="13"/>
      <c r="I1821" s="13"/>
      <c r="J1821" s="165"/>
      <c r="K1821" s="165"/>
      <c r="L1821" s="165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  <c r="AT1821" s="13"/>
      <c r="AU1821" s="13"/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</row>
    <row r="1822" spans="1:74">
      <c r="A1822" s="13"/>
      <c r="B1822" s="239"/>
      <c r="C1822" s="23"/>
      <c r="D1822" s="13"/>
      <c r="E1822" s="13"/>
      <c r="F1822" s="13"/>
      <c r="G1822" s="165"/>
      <c r="H1822" s="13"/>
      <c r="I1822" s="13"/>
      <c r="J1822" s="165"/>
      <c r="K1822" s="165"/>
      <c r="L1822" s="165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</row>
    <row r="1823" spans="1:74">
      <c r="A1823" s="13"/>
      <c r="B1823" s="239"/>
      <c r="C1823" s="23"/>
      <c r="D1823" s="13"/>
      <c r="E1823" s="13"/>
      <c r="F1823" s="13"/>
      <c r="G1823" s="165"/>
      <c r="H1823" s="13"/>
      <c r="I1823" s="13"/>
      <c r="J1823" s="165"/>
      <c r="K1823" s="165"/>
      <c r="L1823" s="165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  <c r="AT1823" s="13"/>
      <c r="AU1823" s="13"/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O1823" s="13"/>
      <c r="BP1823" s="13"/>
      <c r="BQ1823" s="13"/>
      <c r="BR1823" s="13"/>
      <c r="BS1823" s="13"/>
      <c r="BT1823" s="13"/>
      <c r="BU1823" s="13"/>
      <c r="BV1823" s="13"/>
    </row>
    <row r="1824" spans="1:74">
      <c r="A1824" s="13"/>
      <c r="B1824" s="239"/>
      <c r="C1824" s="23"/>
      <c r="D1824" s="13"/>
      <c r="E1824" s="13"/>
      <c r="F1824" s="13"/>
      <c r="G1824" s="165"/>
      <c r="H1824" s="13"/>
      <c r="I1824" s="13"/>
      <c r="J1824" s="165"/>
      <c r="K1824" s="165"/>
      <c r="L1824" s="165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  <c r="AT1824" s="13"/>
      <c r="AU1824" s="13"/>
      <c r="AV1824" s="13"/>
      <c r="AW1824" s="13"/>
      <c r="AX1824" s="13"/>
      <c r="AY1824" s="13"/>
      <c r="AZ1824" s="13"/>
      <c r="BA1824" s="13"/>
      <c r="BB1824" s="13"/>
      <c r="BC1824" s="13"/>
      <c r="BD1824" s="13"/>
      <c r="BE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O1824" s="13"/>
      <c r="BP1824" s="13"/>
      <c r="BQ1824" s="13"/>
      <c r="BR1824" s="13"/>
      <c r="BS1824" s="13"/>
      <c r="BT1824" s="13"/>
      <c r="BU1824" s="13"/>
      <c r="BV1824" s="13"/>
    </row>
    <row r="1825" spans="1:74">
      <c r="A1825" s="13"/>
      <c r="B1825" s="239"/>
      <c r="C1825" s="23"/>
      <c r="D1825" s="13"/>
      <c r="E1825" s="13"/>
      <c r="F1825" s="13"/>
      <c r="G1825" s="165"/>
      <c r="H1825" s="13"/>
      <c r="I1825" s="13"/>
      <c r="J1825" s="165"/>
      <c r="K1825" s="165"/>
      <c r="L1825" s="165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</row>
    <row r="1826" spans="1:74">
      <c r="A1826" s="13"/>
      <c r="B1826" s="239"/>
      <c r="C1826" s="23"/>
      <c r="D1826" s="13"/>
      <c r="E1826" s="13"/>
      <c r="F1826" s="13"/>
      <c r="G1826" s="165"/>
      <c r="H1826" s="13"/>
      <c r="I1826" s="13"/>
      <c r="J1826" s="165"/>
      <c r="K1826" s="165"/>
      <c r="L1826" s="165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</row>
    <row r="1827" spans="1:74">
      <c r="A1827" s="13"/>
      <c r="B1827" s="239"/>
      <c r="C1827" s="23"/>
      <c r="D1827" s="13"/>
      <c r="E1827" s="13"/>
      <c r="F1827" s="13"/>
      <c r="G1827" s="165"/>
      <c r="H1827" s="13"/>
      <c r="I1827" s="13"/>
      <c r="J1827" s="165"/>
      <c r="K1827" s="165"/>
      <c r="L1827" s="165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/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</row>
    <row r="1828" spans="1:74">
      <c r="A1828" s="13"/>
      <c r="B1828" s="239"/>
      <c r="C1828" s="23"/>
      <c r="D1828" s="13"/>
      <c r="E1828" s="13"/>
      <c r="F1828" s="13"/>
      <c r="G1828" s="165"/>
      <c r="H1828" s="13"/>
      <c r="I1828" s="13"/>
      <c r="J1828" s="165"/>
      <c r="K1828" s="165"/>
      <c r="L1828" s="165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</row>
    <row r="1829" spans="1:74">
      <c r="A1829" s="13"/>
      <c r="B1829" s="239"/>
      <c r="C1829" s="23"/>
      <c r="D1829" s="13"/>
      <c r="E1829" s="13"/>
      <c r="F1829" s="13"/>
      <c r="G1829" s="165"/>
      <c r="H1829" s="13"/>
      <c r="I1829" s="13"/>
      <c r="J1829" s="165"/>
      <c r="K1829" s="165"/>
      <c r="L1829" s="165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</row>
    <row r="1830" spans="1:74">
      <c r="A1830" s="13"/>
      <c r="B1830" s="239"/>
      <c r="C1830" s="23"/>
      <c r="D1830" s="13"/>
      <c r="E1830" s="13"/>
      <c r="F1830" s="13"/>
      <c r="G1830" s="165"/>
      <c r="H1830" s="13"/>
      <c r="I1830" s="13"/>
      <c r="J1830" s="165"/>
      <c r="K1830" s="165"/>
      <c r="L1830" s="165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/>
      <c r="BJ1830" s="13"/>
      <c r="BK1830" s="13"/>
      <c r="BL1830" s="13"/>
      <c r="BM1830" s="13"/>
      <c r="BN1830" s="13"/>
      <c r="BO1830" s="13"/>
      <c r="BP1830" s="13"/>
      <c r="BQ1830" s="13"/>
      <c r="BR1830" s="13"/>
      <c r="BS1830" s="13"/>
      <c r="BT1830" s="13"/>
      <c r="BU1830" s="13"/>
      <c r="BV1830" s="13"/>
    </row>
    <row r="1831" spans="1:74">
      <c r="A1831" s="13"/>
      <c r="B1831" s="239"/>
      <c r="C1831" s="23"/>
      <c r="D1831" s="13"/>
      <c r="E1831" s="13"/>
      <c r="F1831" s="13"/>
      <c r="G1831" s="165"/>
      <c r="H1831" s="13"/>
      <c r="I1831" s="13"/>
      <c r="J1831" s="165"/>
      <c r="K1831" s="165"/>
      <c r="L1831" s="165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/>
      <c r="BI1831" s="13"/>
      <c r="BJ1831" s="13"/>
      <c r="BK1831" s="13"/>
      <c r="BL1831" s="13"/>
      <c r="BM1831" s="13"/>
      <c r="BN1831" s="13"/>
      <c r="BO1831" s="13"/>
      <c r="BP1831" s="13"/>
      <c r="BQ1831" s="13"/>
      <c r="BR1831" s="13"/>
      <c r="BS1831" s="13"/>
      <c r="BT1831" s="13"/>
      <c r="BU1831" s="13"/>
      <c r="BV1831" s="13"/>
    </row>
    <row r="1832" spans="1:74">
      <c r="A1832" s="13"/>
      <c r="B1832" s="239"/>
      <c r="C1832" s="23"/>
      <c r="D1832" s="13"/>
      <c r="E1832" s="13"/>
      <c r="F1832" s="13"/>
      <c r="G1832" s="165"/>
      <c r="H1832" s="13"/>
      <c r="I1832" s="13"/>
      <c r="J1832" s="165"/>
      <c r="K1832" s="165"/>
      <c r="L1832" s="165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  <c r="AT1832" s="13"/>
      <c r="AU1832" s="13"/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O1832" s="13"/>
      <c r="BP1832" s="13"/>
      <c r="BQ1832" s="13"/>
      <c r="BR1832" s="13"/>
      <c r="BS1832" s="13"/>
      <c r="BT1832" s="13"/>
      <c r="BU1832" s="13"/>
      <c r="BV1832" s="13"/>
    </row>
    <row r="1833" spans="1:74">
      <c r="A1833" s="13"/>
      <c r="B1833" s="239"/>
      <c r="C1833" s="23"/>
      <c r="D1833" s="13"/>
      <c r="E1833" s="13"/>
      <c r="F1833" s="13"/>
      <c r="G1833" s="165"/>
      <c r="H1833" s="13"/>
      <c r="I1833" s="13"/>
      <c r="J1833" s="165"/>
      <c r="K1833" s="165"/>
      <c r="L1833" s="165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/>
      <c r="BC1833" s="13"/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</row>
    <row r="1834" spans="1:74">
      <c r="A1834" s="13"/>
      <c r="B1834" s="239"/>
      <c r="C1834" s="23"/>
      <c r="D1834" s="13"/>
      <c r="E1834" s="13"/>
      <c r="F1834" s="13"/>
      <c r="G1834" s="165"/>
      <c r="H1834" s="13"/>
      <c r="I1834" s="13"/>
      <c r="J1834" s="165"/>
      <c r="K1834" s="165"/>
      <c r="L1834" s="165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</row>
    <row r="1835" spans="1:74">
      <c r="A1835" s="13"/>
      <c r="B1835" s="239"/>
      <c r="C1835" s="23"/>
      <c r="D1835" s="13"/>
      <c r="E1835" s="13"/>
      <c r="F1835" s="13"/>
      <c r="G1835" s="165"/>
      <c r="H1835" s="13"/>
      <c r="I1835" s="13"/>
      <c r="J1835" s="165"/>
      <c r="K1835" s="165"/>
      <c r="L1835" s="165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3"/>
      <c r="AY1835" s="13"/>
      <c r="AZ1835" s="13"/>
      <c r="BA1835" s="13"/>
      <c r="BB1835" s="13"/>
      <c r="BC1835" s="13"/>
      <c r="BD1835" s="13"/>
      <c r="BE1835" s="13"/>
      <c r="BF1835" s="13"/>
      <c r="BG1835" s="13"/>
      <c r="BH1835" s="13"/>
      <c r="BI1835" s="13"/>
      <c r="BJ1835" s="13"/>
      <c r="BK1835" s="13"/>
      <c r="BL1835" s="13"/>
      <c r="BM1835" s="13"/>
      <c r="BN1835" s="13"/>
      <c r="BO1835" s="13"/>
      <c r="BP1835" s="13"/>
      <c r="BQ1835" s="13"/>
      <c r="BR1835" s="13"/>
      <c r="BS1835" s="13"/>
      <c r="BT1835" s="13"/>
      <c r="BU1835" s="13"/>
      <c r="BV1835" s="13"/>
    </row>
    <row r="1836" spans="1:74">
      <c r="A1836" s="13"/>
      <c r="B1836" s="239"/>
      <c r="C1836" s="23"/>
      <c r="D1836" s="13"/>
      <c r="E1836" s="13"/>
      <c r="F1836" s="13"/>
      <c r="G1836" s="165"/>
      <c r="H1836" s="13"/>
      <c r="I1836" s="13"/>
      <c r="J1836" s="165"/>
      <c r="K1836" s="165"/>
      <c r="L1836" s="165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/>
      <c r="AR1836" s="13"/>
      <c r="AS1836" s="13"/>
      <c r="AT1836" s="13"/>
      <c r="AU1836" s="13"/>
      <c r="AV1836" s="13"/>
      <c r="AW1836" s="13"/>
      <c r="AX1836" s="13"/>
      <c r="AY1836" s="13"/>
      <c r="AZ1836" s="13"/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</row>
    <row r="1837" spans="1:74">
      <c r="A1837" s="13"/>
      <c r="B1837" s="239"/>
      <c r="C1837" s="23"/>
      <c r="D1837" s="13"/>
      <c r="E1837" s="13"/>
      <c r="F1837" s="13"/>
      <c r="G1837" s="165"/>
      <c r="H1837" s="13"/>
      <c r="I1837" s="13"/>
      <c r="J1837" s="165"/>
      <c r="K1837" s="165"/>
      <c r="L1837" s="165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</row>
    <row r="1838" spans="1:74">
      <c r="A1838" s="13"/>
      <c r="B1838" s="239"/>
      <c r="C1838" s="23"/>
      <c r="D1838" s="13"/>
      <c r="E1838" s="13"/>
      <c r="F1838" s="13"/>
      <c r="G1838" s="165"/>
      <c r="H1838" s="13"/>
      <c r="I1838" s="13"/>
      <c r="J1838" s="165"/>
      <c r="K1838" s="165"/>
      <c r="L1838" s="165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  <c r="AT1838" s="13"/>
      <c r="AU1838" s="13"/>
      <c r="AV1838" s="13"/>
      <c r="AW1838" s="13"/>
      <c r="AX1838" s="13"/>
      <c r="AY1838" s="13"/>
      <c r="AZ1838" s="13"/>
      <c r="BA1838" s="13"/>
      <c r="BB1838" s="13"/>
      <c r="BC1838" s="13"/>
      <c r="BD1838" s="13"/>
      <c r="BE1838" s="13"/>
      <c r="BF1838" s="13"/>
      <c r="BG1838" s="13"/>
      <c r="BH1838" s="13"/>
      <c r="BI1838" s="13"/>
      <c r="BJ1838" s="13"/>
      <c r="BK1838" s="13"/>
      <c r="BL1838" s="13"/>
      <c r="BM1838" s="13"/>
      <c r="BN1838" s="13"/>
      <c r="BO1838" s="13"/>
      <c r="BP1838" s="13"/>
      <c r="BQ1838" s="13"/>
      <c r="BR1838" s="13"/>
      <c r="BS1838" s="13"/>
      <c r="BT1838" s="13"/>
      <c r="BU1838" s="13"/>
      <c r="BV1838" s="13"/>
    </row>
    <row r="1839" spans="1:74">
      <c r="A1839" s="13"/>
      <c r="B1839" s="239"/>
      <c r="C1839" s="23"/>
      <c r="D1839" s="13"/>
      <c r="E1839" s="13"/>
      <c r="F1839" s="13"/>
      <c r="G1839" s="165"/>
      <c r="H1839" s="13"/>
      <c r="I1839" s="13"/>
      <c r="J1839" s="165"/>
      <c r="K1839" s="165"/>
      <c r="L1839" s="165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</row>
    <row r="1840" spans="1:74">
      <c r="A1840" s="13"/>
      <c r="B1840" s="239"/>
      <c r="C1840" s="23"/>
      <c r="D1840" s="13"/>
      <c r="E1840" s="13"/>
      <c r="F1840" s="13"/>
      <c r="G1840" s="165"/>
      <c r="H1840" s="13"/>
      <c r="I1840" s="13"/>
      <c r="J1840" s="165"/>
      <c r="K1840" s="165"/>
      <c r="L1840" s="165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/>
      <c r="BP1840" s="13"/>
      <c r="BQ1840" s="13"/>
      <c r="BR1840" s="13"/>
      <c r="BS1840" s="13"/>
      <c r="BT1840" s="13"/>
      <c r="BU1840" s="13"/>
      <c r="BV1840" s="13"/>
    </row>
    <row r="1841" spans="1:74">
      <c r="A1841" s="13"/>
      <c r="B1841" s="239"/>
      <c r="C1841" s="23"/>
      <c r="D1841" s="13"/>
      <c r="E1841" s="13"/>
      <c r="F1841" s="13"/>
      <c r="G1841" s="165"/>
      <c r="H1841" s="13"/>
      <c r="I1841" s="13"/>
      <c r="J1841" s="165"/>
      <c r="K1841" s="165"/>
      <c r="L1841" s="165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</row>
    <row r="1842" spans="1:74">
      <c r="A1842" s="13"/>
      <c r="B1842" s="239"/>
      <c r="C1842" s="23"/>
      <c r="D1842" s="13"/>
      <c r="E1842" s="13"/>
      <c r="F1842" s="13"/>
      <c r="G1842" s="165"/>
      <c r="H1842" s="13"/>
      <c r="I1842" s="13"/>
      <c r="J1842" s="165"/>
      <c r="K1842" s="165"/>
      <c r="L1842" s="165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/>
      <c r="AY1842" s="13"/>
      <c r="AZ1842" s="13"/>
      <c r="BA1842" s="13"/>
      <c r="BB1842" s="13"/>
      <c r="BC1842" s="13"/>
      <c r="BD1842" s="13"/>
      <c r="BE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</row>
    <row r="1843" spans="1:74">
      <c r="A1843" s="13"/>
      <c r="B1843" s="239"/>
      <c r="C1843" s="23"/>
      <c r="D1843" s="13"/>
      <c r="E1843" s="13"/>
      <c r="F1843" s="13"/>
      <c r="G1843" s="165"/>
      <c r="H1843" s="13"/>
      <c r="I1843" s="13"/>
      <c r="J1843" s="165"/>
      <c r="K1843" s="165"/>
      <c r="L1843" s="165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3"/>
      <c r="AY1843" s="13"/>
      <c r="AZ1843" s="13"/>
      <c r="BA1843" s="13"/>
      <c r="BB1843" s="13"/>
      <c r="BC1843" s="13"/>
      <c r="BD1843" s="13"/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3"/>
      <c r="BP1843" s="13"/>
      <c r="BQ1843" s="13"/>
      <c r="BR1843" s="13"/>
      <c r="BS1843" s="13"/>
      <c r="BT1843" s="13"/>
      <c r="BU1843" s="13"/>
      <c r="BV1843" s="13"/>
    </row>
    <row r="1844" spans="1:74">
      <c r="A1844" s="13"/>
      <c r="B1844" s="239"/>
      <c r="C1844" s="23"/>
      <c r="D1844" s="13"/>
      <c r="E1844" s="13"/>
      <c r="F1844" s="13"/>
      <c r="G1844" s="165"/>
      <c r="H1844" s="13"/>
      <c r="I1844" s="13"/>
      <c r="J1844" s="165"/>
      <c r="K1844" s="165"/>
      <c r="L1844" s="165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  <c r="AT1844" s="13"/>
      <c r="AU1844" s="13"/>
      <c r="AV1844" s="13"/>
      <c r="AW1844" s="13"/>
      <c r="AX1844" s="13"/>
      <c r="AY1844" s="13"/>
      <c r="AZ1844" s="13"/>
      <c r="BA1844" s="13"/>
      <c r="BB1844" s="13"/>
      <c r="BC1844" s="13"/>
      <c r="BD1844" s="13"/>
      <c r="BE1844" s="13"/>
      <c r="BF1844" s="13"/>
      <c r="BG1844" s="13"/>
      <c r="BH1844" s="13"/>
      <c r="BI1844" s="13"/>
      <c r="BJ1844" s="13"/>
      <c r="BK1844" s="13"/>
      <c r="BL1844" s="13"/>
      <c r="BM1844" s="13"/>
      <c r="BN1844" s="13"/>
      <c r="BO1844" s="13"/>
      <c r="BP1844" s="13"/>
      <c r="BQ1844" s="13"/>
      <c r="BR1844" s="13"/>
      <c r="BS1844" s="13"/>
      <c r="BT1844" s="13"/>
      <c r="BU1844" s="13"/>
      <c r="BV1844" s="13"/>
    </row>
    <row r="1845" spans="1:74">
      <c r="A1845" s="13"/>
      <c r="B1845" s="239"/>
      <c r="C1845" s="23"/>
      <c r="D1845" s="13"/>
      <c r="E1845" s="13"/>
      <c r="F1845" s="13"/>
      <c r="G1845" s="165"/>
      <c r="H1845" s="13"/>
      <c r="I1845" s="13"/>
      <c r="J1845" s="165"/>
      <c r="K1845" s="165"/>
      <c r="L1845" s="165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</row>
    <row r="1846" spans="1:74">
      <c r="A1846" s="13"/>
      <c r="B1846" s="239"/>
      <c r="C1846" s="23"/>
      <c r="D1846" s="13"/>
      <c r="E1846" s="13"/>
      <c r="F1846" s="13"/>
      <c r="G1846" s="165"/>
      <c r="H1846" s="13"/>
      <c r="I1846" s="13"/>
      <c r="J1846" s="165"/>
      <c r="K1846" s="165"/>
      <c r="L1846" s="165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  <c r="AT1846" s="13"/>
      <c r="AU1846" s="13"/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/>
      <c r="BR1846" s="13"/>
      <c r="BS1846" s="13"/>
      <c r="BT1846" s="13"/>
      <c r="BU1846" s="13"/>
      <c r="BV1846" s="13"/>
    </row>
    <row r="1847" spans="1:74">
      <c r="A1847" s="13"/>
      <c r="B1847" s="239"/>
      <c r="C1847" s="23"/>
      <c r="D1847" s="13"/>
      <c r="E1847" s="13"/>
      <c r="F1847" s="13"/>
      <c r="G1847" s="165"/>
      <c r="H1847" s="13"/>
      <c r="I1847" s="13"/>
      <c r="J1847" s="165"/>
      <c r="K1847" s="165"/>
      <c r="L1847" s="165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  <c r="AT1847" s="13"/>
      <c r="AU1847" s="13"/>
      <c r="AV1847" s="13"/>
      <c r="AW1847" s="13"/>
      <c r="AX1847" s="13"/>
      <c r="AY1847" s="13"/>
      <c r="AZ1847" s="13"/>
      <c r="BA1847" s="13"/>
      <c r="BB1847" s="13"/>
      <c r="BC1847" s="13"/>
      <c r="BD1847" s="13"/>
      <c r="BE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O1847" s="13"/>
      <c r="BP1847" s="13"/>
      <c r="BQ1847" s="13"/>
      <c r="BR1847" s="13"/>
      <c r="BS1847" s="13"/>
      <c r="BT1847" s="13"/>
      <c r="BU1847" s="13"/>
      <c r="BV1847" s="13"/>
    </row>
    <row r="1848" spans="1:74">
      <c r="A1848" s="13"/>
      <c r="B1848" s="239"/>
      <c r="C1848" s="23"/>
      <c r="D1848" s="13"/>
      <c r="E1848" s="13"/>
      <c r="F1848" s="13"/>
      <c r="G1848" s="165"/>
      <c r="H1848" s="13"/>
      <c r="I1848" s="13"/>
      <c r="J1848" s="165"/>
      <c r="K1848" s="165"/>
      <c r="L1848" s="165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  <c r="AT1848" s="13"/>
      <c r="AU1848" s="13"/>
      <c r="AV1848" s="13"/>
      <c r="AW1848" s="13"/>
      <c r="AX1848" s="13"/>
      <c r="AY1848" s="13"/>
      <c r="AZ1848" s="13"/>
      <c r="BA1848" s="13"/>
      <c r="BB1848" s="13"/>
      <c r="BC1848" s="13"/>
      <c r="BD1848" s="13"/>
      <c r="BE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O1848" s="13"/>
      <c r="BP1848" s="13"/>
      <c r="BQ1848" s="13"/>
      <c r="BR1848" s="13"/>
      <c r="BS1848" s="13"/>
      <c r="BT1848" s="13"/>
      <c r="BU1848" s="13"/>
      <c r="BV1848" s="13"/>
    </row>
    <row r="1849" spans="1:74">
      <c r="A1849" s="13"/>
      <c r="B1849" s="239"/>
      <c r="C1849" s="23"/>
      <c r="D1849" s="13"/>
      <c r="E1849" s="13"/>
      <c r="F1849" s="13"/>
      <c r="G1849" s="165"/>
      <c r="H1849" s="13"/>
      <c r="I1849" s="13"/>
      <c r="J1849" s="165"/>
      <c r="K1849" s="165"/>
      <c r="L1849" s="165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O1849" s="13"/>
      <c r="BP1849" s="13"/>
      <c r="BQ1849" s="13"/>
      <c r="BR1849" s="13"/>
      <c r="BS1849" s="13"/>
      <c r="BT1849" s="13"/>
      <c r="BU1849" s="13"/>
      <c r="BV1849" s="13"/>
    </row>
    <row r="1850" spans="1:74">
      <c r="A1850" s="13"/>
      <c r="B1850" s="239"/>
      <c r="C1850" s="23"/>
      <c r="D1850" s="13"/>
      <c r="E1850" s="13"/>
      <c r="F1850" s="13"/>
      <c r="G1850" s="165"/>
      <c r="H1850" s="13"/>
      <c r="I1850" s="13"/>
      <c r="J1850" s="165"/>
      <c r="K1850" s="165"/>
      <c r="L1850" s="165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O1850" s="13"/>
      <c r="BP1850" s="13"/>
      <c r="BQ1850" s="13"/>
      <c r="BR1850" s="13"/>
      <c r="BS1850" s="13"/>
      <c r="BT1850" s="13"/>
      <c r="BU1850" s="13"/>
      <c r="BV1850" s="13"/>
    </row>
    <row r="1851" spans="1:74">
      <c r="A1851" s="13"/>
      <c r="B1851" s="239"/>
      <c r="C1851" s="23"/>
      <c r="D1851" s="13"/>
      <c r="E1851" s="13"/>
      <c r="F1851" s="13"/>
      <c r="G1851" s="165"/>
      <c r="H1851" s="13"/>
      <c r="I1851" s="13"/>
      <c r="J1851" s="165"/>
      <c r="K1851" s="165"/>
      <c r="L1851" s="165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  <c r="AT1851" s="13"/>
      <c r="AU1851" s="13"/>
      <c r="AV1851" s="13"/>
      <c r="AW1851" s="13"/>
      <c r="AX1851" s="13"/>
      <c r="AY1851" s="13"/>
      <c r="AZ1851" s="13"/>
      <c r="BA1851" s="13"/>
      <c r="BB1851" s="13"/>
      <c r="BC1851" s="13"/>
      <c r="BD1851" s="13"/>
      <c r="BE1851" s="13"/>
      <c r="BF1851" s="13"/>
      <c r="BG1851" s="13"/>
      <c r="BH1851" s="13"/>
      <c r="BI1851" s="13"/>
      <c r="BJ1851" s="13"/>
      <c r="BK1851" s="13"/>
      <c r="BL1851" s="13"/>
      <c r="BM1851" s="13"/>
      <c r="BN1851" s="13"/>
      <c r="BO1851" s="13"/>
      <c r="BP1851" s="13"/>
      <c r="BQ1851" s="13"/>
      <c r="BR1851" s="13"/>
      <c r="BS1851" s="13"/>
      <c r="BT1851" s="13"/>
      <c r="BU1851" s="13"/>
      <c r="BV1851" s="13"/>
    </row>
    <row r="1852" spans="1:74">
      <c r="A1852" s="13"/>
      <c r="B1852" s="239"/>
      <c r="C1852" s="23"/>
      <c r="D1852" s="13"/>
      <c r="E1852" s="13"/>
      <c r="F1852" s="13"/>
      <c r="G1852" s="165"/>
      <c r="H1852" s="13"/>
      <c r="I1852" s="13"/>
      <c r="J1852" s="165"/>
      <c r="K1852" s="165"/>
      <c r="L1852" s="165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</row>
    <row r="1853" spans="1:74">
      <c r="A1853" s="13"/>
      <c r="B1853" s="239"/>
      <c r="C1853" s="23"/>
      <c r="D1853" s="13"/>
      <c r="E1853" s="13"/>
      <c r="F1853" s="13"/>
      <c r="G1853" s="165"/>
      <c r="H1853" s="13"/>
      <c r="I1853" s="13"/>
      <c r="J1853" s="165"/>
      <c r="K1853" s="165"/>
      <c r="L1853" s="165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/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</row>
    <row r="1854" spans="1:74">
      <c r="A1854" s="13"/>
      <c r="B1854" s="239"/>
      <c r="C1854" s="23"/>
      <c r="D1854" s="13"/>
      <c r="E1854" s="13"/>
      <c r="F1854" s="13"/>
      <c r="G1854" s="165"/>
      <c r="H1854" s="13"/>
      <c r="I1854" s="13"/>
      <c r="J1854" s="165"/>
      <c r="K1854" s="165"/>
      <c r="L1854" s="165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  <c r="AQ1854" s="13"/>
      <c r="AR1854" s="13"/>
      <c r="AS1854" s="13"/>
      <c r="AT1854" s="13"/>
      <c r="AU1854" s="13"/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3"/>
      <c r="BP1854" s="13"/>
      <c r="BQ1854" s="13"/>
      <c r="BR1854" s="13"/>
      <c r="BS1854" s="13"/>
      <c r="BT1854" s="13"/>
      <c r="BU1854" s="13"/>
      <c r="BV1854" s="13"/>
    </row>
    <row r="1855" spans="1:74">
      <c r="A1855" s="13"/>
      <c r="B1855" s="239"/>
      <c r="C1855" s="23"/>
      <c r="D1855" s="13"/>
      <c r="E1855" s="13"/>
      <c r="F1855" s="13"/>
      <c r="G1855" s="165"/>
      <c r="H1855" s="13"/>
      <c r="I1855" s="13"/>
      <c r="J1855" s="165"/>
      <c r="K1855" s="165"/>
      <c r="L1855" s="165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/>
      <c r="AT1855" s="13"/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/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</row>
    <row r="1856" spans="1:74">
      <c r="A1856" s="13"/>
      <c r="B1856" s="239"/>
      <c r="C1856" s="23"/>
      <c r="D1856" s="13"/>
      <c r="E1856" s="13"/>
      <c r="F1856" s="13"/>
      <c r="G1856" s="165"/>
      <c r="H1856" s="13"/>
      <c r="I1856" s="13"/>
      <c r="J1856" s="165"/>
      <c r="K1856" s="165"/>
      <c r="L1856" s="165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</row>
    <row r="1857" spans="1:74">
      <c r="A1857" s="13"/>
      <c r="B1857" s="239"/>
      <c r="C1857" s="23"/>
      <c r="D1857" s="13"/>
      <c r="E1857" s="13"/>
      <c r="F1857" s="13"/>
      <c r="G1857" s="165"/>
      <c r="H1857" s="13"/>
      <c r="I1857" s="13"/>
      <c r="J1857" s="165"/>
      <c r="K1857" s="165"/>
      <c r="L1857" s="165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</row>
    <row r="1858" spans="1:74">
      <c r="A1858" s="13"/>
      <c r="B1858" s="239"/>
      <c r="C1858" s="23"/>
      <c r="D1858" s="13"/>
      <c r="E1858" s="13"/>
      <c r="F1858" s="13"/>
      <c r="G1858" s="165"/>
      <c r="H1858" s="13"/>
      <c r="I1858" s="13"/>
      <c r="J1858" s="165"/>
      <c r="K1858" s="165"/>
      <c r="L1858" s="165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</row>
    <row r="1859" spans="1:74">
      <c r="A1859" s="13"/>
      <c r="B1859" s="239"/>
      <c r="C1859" s="23"/>
      <c r="D1859" s="13"/>
      <c r="E1859" s="13"/>
      <c r="F1859" s="13"/>
      <c r="G1859" s="165"/>
      <c r="H1859" s="13"/>
      <c r="I1859" s="13"/>
      <c r="J1859" s="165"/>
      <c r="K1859" s="165"/>
      <c r="L1859" s="165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</row>
    <row r="1860" spans="1:74">
      <c r="A1860" s="13"/>
      <c r="B1860" s="239"/>
      <c r="C1860" s="23"/>
      <c r="D1860" s="13"/>
      <c r="E1860" s="13"/>
      <c r="F1860" s="13"/>
      <c r="G1860" s="165"/>
      <c r="H1860" s="13"/>
      <c r="I1860" s="13"/>
      <c r="J1860" s="165"/>
      <c r="K1860" s="165"/>
      <c r="L1860" s="165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/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</row>
    <row r="1861" spans="1:74">
      <c r="A1861" s="13"/>
      <c r="B1861" s="239"/>
      <c r="C1861" s="23"/>
      <c r="D1861" s="13"/>
      <c r="E1861" s="13"/>
      <c r="F1861" s="13"/>
      <c r="G1861" s="165"/>
      <c r="H1861" s="13"/>
      <c r="I1861" s="13"/>
      <c r="J1861" s="165"/>
      <c r="K1861" s="165"/>
      <c r="L1861" s="165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/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</row>
    <row r="1862" spans="1:74">
      <c r="A1862" s="13"/>
      <c r="B1862" s="239"/>
      <c r="C1862" s="23"/>
      <c r="D1862" s="13"/>
      <c r="E1862" s="13"/>
      <c r="F1862" s="13"/>
      <c r="G1862" s="165"/>
      <c r="H1862" s="13"/>
      <c r="I1862" s="13"/>
      <c r="J1862" s="165"/>
      <c r="K1862" s="165"/>
      <c r="L1862" s="165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</row>
    <row r="1863" spans="1:74">
      <c r="A1863" s="13"/>
      <c r="B1863" s="239"/>
      <c r="C1863" s="23"/>
      <c r="D1863" s="13"/>
      <c r="E1863" s="13"/>
      <c r="F1863" s="13"/>
      <c r="G1863" s="165"/>
      <c r="H1863" s="13"/>
      <c r="I1863" s="13"/>
      <c r="J1863" s="165"/>
      <c r="K1863" s="165"/>
      <c r="L1863" s="165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</row>
    <row r="1864" spans="1:74">
      <c r="A1864" s="13"/>
      <c r="B1864" s="239"/>
      <c r="C1864" s="23"/>
      <c r="D1864" s="13"/>
      <c r="E1864" s="13"/>
      <c r="F1864" s="13"/>
      <c r="G1864" s="165"/>
      <c r="H1864" s="13"/>
      <c r="I1864" s="13"/>
      <c r="J1864" s="165"/>
      <c r="K1864" s="165"/>
      <c r="L1864" s="165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</row>
    <row r="1865" spans="1:74">
      <c r="A1865" s="13"/>
      <c r="B1865" s="239"/>
      <c r="C1865" s="23"/>
      <c r="D1865" s="13"/>
      <c r="E1865" s="13"/>
      <c r="F1865" s="13"/>
      <c r="G1865" s="165"/>
      <c r="H1865" s="13"/>
      <c r="I1865" s="13"/>
      <c r="J1865" s="165"/>
      <c r="K1865" s="165"/>
      <c r="L1865" s="165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</row>
    <row r="1866" spans="1:74">
      <c r="A1866" s="13"/>
      <c r="B1866" s="239"/>
      <c r="C1866" s="23"/>
      <c r="D1866" s="13"/>
      <c r="E1866" s="13"/>
      <c r="F1866" s="13"/>
      <c r="G1866" s="165"/>
      <c r="H1866" s="13"/>
      <c r="I1866" s="13"/>
      <c r="J1866" s="165"/>
      <c r="K1866" s="165"/>
      <c r="L1866" s="165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</row>
    <row r="1867" spans="1:74">
      <c r="A1867" s="13"/>
      <c r="B1867" s="239"/>
      <c r="C1867" s="23"/>
      <c r="D1867" s="13"/>
      <c r="E1867" s="13"/>
      <c r="F1867" s="13"/>
      <c r="G1867" s="165"/>
      <c r="H1867" s="13"/>
      <c r="I1867" s="13"/>
      <c r="J1867" s="165"/>
      <c r="K1867" s="165"/>
      <c r="L1867" s="165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</row>
    <row r="1868" spans="1:74">
      <c r="A1868" s="13"/>
      <c r="B1868" s="239"/>
      <c r="C1868" s="23"/>
      <c r="D1868" s="13"/>
      <c r="E1868" s="13"/>
      <c r="F1868" s="13"/>
      <c r="G1868" s="165"/>
      <c r="H1868" s="13"/>
      <c r="I1868" s="13"/>
      <c r="J1868" s="165"/>
      <c r="K1868" s="165"/>
      <c r="L1868" s="165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</row>
    <row r="1869" spans="1:74">
      <c r="A1869" s="13"/>
      <c r="B1869" s="239"/>
      <c r="C1869" s="23"/>
      <c r="D1869" s="13"/>
      <c r="E1869" s="13"/>
      <c r="F1869" s="13"/>
      <c r="G1869" s="165"/>
      <c r="H1869" s="13"/>
      <c r="I1869" s="13"/>
      <c r="J1869" s="165"/>
      <c r="K1869" s="165"/>
      <c r="L1869" s="165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/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</row>
    <row r="1870" spans="1:74">
      <c r="A1870" s="13"/>
      <c r="B1870" s="239"/>
      <c r="C1870" s="23"/>
      <c r="D1870" s="13"/>
      <c r="E1870" s="13"/>
      <c r="F1870" s="13"/>
      <c r="G1870" s="165"/>
      <c r="H1870" s="13"/>
      <c r="I1870" s="13"/>
      <c r="J1870" s="165"/>
      <c r="K1870" s="165"/>
      <c r="L1870" s="165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</row>
    <row r="1871" spans="1:74">
      <c r="A1871" s="13"/>
      <c r="B1871" s="239"/>
      <c r="C1871" s="23"/>
      <c r="D1871" s="13"/>
      <c r="E1871" s="13"/>
      <c r="F1871" s="13"/>
      <c r="G1871" s="165"/>
      <c r="H1871" s="13"/>
      <c r="I1871" s="13"/>
      <c r="J1871" s="165"/>
      <c r="K1871" s="165"/>
      <c r="L1871" s="165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</row>
    <row r="1872" spans="1:74">
      <c r="A1872" s="13"/>
      <c r="B1872" s="239"/>
      <c r="C1872" s="23"/>
      <c r="D1872" s="13"/>
      <c r="E1872" s="13"/>
      <c r="F1872" s="13"/>
      <c r="G1872" s="165"/>
      <c r="H1872" s="13"/>
      <c r="I1872" s="13"/>
      <c r="J1872" s="165"/>
      <c r="K1872" s="165"/>
      <c r="L1872" s="165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</row>
    <row r="1873" spans="1:74">
      <c r="A1873" s="13"/>
      <c r="B1873" s="239"/>
      <c r="C1873" s="23"/>
      <c r="D1873" s="13"/>
      <c r="E1873" s="13"/>
      <c r="F1873" s="13"/>
      <c r="G1873" s="165"/>
      <c r="H1873" s="13"/>
      <c r="I1873" s="13"/>
      <c r="J1873" s="165"/>
      <c r="K1873" s="165"/>
      <c r="L1873" s="165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3"/>
      <c r="BP1873" s="13"/>
      <c r="BQ1873" s="13"/>
      <c r="BR1873" s="13"/>
      <c r="BS1873" s="13"/>
      <c r="BT1873" s="13"/>
      <c r="BU1873" s="13"/>
      <c r="BV1873" s="13"/>
    </row>
    <row r="1874" spans="1:74">
      <c r="A1874" s="13"/>
      <c r="B1874" s="239"/>
      <c r="C1874" s="23"/>
      <c r="D1874" s="13"/>
      <c r="E1874" s="13"/>
      <c r="F1874" s="13"/>
      <c r="G1874" s="165"/>
      <c r="H1874" s="13"/>
      <c r="I1874" s="13"/>
      <c r="J1874" s="165"/>
      <c r="K1874" s="165"/>
      <c r="L1874" s="165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</row>
    <row r="1875" spans="1:74">
      <c r="A1875" s="13"/>
      <c r="B1875" s="239"/>
      <c r="C1875" s="23"/>
      <c r="D1875" s="13"/>
      <c r="E1875" s="13"/>
      <c r="F1875" s="13"/>
      <c r="G1875" s="165"/>
      <c r="H1875" s="13"/>
      <c r="I1875" s="13"/>
      <c r="J1875" s="165"/>
      <c r="K1875" s="165"/>
      <c r="L1875" s="165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</row>
    <row r="1876" spans="1:74">
      <c r="A1876" s="13"/>
      <c r="B1876" s="239"/>
      <c r="C1876" s="23"/>
      <c r="D1876" s="13"/>
      <c r="E1876" s="13"/>
      <c r="F1876" s="13"/>
      <c r="G1876" s="165"/>
      <c r="H1876" s="13"/>
      <c r="I1876" s="13"/>
      <c r="J1876" s="165"/>
      <c r="K1876" s="165"/>
      <c r="L1876" s="165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</row>
    <row r="1877" spans="1:74">
      <c r="A1877" s="13"/>
      <c r="B1877" s="239"/>
      <c r="C1877" s="23"/>
      <c r="D1877" s="13"/>
      <c r="E1877" s="13"/>
      <c r="F1877" s="13"/>
      <c r="G1877" s="165"/>
      <c r="H1877" s="13"/>
      <c r="I1877" s="13"/>
      <c r="J1877" s="165"/>
      <c r="K1877" s="165"/>
      <c r="L1877" s="165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</row>
    <row r="1878" spans="1:74">
      <c r="A1878" s="13"/>
      <c r="B1878" s="239"/>
      <c r="C1878" s="23"/>
      <c r="D1878" s="13"/>
      <c r="E1878" s="13"/>
      <c r="F1878" s="13"/>
      <c r="G1878" s="165"/>
      <c r="H1878" s="13"/>
      <c r="I1878" s="13"/>
      <c r="J1878" s="165"/>
      <c r="K1878" s="165"/>
      <c r="L1878" s="165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</row>
    <row r="1879" spans="1:74">
      <c r="A1879" s="13"/>
      <c r="B1879" s="239"/>
      <c r="C1879" s="23"/>
      <c r="D1879" s="13"/>
      <c r="E1879" s="13"/>
      <c r="F1879" s="13"/>
      <c r="G1879" s="165"/>
      <c r="H1879" s="13"/>
      <c r="I1879" s="13"/>
      <c r="J1879" s="165"/>
      <c r="K1879" s="165"/>
      <c r="L1879" s="165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</row>
    <row r="1880" spans="1:74">
      <c r="A1880" s="13"/>
      <c r="B1880" s="239"/>
      <c r="C1880" s="23"/>
      <c r="D1880" s="13"/>
      <c r="E1880" s="13"/>
      <c r="F1880" s="13"/>
      <c r="G1880" s="165"/>
      <c r="H1880" s="13"/>
      <c r="I1880" s="13"/>
      <c r="J1880" s="165"/>
      <c r="K1880" s="165"/>
      <c r="L1880" s="165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</row>
    <row r="1881" spans="1:74">
      <c r="A1881" s="13"/>
      <c r="B1881" s="239"/>
      <c r="C1881" s="23"/>
      <c r="D1881" s="13"/>
      <c r="E1881" s="13"/>
      <c r="F1881" s="13"/>
      <c r="G1881" s="165"/>
      <c r="H1881" s="13"/>
      <c r="I1881" s="13"/>
      <c r="J1881" s="165"/>
      <c r="K1881" s="165"/>
      <c r="L1881" s="165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</row>
    <row r="1882" spans="1:74">
      <c r="A1882" s="13"/>
      <c r="B1882" s="239"/>
      <c r="C1882" s="23"/>
      <c r="D1882" s="13"/>
      <c r="E1882" s="13"/>
      <c r="F1882" s="13"/>
      <c r="G1882" s="165"/>
      <c r="H1882" s="13"/>
      <c r="I1882" s="13"/>
      <c r="J1882" s="165"/>
      <c r="K1882" s="165"/>
      <c r="L1882" s="165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</row>
    <row r="1883" spans="1:74">
      <c r="A1883" s="13"/>
      <c r="B1883" s="239"/>
      <c r="C1883" s="23"/>
      <c r="D1883" s="13"/>
      <c r="E1883" s="13"/>
      <c r="F1883" s="13"/>
      <c r="G1883" s="165"/>
      <c r="H1883" s="13"/>
      <c r="I1883" s="13"/>
      <c r="J1883" s="165"/>
      <c r="K1883" s="165"/>
      <c r="L1883" s="165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</row>
    <row r="1884" spans="1:74">
      <c r="A1884" s="13"/>
      <c r="B1884" s="239"/>
      <c r="C1884" s="23"/>
      <c r="D1884" s="13"/>
      <c r="E1884" s="13"/>
      <c r="F1884" s="13"/>
      <c r="G1884" s="165"/>
      <c r="H1884" s="13"/>
      <c r="I1884" s="13"/>
      <c r="J1884" s="165"/>
      <c r="K1884" s="165"/>
      <c r="L1884" s="165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</row>
    <row r="1885" spans="1:74">
      <c r="A1885" s="13"/>
      <c r="B1885" s="239"/>
      <c r="C1885" s="23"/>
      <c r="D1885" s="13"/>
      <c r="E1885" s="13"/>
      <c r="F1885" s="13"/>
      <c r="G1885" s="165"/>
      <c r="H1885" s="13"/>
      <c r="I1885" s="13"/>
      <c r="J1885" s="165"/>
      <c r="K1885" s="165"/>
      <c r="L1885" s="165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</row>
    <row r="1886" spans="1:74">
      <c r="A1886" s="13"/>
      <c r="B1886" s="239"/>
      <c r="C1886" s="23"/>
      <c r="D1886" s="13"/>
      <c r="E1886" s="13"/>
      <c r="F1886" s="13"/>
      <c r="G1886" s="165"/>
      <c r="H1886" s="13"/>
      <c r="I1886" s="13"/>
      <c r="J1886" s="165"/>
      <c r="K1886" s="165"/>
      <c r="L1886" s="165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</row>
    <row r="1887" spans="1:74">
      <c r="A1887" s="13"/>
      <c r="B1887" s="239"/>
      <c r="C1887" s="23"/>
      <c r="D1887" s="13"/>
      <c r="E1887" s="13"/>
      <c r="F1887" s="13"/>
      <c r="G1887" s="165"/>
      <c r="H1887" s="13"/>
      <c r="I1887" s="13"/>
      <c r="J1887" s="165"/>
      <c r="K1887" s="165"/>
      <c r="L1887" s="165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</row>
    <row r="1888" spans="1:74">
      <c r="A1888" s="13"/>
      <c r="B1888" s="239"/>
      <c r="C1888" s="23"/>
      <c r="D1888" s="13"/>
      <c r="E1888" s="13"/>
      <c r="F1888" s="13"/>
      <c r="G1888" s="165"/>
      <c r="H1888" s="13"/>
      <c r="I1888" s="13"/>
      <c r="J1888" s="165"/>
      <c r="K1888" s="165"/>
      <c r="L1888" s="165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</row>
    <row r="1889" spans="1:74">
      <c r="A1889" s="13"/>
      <c r="B1889" s="239"/>
      <c r="C1889" s="23"/>
      <c r="D1889" s="13"/>
      <c r="E1889" s="13"/>
      <c r="F1889" s="13"/>
      <c r="G1889" s="165"/>
      <c r="H1889" s="13"/>
      <c r="I1889" s="13"/>
      <c r="J1889" s="165"/>
      <c r="K1889" s="165"/>
      <c r="L1889" s="165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</row>
    <row r="1890" spans="1:74">
      <c r="A1890" s="13"/>
      <c r="B1890" s="239"/>
      <c r="C1890" s="23"/>
      <c r="D1890" s="13"/>
      <c r="E1890" s="13"/>
      <c r="F1890" s="13"/>
      <c r="G1890" s="165"/>
      <c r="H1890" s="13"/>
      <c r="I1890" s="13"/>
      <c r="J1890" s="165"/>
      <c r="K1890" s="165"/>
      <c r="L1890" s="165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/>
      <c r="BB1890" s="13"/>
      <c r="BC1890" s="13"/>
      <c r="BD1890" s="13"/>
      <c r="BE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O1890" s="13"/>
      <c r="BP1890" s="13"/>
      <c r="BQ1890" s="13"/>
      <c r="BR1890" s="13"/>
      <c r="BS1890" s="13"/>
      <c r="BT1890" s="13"/>
      <c r="BU1890" s="13"/>
      <c r="BV1890" s="13"/>
    </row>
    <row r="1891" spans="1:74">
      <c r="A1891" s="13"/>
      <c r="B1891" s="239"/>
      <c r="C1891" s="23"/>
      <c r="D1891" s="13"/>
      <c r="E1891" s="13"/>
      <c r="F1891" s="13"/>
      <c r="G1891" s="165"/>
      <c r="H1891" s="13"/>
      <c r="I1891" s="13"/>
      <c r="J1891" s="165"/>
      <c r="K1891" s="165"/>
      <c r="L1891" s="165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/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</row>
    <row r="1892" spans="1:74">
      <c r="A1892" s="13"/>
      <c r="B1892" s="239"/>
      <c r="C1892" s="23"/>
      <c r="D1892" s="13"/>
      <c r="E1892" s="13"/>
      <c r="F1892" s="13"/>
      <c r="G1892" s="165"/>
      <c r="H1892" s="13"/>
      <c r="I1892" s="13"/>
      <c r="J1892" s="165"/>
      <c r="K1892" s="165"/>
      <c r="L1892" s="165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</row>
    <row r="1893" spans="1:74">
      <c r="A1893" s="13"/>
      <c r="B1893" s="239"/>
      <c r="C1893" s="23"/>
      <c r="D1893" s="13"/>
      <c r="E1893" s="13"/>
      <c r="F1893" s="13"/>
      <c r="G1893" s="165"/>
      <c r="H1893" s="13"/>
      <c r="I1893" s="13"/>
      <c r="J1893" s="165"/>
      <c r="K1893" s="165"/>
      <c r="L1893" s="165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</row>
    <row r="1894" spans="1:74">
      <c r="A1894" s="13"/>
      <c r="B1894" s="239"/>
      <c r="C1894" s="23"/>
      <c r="D1894" s="13"/>
      <c r="E1894" s="13"/>
      <c r="F1894" s="13"/>
      <c r="G1894" s="165"/>
      <c r="H1894" s="13"/>
      <c r="I1894" s="13"/>
      <c r="J1894" s="165"/>
      <c r="K1894" s="165"/>
      <c r="L1894" s="165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</row>
    <row r="1895" spans="1:74">
      <c r="A1895" s="13"/>
      <c r="B1895" s="239"/>
      <c r="C1895" s="23"/>
      <c r="D1895" s="13"/>
      <c r="E1895" s="13"/>
      <c r="F1895" s="13"/>
      <c r="G1895" s="165"/>
      <c r="H1895" s="13"/>
      <c r="I1895" s="13"/>
      <c r="J1895" s="165"/>
      <c r="K1895" s="165"/>
      <c r="L1895" s="165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/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</row>
    <row r="1896" spans="1:74">
      <c r="A1896" s="13"/>
      <c r="B1896" s="239"/>
      <c r="C1896" s="23"/>
      <c r="D1896" s="13"/>
      <c r="E1896" s="13"/>
      <c r="F1896" s="13"/>
      <c r="G1896" s="165"/>
      <c r="H1896" s="13"/>
      <c r="I1896" s="13"/>
      <c r="J1896" s="165"/>
      <c r="K1896" s="165"/>
      <c r="L1896" s="165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</row>
    <row r="1897" spans="1:74">
      <c r="A1897" s="13"/>
      <c r="B1897" s="239"/>
      <c r="C1897" s="23"/>
      <c r="D1897" s="13"/>
      <c r="E1897" s="13"/>
      <c r="F1897" s="13"/>
      <c r="G1897" s="165"/>
      <c r="H1897" s="13"/>
      <c r="I1897" s="13"/>
      <c r="J1897" s="165"/>
      <c r="K1897" s="165"/>
      <c r="L1897" s="165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</row>
    <row r="1898" spans="1:74">
      <c r="A1898" s="13"/>
      <c r="B1898" s="239"/>
      <c r="C1898" s="23"/>
      <c r="D1898" s="13"/>
      <c r="E1898" s="13"/>
      <c r="F1898" s="13"/>
      <c r="G1898" s="165"/>
      <c r="H1898" s="13"/>
      <c r="I1898" s="13"/>
      <c r="J1898" s="165"/>
      <c r="K1898" s="165"/>
      <c r="L1898" s="165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</row>
    <row r="1899" spans="1:74">
      <c r="A1899" s="13"/>
      <c r="B1899" s="239"/>
      <c r="C1899" s="23"/>
      <c r="D1899" s="13"/>
      <c r="E1899" s="13"/>
      <c r="F1899" s="13"/>
      <c r="G1899" s="165"/>
      <c r="H1899" s="13"/>
      <c r="I1899" s="13"/>
      <c r="J1899" s="165"/>
      <c r="K1899" s="165"/>
      <c r="L1899" s="165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</row>
    <row r="1900" spans="1:74">
      <c r="A1900" s="13"/>
      <c r="B1900" s="239"/>
      <c r="C1900" s="23"/>
      <c r="D1900" s="13"/>
      <c r="E1900" s="13"/>
      <c r="F1900" s="13"/>
      <c r="G1900" s="165"/>
      <c r="H1900" s="13"/>
      <c r="I1900" s="13"/>
      <c r="J1900" s="165"/>
      <c r="K1900" s="165"/>
      <c r="L1900" s="165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/>
      <c r="AP1900" s="13"/>
      <c r="AQ1900" s="13"/>
      <c r="AR1900" s="13"/>
      <c r="AS1900" s="13"/>
      <c r="AT1900" s="13"/>
      <c r="AU1900" s="13"/>
      <c r="AV1900" s="13"/>
      <c r="AW1900" s="13"/>
      <c r="AX1900" s="13"/>
      <c r="AY1900" s="13"/>
      <c r="AZ1900" s="13"/>
      <c r="BA1900" s="13"/>
      <c r="BB1900" s="13"/>
      <c r="BC1900" s="13"/>
      <c r="BD1900" s="13"/>
      <c r="BE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O1900" s="13"/>
      <c r="BP1900" s="13"/>
      <c r="BQ1900" s="13"/>
      <c r="BR1900" s="13"/>
      <c r="BS1900" s="13"/>
      <c r="BT1900" s="13"/>
      <c r="BU1900" s="13"/>
      <c r="BV1900" s="13"/>
    </row>
    <row r="1901" spans="1:74">
      <c r="A1901" s="13"/>
      <c r="B1901" s="239"/>
      <c r="C1901" s="23"/>
      <c r="D1901" s="13"/>
      <c r="E1901" s="13"/>
      <c r="F1901" s="13"/>
      <c r="G1901" s="165"/>
      <c r="H1901" s="13"/>
      <c r="I1901" s="13"/>
      <c r="J1901" s="165"/>
      <c r="K1901" s="165"/>
      <c r="L1901" s="165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</row>
    <row r="1902" spans="1:74">
      <c r="A1902" s="13"/>
      <c r="B1902" s="239"/>
      <c r="C1902" s="23"/>
      <c r="D1902" s="13"/>
      <c r="E1902" s="13"/>
      <c r="F1902" s="13"/>
      <c r="G1902" s="165"/>
      <c r="H1902" s="13"/>
      <c r="I1902" s="13"/>
      <c r="J1902" s="165"/>
      <c r="K1902" s="165"/>
      <c r="L1902" s="165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/>
      <c r="BB1902" s="13"/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</row>
    <row r="1903" spans="1:74">
      <c r="A1903" s="13"/>
      <c r="B1903" s="239"/>
      <c r="C1903" s="23"/>
      <c r="D1903" s="13"/>
      <c r="E1903" s="13"/>
      <c r="F1903" s="13"/>
      <c r="G1903" s="165"/>
      <c r="H1903" s="13"/>
      <c r="I1903" s="13"/>
      <c r="J1903" s="165"/>
      <c r="K1903" s="165"/>
      <c r="L1903" s="165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</row>
    <row r="1904" spans="1:74">
      <c r="A1904" s="13"/>
      <c r="B1904" s="239"/>
      <c r="C1904" s="23"/>
      <c r="D1904" s="13"/>
      <c r="E1904" s="13"/>
      <c r="F1904" s="13"/>
      <c r="G1904" s="165"/>
      <c r="H1904" s="13"/>
      <c r="I1904" s="13"/>
      <c r="J1904" s="165"/>
      <c r="K1904" s="165"/>
      <c r="L1904" s="165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</row>
    <row r="1905" spans="1:74">
      <c r="A1905" s="13"/>
      <c r="B1905" s="239"/>
      <c r="C1905" s="23"/>
      <c r="D1905" s="13"/>
      <c r="E1905" s="13"/>
      <c r="F1905" s="13"/>
      <c r="G1905" s="165"/>
      <c r="H1905" s="13"/>
      <c r="I1905" s="13"/>
      <c r="J1905" s="165"/>
      <c r="K1905" s="165"/>
      <c r="L1905" s="165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</row>
    <row r="1906" spans="1:74">
      <c r="A1906" s="13"/>
      <c r="B1906" s="239"/>
      <c r="C1906" s="23"/>
      <c r="D1906" s="13"/>
      <c r="E1906" s="13"/>
      <c r="F1906" s="13"/>
      <c r="G1906" s="165"/>
      <c r="H1906" s="13"/>
      <c r="I1906" s="13"/>
      <c r="J1906" s="165"/>
      <c r="K1906" s="165"/>
      <c r="L1906" s="165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/>
      <c r="AX1906" s="13"/>
      <c r="AY1906" s="13"/>
      <c r="AZ1906" s="13"/>
      <c r="BA1906" s="13"/>
      <c r="BB1906" s="13"/>
      <c r="BC1906" s="13"/>
      <c r="BD1906" s="13"/>
      <c r="BE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</row>
    <row r="1907" spans="1:74">
      <c r="A1907" s="13"/>
      <c r="B1907" s="239"/>
      <c r="C1907" s="23"/>
      <c r="D1907" s="13"/>
      <c r="E1907" s="13"/>
      <c r="F1907" s="13"/>
      <c r="G1907" s="165"/>
      <c r="H1907" s="13"/>
      <c r="I1907" s="13"/>
      <c r="J1907" s="165"/>
      <c r="K1907" s="165"/>
      <c r="L1907" s="165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</row>
    <row r="1908" spans="1:74">
      <c r="A1908" s="13"/>
      <c r="B1908" s="239"/>
      <c r="C1908" s="23"/>
      <c r="D1908" s="13"/>
      <c r="E1908" s="13"/>
      <c r="F1908" s="13"/>
      <c r="G1908" s="165"/>
      <c r="H1908" s="13"/>
      <c r="I1908" s="13"/>
      <c r="J1908" s="165"/>
      <c r="K1908" s="165"/>
      <c r="L1908" s="165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</row>
    <row r="1909" spans="1:74">
      <c r="A1909" s="13"/>
      <c r="B1909" s="239"/>
      <c r="C1909" s="23"/>
      <c r="D1909" s="13"/>
      <c r="E1909" s="13"/>
      <c r="F1909" s="13"/>
      <c r="G1909" s="165"/>
      <c r="H1909" s="13"/>
      <c r="I1909" s="13"/>
      <c r="J1909" s="165"/>
      <c r="K1909" s="165"/>
      <c r="L1909" s="165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</row>
    <row r="1910" spans="1:74">
      <c r="A1910" s="13"/>
      <c r="B1910" s="239"/>
      <c r="C1910" s="23"/>
      <c r="D1910" s="13"/>
      <c r="E1910" s="13"/>
      <c r="F1910" s="13"/>
      <c r="G1910" s="165"/>
      <c r="H1910" s="13"/>
      <c r="I1910" s="13"/>
      <c r="J1910" s="165"/>
      <c r="K1910" s="165"/>
      <c r="L1910" s="165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</row>
    <row r="1911" spans="1:74">
      <c r="A1911" s="13"/>
      <c r="B1911" s="239"/>
      <c r="C1911" s="23"/>
      <c r="D1911" s="13"/>
      <c r="E1911" s="13"/>
      <c r="F1911" s="13"/>
      <c r="G1911" s="165"/>
      <c r="H1911" s="13"/>
      <c r="I1911" s="13"/>
      <c r="J1911" s="165"/>
      <c r="K1911" s="165"/>
      <c r="L1911" s="165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</row>
    <row r="1912" spans="1:74">
      <c r="A1912" s="13"/>
      <c r="B1912" s="239"/>
      <c r="C1912" s="23"/>
      <c r="D1912" s="13"/>
      <c r="E1912" s="13"/>
      <c r="F1912" s="13"/>
      <c r="G1912" s="165"/>
      <c r="H1912" s="13"/>
      <c r="I1912" s="13"/>
      <c r="J1912" s="165"/>
      <c r="K1912" s="165"/>
      <c r="L1912" s="165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</row>
    <row r="1913" spans="1:74">
      <c r="A1913" s="13"/>
      <c r="B1913" s="239"/>
      <c r="C1913" s="23"/>
      <c r="D1913" s="13"/>
      <c r="E1913" s="13"/>
      <c r="F1913" s="13"/>
      <c r="G1913" s="165"/>
      <c r="H1913" s="13"/>
      <c r="I1913" s="13"/>
      <c r="J1913" s="165"/>
      <c r="K1913" s="165"/>
      <c r="L1913" s="165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</row>
    <row r="1914" spans="1:74">
      <c r="A1914" s="13"/>
      <c r="B1914" s="239"/>
      <c r="C1914" s="23"/>
      <c r="D1914" s="13"/>
      <c r="E1914" s="13"/>
      <c r="F1914" s="13"/>
      <c r="G1914" s="165"/>
      <c r="H1914" s="13"/>
      <c r="I1914" s="13"/>
      <c r="J1914" s="165"/>
      <c r="K1914" s="165"/>
      <c r="L1914" s="165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</row>
    <row r="1915" spans="1:74">
      <c r="A1915" s="13"/>
      <c r="B1915" s="239"/>
      <c r="C1915" s="23"/>
      <c r="D1915" s="13"/>
      <c r="E1915" s="13"/>
      <c r="F1915" s="13"/>
      <c r="G1915" s="165"/>
      <c r="H1915" s="13"/>
      <c r="I1915" s="13"/>
      <c r="J1915" s="165"/>
      <c r="K1915" s="165"/>
      <c r="L1915" s="165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</row>
    <row r="1916" spans="1:74">
      <c r="A1916" s="13"/>
      <c r="B1916" s="239"/>
      <c r="C1916" s="23"/>
      <c r="D1916" s="13"/>
      <c r="E1916" s="13"/>
      <c r="F1916" s="13"/>
      <c r="G1916" s="165"/>
      <c r="H1916" s="13"/>
      <c r="I1916" s="13"/>
      <c r="J1916" s="165"/>
      <c r="K1916" s="165"/>
      <c r="L1916" s="165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</row>
    <row r="1917" spans="1:74">
      <c r="A1917" s="13"/>
      <c r="B1917" s="239"/>
      <c r="C1917" s="23"/>
      <c r="D1917" s="13"/>
      <c r="E1917" s="13"/>
      <c r="F1917" s="13"/>
      <c r="G1917" s="165"/>
      <c r="H1917" s="13"/>
      <c r="I1917" s="13"/>
      <c r="J1917" s="165"/>
      <c r="K1917" s="165"/>
      <c r="L1917" s="165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</row>
    <row r="1918" spans="1:74">
      <c r="A1918" s="13"/>
      <c r="B1918" s="239"/>
      <c r="C1918" s="23"/>
      <c r="D1918" s="13"/>
      <c r="E1918" s="13"/>
      <c r="F1918" s="13"/>
      <c r="G1918" s="165"/>
      <c r="H1918" s="13"/>
      <c r="I1918" s="13"/>
      <c r="J1918" s="165"/>
      <c r="K1918" s="165"/>
      <c r="L1918" s="165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</row>
    <row r="1919" spans="1:74">
      <c r="A1919" s="13"/>
      <c r="B1919" s="239"/>
      <c r="C1919" s="23"/>
      <c r="D1919" s="13"/>
      <c r="E1919" s="13"/>
      <c r="F1919" s="13"/>
      <c r="G1919" s="165"/>
      <c r="H1919" s="13"/>
      <c r="I1919" s="13"/>
      <c r="J1919" s="165"/>
      <c r="K1919" s="165"/>
      <c r="L1919" s="165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</row>
    <row r="1920" spans="1:74">
      <c r="A1920" s="13"/>
      <c r="B1920" s="239"/>
      <c r="C1920" s="23"/>
      <c r="D1920" s="13"/>
      <c r="E1920" s="13"/>
      <c r="F1920" s="13"/>
      <c r="G1920" s="165"/>
      <c r="H1920" s="13"/>
      <c r="I1920" s="13"/>
      <c r="J1920" s="165"/>
      <c r="K1920" s="165"/>
      <c r="L1920" s="165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</row>
    <row r="1921" spans="1:74">
      <c r="A1921" s="13"/>
      <c r="B1921" s="239"/>
      <c r="C1921" s="23"/>
      <c r="D1921" s="13"/>
      <c r="E1921" s="13"/>
      <c r="F1921" s="13"/>
      <c r="G1921" s="165"/>
      <c r="H1921" s="13"/>
      <c r="I1921" s="13"/>
      <c r="J1921" s="165"/>
      <c r="K1921" s="165"/>
      <c r="L1921" s="165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</row>
    <row r="1922" spans="1:74">
      <c r="A1922" s="13"/>
      <c r="B1922" s="239"/>
      <c r="C1922" s="23"/>
      <c r="D1922" s="13"/>
      <c r="E1922" s="13"/>
      <c r="F1922" s="13"/>
      <c r="G1922" s="165"/>
      <c r="H1922" s="13"/>
      <c r="I1922" s="13"/>
      <c r="J1922" s="165"/>
      <c r="K1922" s="165"/>
      <c r="L1922" s="165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</row>
    <row r="1923" spans="1:74">
      <c r="A1923" s="13"/>
      <c r="B1923" s="239"/>
      <c r="C1923" s="23"/>
      <c r="D1923" s="13"/>
      <c r="E1923" s="13"/>
      <c r="F1923" s="13"/>
      <c r="G1923" s="165"/>
      <c r="H1923" s="13"/>
      <c r="I1923" s="13"/>
      <c r="J1923" s="165"/>
      <c r="K1923" s="165"/>
      <c r="L1923" s="165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</row>
    <row r="1924" spans="1:74">
      <c r="A1924" s="13"/>
      <c r="B1924" s="239"/>
      <c r="C1924" s="23"/>
      <c r="D1924" s="13"/>
      <c r="E1924" s="13"/>
      <c r="F1924" s="13"/>
      <c r="G1924" s="165"/>
      <c r="H1924" s="13"/>
      <c r="I1924" s="13"/>
      <c r="J1924" s="165"/>
      <c r="K1924" s="165"/>
      <c r="L1924" s="165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</row>
    <row r="1925" spans="1:74">
      <c r="A1925" s="13"/>
      <c r="B1925" s="239"/>
      <c r="C1925" s="23"/>
      <c r="D1925" s="13"/>
      <c r="E1925" s="13"/>
      <c r="F1925" s="13"/>
      <c r="G1925" s="165"/>
      <c r="H1925" s="13"/>
      <c r="I1925" s="13"/>
      <c r="J1925" s="165"/>
      <c r="K1925" s="165"/>
      <c r="L1925" s="165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</row>
    <row r="1926" spans="1:74">
      <c r="A1926" s="13"/>
      <c r="B1926" s="239"/>
      <c r="C1926" s="23"/>
      <c r="D1926" s="13"/>
      <c r="E1926" s="13"/>
      <c r="F1926" s="13"/>
      <c r="G1926" s="165"/>
      <c r="H1926" s="13"/>
      <c r="I1926" s="13"/>
      <c r="J1926" s="165"/>
      <c r="K1926" s="165"/>
      <c r="L1926" s="165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</row>
    <row r="1927" spans="1:74">
      <c r="A1927" s="13"/>
      <c r="B1927" s="239"/>
      <c r="C1927" s="23"/>
      <c r="D1927" s="13"/>
      <c r="E1927" s="13"/>
      <c r="F1927" s="13"/>
      <c r="G1927" s="165"/>
      <c r="H1927" s="13"/>
      <c r="I1927" s="13"/>
      <c r="J1927" s="165"/>
      <c r="K1927" s="165"/>
      <c r="L1927" s="165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</row>
    <row r="1928" spans="1:74">
      <c r="A1928" s="13"/>
      <c r="B1928" s="239"/>
      <c r="C1928" s="23"/>
      <c r="D1928" s="13"/>
      <c r="E1928" s="13"/>
      <c r="F1928" s="13"/>
      <c r="G1928" s="165"/>
      <c r="H1928" s="13"/>
      <c r="I1928" s="13"/>
      <c r="J1928" s="165"/>
      <c r="K1928" s="165"/>
      <c r="L1928" s="165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</row>
    <row r="1929" spans="1:74">
      <c r="A1929" s="13"/>
      <c r="B1929" s="239"/>
      <c r="C1929" s="23"/>
      <c r="D1929" s="13"/>
      <c r="E1929" s="13"/>
      <c r="F1929" s="13"/>
      <c r="G1929" s="165"/>
      <c r="H1929" s="13"/>
      <c r="I1929" s="13"/>
      <c r="J1929" s="165"/>
      <c r="K1929" s="165"/>
      <c r="L1929" s="165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</row>
    <row r="1930" spans="1:74">
      <c r="A1930" s="13"/>
      <c r="B1930" s="239"/>
      <c r="C1930" s="23"/>
      <c r="D1930" s="13"/>
      <c r="E1930" s="13"/>
      <c r="F1930" s="13"/>
      <c r="G1930" s="165"/>
      <c r="H1930" s="13"/>
      <c r="I1930" s="13"/>
      <c r="J1930" s="165"/>
      <c r="K1930" s="165"/>
      <c r="L1930" s="165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</row>
    <row r="1931" spans="1:74">
      <c r="A1931" s="13"/>
      <c r="B1931" s="239"/>
      <c r="C1931" s="23"/>
      <c r="D1931" s="13"/>
      <c r="E1931" s="13"/>
      <c r="F1931" s="13"/>
      <c r="G1931" s="165"/>
      <c r="H1931" s="13"/>
      <c r="I1931" s="13"/>
      <c r="J1931" s="165"/>
      <c r="K1931" s="165"/>
      <c r="L1931" s="165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</row>
    <row r="1932" spans="1:74">
      <c r="A1932" s="13"/>
      <c r="B1932" s="239"/>
      <c r="C1932" s="23"/>
      <c r="D1932" s="13"/>
      <c r="E1932" s="13"/>
      <c r="F1932" s="13"/>
      <c r="G1932" s="165"/>
      <c r="H1932" s="13"/>
      <c r="I1932" s="13"/>
      <c r="J1932" s="165"/>
      <c r="K1932" s="165"/>
      <c r="L1932" s="165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</row>
    <row r="1933" spans="1:74">
      <c r="A1933" s="13"/>
      <c r="B1933" s="239"/>
      <c r="C1933" s="23"/>
      <c r="D1933" s="13"/>
      <c r="E1933" s="13"/>
      <c r="F1933" s="13"/>
      <c r="G1933" s="165"/>
      <c r="H1933" s="13"/>
      <c r="I1933" s="13"/>
      <c r="J1933" s="165"/>
      <c r="K1933" s="165"/>
      <c r="L1933" s="165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3"/>
      <c r="AY1933" s="13"/>
      <c r="AZ1933" s="13"/>
      <c r="BA1933" s="13"/>
      <c r="BB1933" s="13"/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</row>
    <row r="1934" spans="1:74">
      <c r="A1934" s="13"/>
      <c r="B1934" s="239"/>
      <c r="C1934" s="23"/>
      <c r="D1934" s="13"/>
      <c r="E1934" s="13"/>
      <c r="F1934" s="13"/>
      <c r="G1934" s="165"/>
      <c r="H1934" s="13"/>
      <c r="I1934" s="13"/>
      <c r="J1934" s="165"/>
      <c r="K1934" s="165"/>
      <c r="L1934" s="165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</row>
    <row r="1935" spans="1:74">
      <c r="A1935" s="13"/>
      <c r="B1935" s="239"/>
      <c r="C1935" s="23"/>
      <c r="D1935" s="13"/>
      <c r="E1935" s="13"/>
      <c r="F1935" s="13"/>
      <c r="G1935" s="165"/>
      <c r="H1935" s="13"/>
      <c r="I1935" s="13"/>
      <c r="J1935" s="165"/>
      <c r="K1935" s="165"/>
      <c r="L1935" s="165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/>
      <c r="BA1935" s="13"/>
      <c r="BB1935" s="13"/>
      <c r="BC1935" s="13"/>
      <c r="BD1935" s="13"/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</row>
    <row r="1936" spans="1:74">
      <c r="A1936" s="13"/>
      <c r="B1936" s="239"/>
      <c r="C1936" s="23"/>
      <c r="D1936" s="13"/>
      <c r="E1936" s="13"/>
      <c r="F1936" s="13"/>
      <c r="G1936" s="165"/>
      <c r="H1936" s="13"/>
      <c r="I1936" s="13"/>
      <c r="J1936" s="165"/>
      <c r="K1936" s="165"/>
      <c r="L1936" s="165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/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</row>
    <row r="1937" spans="1:74">
      <c r="A1937" s="13"/>
      <c r="B1937" s="239"/>
      <c r="C1937" s="23"/>
      <c r="D1937" s="13"/>
      <c r="E1937" s="13"/>
      <c r="F1937" s="13"/>
      <c r="G1937" s="165"/>
      <c r="H1937" s="13"/>
      <c r="I1937" s="13"/>
      <c r="J1937" s="165"/>
      <c r="K1937" s="165"/>
      <c r="L1937" s="165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</row>
    <row r="1938" spans="1:74">
      <c r="B1938" s="239"/>
      <c r="C1938" s="23"/>
      <c r="D1938" s="13"/>
      <c r="E1938" s="13"/>
      <c r="F1938" s="13"/>
      <c r="G1938" s="165"/>
      <c r="H1938" s="13"/>
      <c r="I1938" s="13"/>
      <c r="J1938" s="165"/>
      <c r="K1938" s="165"/>
      <c r="L1938" s="165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</row>
  </sheetData>
  <autoFilter ref="A4:BV1669">
    <filterColumn colId="2">
      <filters>
        <filter val="JACK COVER HJ002 CS"/>
        <filter val="JACK COVER HJ002 GS -"/>
        <filter val="JACK PLATE HJ002 BK -"/>
        <filter val="JACK PLATE HJ002 BN -"/>
        <filter val="JACK PLATE HJ002 BS"/>
        <filter val="JACK PLATE HJ002 CR -"/>
        <filter val="JACK PLATE HJ002 GD -"/>
        <filter val="JACK PLATE HJ002 NI -"/>
        <filter val="JACK PLATE HJ002 NS -"/>
      </filters>
    </filterColumn>
    <sortState ref="A6:BT1659">
      <sortCondition descending="1" ref="C4:C1428"/>
    </sortState>
  </autoFilter>
  <mergeCells count="41">
    <mergeCell ref="E1260:E1272"/>
    <mergeCell ref="A1:J1"/>
    <mergeCell ref="B3:D3"/>
    <mergeCell ref="M3:N3"/>
    <mergeCell ref="O3:P3"/>
    <mergeCell ref="Q3:R3"/>
    <mergeCell ref="F3:F4"/>
    <mergeCell ref="E3:E4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BC3:BD3"/>
    <mergeCell ref="BE3:BF3"/>
    <mergeCell ref="AM3:AN3"/>
    <mergeCell ref="AO3:AP3"/>
    <mergeCell ref="AQ3:AR3"/>
    <mergeCell ref="AS3:AT3"/>
    <mergeCell ref="AU3:AV3"/>
    <mergeCell ref="BQ3:BR3"/>
    <mergeCell ref="BS3:BT3"/>
    <mergeCell ref="BU3:BV3"/>
    <mergeCell ref="A3:A4"/>
    <mergeCell ref="G3:G4"/>
    <mergeCell ref="H3:H4"/>
    <mergeCell ref="I3:I4"/>
    <mergeCell ref="J3:J4"/>
    <mergeCell ref="BG3:BH3"/>
    <mergeCell ref="BI3:BJ3"/>
    <mergeCell ref="BK3:BL3"/>
    <mergeCell ref="BM3:BN3"/>
    <mergeCell ref="BO3:BP3"/>
    <mergeCell ref="AW3:AX3"/>
    <mergeCell ref="AY3:AZ3"/>
    <mergeCell ref="BA3:BB3"/>
  </mergeCells>
  <hyperlinks>
    <hyperlink ref="C1658" r:id="rId1" display="javascript:void(0)"/>
    <hyperlink ref="C1659" r:id="rId2" display="javascript:void(0)"/>
    <hyperlink ref="C1662" r:id="rId3" display="javascript:void(0)"/>
  </hyperlinks>
  <printOptions horizontalCentered="1"/>
  <pageMargins left="0.196527777777778" right="0.196527777777778" top="0.59027777777777801" bottom="0.59027777777777801" header="0.59027777777777801" footer="0.59027777777777801"/>
  <pageSetup paperSize="9" scale="75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xSplit="6" ySplit="7" topLeftCell="G8" activePane="bottomRight" state="frozen"/>
      <selection pane="topRight"/>
      <selection pane="bottomLeft"/>
      <selection pane="bottomRight" activeCell="I13" sqref="I13"/>
    </sheetView>
  </sheetViews>
  <sheetFormatPr defaultColWidth="9" defaultRowHeight="15"/>
  <cols>
    <col min="1" max="1" width="6.85546875" style="82" customWidth="1"/>
    <col min="2" max="3" width="17" style="82" customWidth="1"/>
    <col min="4" max="4" width="62.85546875" customWidth="1"/>
    <col min="5" max="5" width="9.140625" style="82"/>
    <col min="6" max="6" width="14.140625" style="82" customWidth="1"/>
    <col min="7" max="7" width="12.85546875" style="82" customWidth="1"/>
  </cols>
  <sheetData>
    <row r="1" spans="1:7" ht="19.5">
      <c r="A1" s="447" t="s">
        <v>0</v>
      </c>
      <c r="B1" s="447"/>
      <c r="C1" s="447"/>
      <c r="D1" s="447"/>
      <c r="E1" s="447"/>
      <c r="F1" s="447"/>
      <c r="G1" s="447"/>
    </row>
    <row r="2" spans="1:7" ht="19.5">
      <c r="A2" s="83"/>
      <c r="B2" s="83"/>
      <c r="C2" s="83"/>
      <c r="D2" s="84"/>
      <c r="E2" s="83"/>
      <c r="F2" s="85"/>
    </row>
    <row r="3" spans="1:7" ht="24.75" customHeight="1">
      <c r="A3" s="448" t="s">
        <v>1</v>
      </c>
      <c r="B3" s="448" t="s">
        <v>2</v>
      </c>
      <c r="C3" s="448"/>
      <c r="D3" s="449"/>
      <c r="E3" s="448"/>
      <c r="F3" s="450" t="s">
        <v>3288</v>
      </c>
      <c r="G3" s="451" t="s">
        <v>3289</v>
      </c>
    </row>
    <row r="4" spans="1:7" ht="24.75" customHeight="1">
      <c r="A4" s="448"/>
      <c r="B4" s="86" t="s">
        <v>7</v>
      </c>
      <c r="C4" s="86" t="s">
        <v>3290</v>
      </c>
      <c r="D4" s="87" t="s">
        <v>3291</v>
      </c>
      <c r="E4" s="86" t="s">
        <v>9</v>
      </c>
      <c r="F4" s="450"/>
      <c r="G4" s="451"/>
    </row>
    <row r="5" spans="1:7">
      <c r="A5" s="88">
        <v>1</v>
      </c>
      <c r="B5" s="89" t="s">
        <v>3292</v>
      </c>
      <c r="C5" s="89" t="s">
        <v>3293</v>
      </c>
      <c r="D5" s="90" t="s">
        <v>3294</v>
      </c>
      <c r="E5" s="88" t="s">
        <v>14</v>
      </c>
      <c r="F5" s="88">
        <v>3</v>
      </c>
      <c r="G5" s="88"/>
    </row>
    <row r="6" spans="1:7">
      <c r="A6" s="13">
        <v>2</v>
      </c>
      <c r="B6" s="13" t="s">
        <v>3295</v>
      </c>
      <c r="C6" s="13" t="s">
        <v>3296</v>
      </c>
      <c r="D6" s="6" t="s">
        <v>3297</v>
      </c>
      <c r="E6" s="13" t="s">
        <v>14</v>
      </c>
      <c r="F6" s="13">
        <v>1</v>
      </c>
      <c r="G6" s="88"/>
    </row>
    <row r="7" spans="1:7">
      <c r="A7" s="13">
        <v>3</v>
      </c>
      <c r="B7" s="13" t="s">
        <v>3298</v>
      </c>
      <c r="C7" s="13" t="s">
        <v>3299</v>
      </c>
      <c r="D7" s="6" t="s">
        <v>3300</v>
      </c>
      <c r="E7" s="13" t="s">
        <v>14</v>
      </c>
      <c r="F7" s="13">
        <v>1</v>
      </c>
      <c r="G7" s="88"/>
    </row>
    <row r="8" spans="1:7">
      <c r="A8" s="13">
        <v>4</v>
      </c>
      <c r="B8" s="13" t="s">
        <v>3301</v>
      </c>
      <c r="C8" s="13" t="s">
        <v>3302</v>
      </c>
      <c r="D8" s="6" t="s">
        <v>3303</v>
      </c>
      <c r="E8" s="13" t="s">
        <v>14</v>
      </c>
      <c r="F8" s="13">
        <v>1</v>
      </c>
      <c r="G8" s="88"/>
    </row>
    <row r="9" spans="1:7">
      <c r="A9" s="13">
        <v>5</v>
      </c>
      <c r="B9" s="13" t="s">
        <v>3304</v>
      </c>
      <c r="C9" s="13" t="s">
        <v>3305</v>
      </c>
      <c r="D9" s="6" t="s">
        <v>3306</v>
      </c>
      <c r="E9" s="13" t="s">
        <v>14</v>
      </c>
      <c r="F9" s="13">
        <v>1</v>
      </c>
      <c r="G9" s="88"/>
    </row>
    <row r="10" spans="1:7">
      <c r="A10" s="13">
        <v>6</v>
      </c>
      <c r="B10" s="13" t="s">
        <v>3307</v>
      </c>
      <c r="C10" s="13" t="s">
        <v>3308</v>
      </c>
      <c r="D10" s="21" t="s">
        <v>3309</v>
      </c>
      <c r="E10" s="91" t="s">
        <v>21</v>
      </c>
      <c r="F10" s="13">
        <v>3</v>
      </c>
      <c r="G10" s="88"/>
    </row>
    <row r="11" spans="1:7">
      <c r="A11" s="13">
        <v>7</v>
      </c>
      <c r="B11" s="13" t="s">
        <v>3310</v>
      </c>
      <c r="C11" s="13" t="s">
        <v>3311</v>
      </c>
      <c r="D11" s="21" t="s">
        <v>3312</v>
      </c>
      <c r="E11" s="91" t="s">
        <v>21</v>
      </c>
      <c r="F11" s="13">
        <v>3</v>
      </c>
      <c r="G11" s="88"/>
    </row>
    <row r="12" spans="1:7">
      <c r="A12" s="13">
        <v>8</v>
      </c>
      <c r="B12" s="13" t="s">
        <v>3313</v>
      </c>
      <c r="C12" s="13" t="s">
        <v>3314</v>
      </c>
      <c r="D12" s="21" t="s">
        <v>3315</v>
      </c>
      <c r="E12" s="91" t="s">
        <v>21</v>
      </c>
      <c r="F12" s="13">
        <v>10</v>
      </c>
      <c r="G12" s="88"/>
    </row>
    <row r="13" spans="1:7">
      <c r="A13" s="13">
        <v>9</v>
      </c>
      <c r="B13" s="13" t="s">
        <v>3316</v>
      </c>
      <c r="C13" s="13" t="s">
        <v>3317</v>
      </c>
      <c r="D13" s="21" t="s">
        <v>3318</v>
      </c>
      <c r="E13" s="91" t="s">
        <v>21</v>
      </c>
      <c r="F13" s="13">
        <v>5</v>
      </c>
      <c r="G13" s="88"/>
    </row>
    <row r="14" spans="1:7">
      <c r="A14" s="13">
        <v>10</v>
      </c>
      <c r="B14" s="13" t="s">
        <v>3319</v>
      </c>
      <c r="C14" s="13" t="s">
        <v>3320</v>
      </c>
      <c r="D14" s="21" t="s">
        <v>3321</v>
      </c>
      <c r="E14" s="91" t="s">
        <v>21</v>
      </c>
      <c r="F14" s="13">
        <v>5</v>
      </c>
      <c r="G14" s="88"/>
    </row>
    <row r="15" spans="1:7">
      <c r="A15" s="13">
        <v>11</v>
      </c>
      <c r="B15" s="13" t="s">
        <v>3322</v>
      </c>
      <c r="C15" s="13" t="s">
        <v>3323</v>
      </c>
      <c r="D15" s="21" t="s">
        <v>3324</v>
      </c>
      <c r="E15" s="91" t="s">
        <v>21</v>
      </c>
      <c r="F15" s="13">
        <v>5</v>
      </c>
      <c r="G15" s="88" t="s">
        <v>3325</v>
      </c>
    </row>
    <row r="16" spans="1:7">
      <c r="A16" s="13">
        <v>12</v>
      </c>
      <c r="B16" s="13" t="s">
        <v>3326</v>
      </c>
      <c r="C16" s="13" t="s">
        <v>3327</v>
      </c>
      <c r="D16" s="21" t="s">
        <v>3328</v>
      </c>
      <c r="E16" s="91" t="s">
        <v>21</v>
      </c>
      <c r="F16" s="13">
        <v>5</v>
      </c>
      <c r="G16" s="88"/>
    </row>
    <row r="17" spans="1:7">
      <c r="A17" s="13">
        <v>13</v>
      </c>
      <c r="B17" s="13" t="s">
        <v>3329</v>
      </c>
      <c r="C17" s="82" t="s">
        <v>3330</v>
      </c>
      <c r="D17" s="21" t="s">
        <v>3331</v>
      </c>
      <c r="E17" s="91" t="s">
        <v>21</v>
      </c>
      <c r="F17" s="13">
        <v>1</v>
      </c>
      <c r="G17" s="88"/>
    </row>
    <row r="18" spans="1:7">
      <c r="A18" s="13">
        <v>14</v>
      </c>
      <c r="B18" s="13" t="s">
        <v>3332</v>
      </c>
      <c r="C18" s="13" t="s">
        <v>3333</v>
      </c>
      <c r="D18" s="21" t="s">
        <v>3334</v>
      </c>
      <c r="E18" s="91" t="s">
        <v>21</v>
      </c>
      <c r="F18" s="13">
        <v>1</v>
      </c>
      <c r="G18" s="88"/>
    </row>
    <row r="19" spans="1:7">
      <c r="A19" s="13">
        <v>15</v>
      </c>
      <c r="B19" s="13" t="s">
        <v>3335</v>
      </c>
      <c r="C19" s="13" t="s">
        <v>3336</v>
      </c>
      <c r="D19" s="21" t="s">
        <v>3337</v>
      </c>
      <c r="E19" s="91" t="s">
        <v>21</v>
      </c>
      <c r="F19" s="13">
        <v>3</v>
      </c>
      <c r="G19" s="88"/>
    </row>
    <row r="20" spans="1:7">
      <c r="A20" s="13"/>
      <c r="B20" s="13"/>
      <c r="C20" s="13"/>
      <c r="D20" s="21"/>
      <c r="E20" s="13"/>
      <c r="F20" s="13"/>
      <c r="G20" s="13"/>
    </row>
  </sheetData>
  <autoFilter ref="A4:G19"/>
  <mergeCells count="5">
    <mergeCell ref="A1:G1"/>
    <mergeCell ref="B3:E3"/>
    <mergeCell ref="A3:A4"/>
    <mergeCell ref="F3:F4"/>
    <mergeCell ref="G3:G4"/>
  </mergeCells>
  <pageMargins left="0.7" right="0.7" top="0.75" bottom="0.75" header="0.3" footer="0.3"/>
  <pageSetup paperSize="9" orientation="portrait" horizontalDpi="360" verticalDpi="3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4"/>
  <sheetViews>
    <sheetView topLeftCell="A4" workbookViewId="0">
      <selection activeCell="B1" sqref="B1"/>
    </sheetView>
  </sheetViews>
  <sheetFormatPr defaultColWidth="9" defaultRowHeight="15"/>
  <cols>
    <col min="2" max="2" width="43.28515625" customWidth="1"/>
    <col min="3" max="3" width="44.7109375" customWidth="1"/>
    <col min="5" max="5" width="28.140625" customWidth="1"/>
    <col min="6" max="6" width="22" customWidth="1"/>
    <col min="7" max="7" width="9" style="67"/>
  </cols>
  <sheetData>
    <row r="2" spans="2:7">
      <c r="B2" s="68" t="s">
        <v>3338</v>
      </c>
      <c r="E2" s="452" t="s">
        <v>3339</v>
      </c>
      <c r="F2" s="453"/>
      <c r="G2" s="454"/>
    </row>
    <row r="3" spans="2:7">
      <c r="B3" s="69" t="s">
        <v>3340</v>
      </c>
      <c r="C3" s="70" t="s">
        <v>3341</v>
      </c>
      <c r="E3" s="71" t="s">
        <v>2</v>
      </c>
      <c r="F3" s="72" t="s">
        <v>3342</v>
      </c>
      <c r="G3" s="73" t="s">
        <v>3343</v>
      </c>
    </row>
    <row r="4" spans="2:7" ht="15" customHeight="1">
      <c r="B4" s="69"/>
      <c r="C4" s="70" t="s">
        <v>3344</v>
      </c>
      <c r="E4" s="74" t="s">
        <v>3345</v>
      </c>
      <c r="F4" s="75" t="s">
        <v>3346</v>
      </c>
      <c r="G4" s="74" t="s">
        <v>3347</v>
      </c>
    </row>
    <row r="5" spans="2:7">
      <c r="B5" s="76" t="s">
        <v>3348</v>
      </c>
      <c r="C5" s="77" t="s">
        <v>3341</v>
      </c>
      <c r="E5" s="78" t="s">
        <v>3349</v>
      </c>
      <c r="F5" s="21" t="s">
        <v>3350</v>
      </c>
      <c r="G5" s="78" t="s">
        <v>3351</v>
      </c>
    </row>
    <row r="6" spans="2:7">
      <c r="B6" s="76"/>
      <c r="C6" s="77" t="s">
        <v>3352</v>
      </c>
      <c r="E6" s="78" t="s">
        <v>3353</v>
      </c>
      <c r="F6" s="21" t="s">
        <v>3354</v>
      </c>
      <c r="G6" s="78" t="s">
        <v>3355</v>
      </c>
    </row>
    <row r="7" spans="2:7">
      <c r="B7" s="76"/>
      <c r="C7" s="77" t="s">
        <v>3356</v>
      </c>
      <c r="E7" s="455" t="s">
        <v>3357</v>
      </c>
      <c r="F7" s="21" t="s">
        <v>3358</v>
      </c>
      <c r="G7" s="78" t="s">
        <v>3359</v>
      </c>
    </row>
    <row r="8" spans="2:7">
      <c r="B8" s="79" t="s">
        <v>3360</v>
      </c>
      <c r="C8" s="70" t="s">
        <v>3361</v>
      </c>
      <c r="E8" s="455"/>
      <c r="F8" s="21" t="s">
        <v>3362</v>
      </c>
      <c r="G8" s="78" t="s">
        <v>3363</v>
      </c>
    </row>
    <row r="9" spans="2:7">
      <c r="B9" s="79"/>
      <c r="C9" s="70" t="s">
        <v>3364</v>
      </c>
      <c r="E9" s="455" t="s">
        <v>3365</v>
      </c>
      <c r="F9" s="21" t="s">
        <v>3366</v>
      </c>
      <c r="G9" s="78" t="s">
        <v>3367</v>
      </c>
    </row>
    <row r="10" spans="2:7">
      <c r="B10" s="79"/>
      <c r="C10" s="80" t="s">
        <v>3344</v>
      </c>
      <c r="E10" s="455"/>
      <c r="F10" s="21" t="s">
        <v>3368</v>
      </c>
      <c r="G10" s="78" t="s">
        <v>3367</v>
      </c>
    </row>
    <row r="11" spans="2:7">
      <c r="B11" s="76" t="s">
        <v>3369</v>
      </c>
      <c r="C11" s="77" t="s">
        <v>3341</v>
      </c>
      <c r="E11" s="78" t="s">
        <v>3370</v>
      </c>
      <c r="F11" s="21" t="s">
        <v>3371</v>
      </c>
      <c r="G11" s="78" t="s">
        <v>3372</v>
      </c>
    </row>
    <row r="12" spans="2:7">
      <c r="B12" s="79" t="s">
        <v>3373</v>
      </c>
      <c r="C12" s="70" t="s">
        <v>3374</v>
      </c>
      <c r="E12" s="455" t="s">
        <v>3375</v>
      </c>
      <c r="F12" s="21" t="s">
        <v>3376</v>
      </c>
      <c r="G12" s="78" t="s">
        <v>3377</v>
      </c>
    </row>
    <row r="13" spans="2:7">
      <c r="B13" s="79"/>
      <c r="C13" s="80" t="s">
        <v>451</v>
      </c>
      <c r="E13" s="455"/>
      <c r="F13" s="21" t="s">
        <v>3378</v>
      </c>
      <c r="G13" s="78" t="s">
        <v>3379</v>
      </c>
    </row>
    <row r="14" spans="2:7">
      <c r="B14" s="79"/>
      <c r="C14" s="70" t="s">
        <v>453</v>
      </c>
      <c r="E14" s="455"/>
      <c r="F14" s="21" t="s">
        <v>3380</v>
      </c>
      <c r="G14" s="78" t="s">
        <v>3381</v>
      </c>
    </row>
    <row r="15" spans="2:7">
      <c r="B15" s="79"/>
      <c r="C15" s="70" t="s">
        <v>455</v>
      </c>
      <c r="E15" s="455" t="s">
        <v>3382</v>
      </c>
      <c r="F15" s="21" t="s">
        <v>3376</v>
      </c>
      <c r="G15" s="78" t="s">
        <v>3383</v>
      </c>
    </row>
    <row r="16" spans="2:7">
      <c r="B16" s="79"/>
      <c r="C16" s="70" t="s">
        <v>457</v>
      </c>
      <c r="E16" s="455"/>
      <c r="F16" s="21" t="s">
        <v>3378</v>
      </c>
      <c r="G16" s="78" t="s">
        <v>3384</v>
      </c>
    </row>
    <row r="17" spans="2:7">
      <c r="B17" s="79"/>
      <c r="C17" s="70" t="s">
        <v>459</v>
      </c>
      <c r="E17" s="455"/>
      <c r="F17" s="21" t="s">
        <v>3380</v>
      </c>
      <c r="G17" s="78" t="s">
        <v>3385</v>
      </c>
    </row>
    <row r="18" spans="2:7">
      <c r="B18" s="79"/>
      <c r="C18" s="70" t="s">
        <v>774</v>
      </c>
      <c r="E18" s="78" t="s">
        <v>3386</v>
      </c>
      <c r="F18" s="21" t="s">
        <v>3387</v>
      </c>
      <c r="G18" s="78" t="s">
        <v>3388</v>
      </c>
    </row>
    <row r="19" spans="2:7">
      <c r="B19" s="79"/>
      <c r="C19" s="70" t="s">
        <v>3389</v>
      </c>
      <c r="E19" s="78" t="s">
        <v>3390</v>
      </c>
      <c r="F19" s="21" t="s">
        <v>3391</v>
      </c>
      <c r="G19" s="78" t="s">
        <v>3392</v>
      </c>
    </row>
    <row r="20" spans="2:7" ht="30">
      <c r="B20" s="79"/>
      <c r="C20" s="80" t="s">
        <v>3393</v>
      </c>
      <c r="E20" s="21" t="s">
        <v>3394</v>
      </c>
      <c r="F20" s="21" t="s">
        <v>3395</v>
      </c>
      <c r="G20" s="78">
        <v>0</v>
      </c>
    </row>
    <row r="21" spans="2:7">
      <c r="B21" s="76" t="s">
        <v>3396</v>
      </c>
      <c r="C21" s="76" t="s">
        <v>3397</v>
      </c>
      <c r="E21" s="21" t="s">
        <v>3398</v>
      </c>
      <c r="F21" s="21" t="s">
        <v>3399</v>
      </c>
      <c r="G21" s="78">
        <v>0</v>
      </c>
    </row>
    <row r="22" spans="2:7">
      <c r="B22" s="79" t="s">
        <v>3400</v>
      </c>
      <c r="C22" s="79" t="s">
        <v>3401</v>
      </c>
      <c r="E22" s="21" t="s">
        <v>3402</v>
      </c>
      <c r="F22" s="21" t="s">
        <v>3403</v>
      </c>
      <c r="G22" s="78">
        <v>0</v>
      </c>
    </row>
    <row r="23" spans="2:7">
      <c r="B23" s="79"/>
      <c r="C23" s="81" t="s">
        <v>411</v>
      </c>
      <c r="E23" s="21" t="s">
        <v>3404</v>
      </c>
      <c r="F23" s="21" t="s">
        <v>3405</v>
      </c>
      <c r="G23" s="78">
        <v>0</v>
      </c>
    </row>
    <row r="24" spans="2:7">
      <c r="B24" s="79"/>
      <c r="C24" s="81" t="s">
        <v>413</v>
      </c>
    </row>
  </sheetData>
  <mergeCells count="5">
    <mergeCell ref="E2:G2"/>
    <mergeCell ref="E7:E8"/>
    <mergeCell ref="E9:E10"/>
    <mergeCell ref="E12:E14"/>
    <mergeCell ref="E15:E17"/>
  </mergeCells>
  <pageMargins left="0.7" right="0.7" top="0.75" bottom="0.75" header="0.3" footer="0.3"/>
  <pageSetup orientation="portrait" horizontalDpi="360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I15" sqref="I15"/>
    </sheetView>
  </sheetViews>
  <sheetFormatPr defaultColWidth="9.140625" defaultRowHeight="15"/>
  <cols>
    <col min="1" max="1" width="5.7109375" customWidth="1"/>
    <col min="2" max="2" width="13" customWidth="1"/>
    <col min="3" max="3" width="31.5703125" customWidth="1"/>
    <col min="4" max="4" width="6.7109375" customWidth="1"/>
    <col min="5" max="5" width="40.28515625" customWidth="1"/>
    <col min="6" max="6" width="9.140625" style="65"/>
  </cols>
  <sheetData>
    <row r="1" spans="1:6">
      <c r="A1" s="456" t="s">
        <v>1</v>
      </c>
      <c r="B1" s="456" t="s">
        <v>2</v>
      </c>
      <c r="C1" s="457"/>
      <c r="D1" s="456"/>
      <c r="E1" s="2" t="s">
        <v>3521</v>
      </c>
      <c r="F1" s="2" t="s">
        <v>3406</v>
      </c>
    </row>
    <row r="2" spans="1:6">
      <c r="A2" s="456"/>
      <c r="B2" s="1" t="s">
        <v>7</v>
      </c>
      <c r="C2" s="66" t="s">
        <v>3291</v>
      </c>
      <c r="D2" s="1" t="s">
        <v>9</v>
      </c>
      <c r="E2" s="2" t="s">
        <v>3407</v>
      </c>
      <c r="F2" s="2" t="s">
        <v>3408</v>
      </c>
    </row>
    <row r="3" spans="1:6" ht="15" customHeight="1">
      <c r="A3" s="3">
        <v>212</v>
      </c>
      <c r="B3" s="3" t="s">
        <v>436</v>
      </c>
      <c r="C3" s="17" t="s">
        <v>437</v>
      </c>
      <c r="D3" s="3" t="s">
        <v>21</v>
      </c>
      <c r="E3" s="14"/>
      <c r="F3" s="7">
        <v>144</v>
      </c>
    </row>
    <row r="4" spans="1:6" ht="15" customHeight="1">
      <c r="A4" s="3">
        <v>213</v>
      </c>
      <c r="B4" s="3" t="s">
        <v>438</v>
      </c>
      <c r="C4" s="17" t="s">
        <v>439</v>
      </c>
      <c r="D4" s="3" t="s">
        <v>21</v>
      </c>
      <c r="E4" s="14"/>
      <c r="F4" s="7">
        <v>144</v>
      </c>
    </row>
    <row r="5" spans="1:6" ht="15" customHeight="1">
      <c r="A5" s="3">
        <v>214</v>
      </c>
      <c r="B5" s="3" t="s">
        <v>440</v>
      </c>
      <c r="C5" s="17" t="s">
        <v>441</v>
      </c>
      <c r="D5" s="3" t="s">
        <v>21</v>
      </c>
      <c r="E5" s="14"/>
      <c r="F5" s="7">
        <v>144</v>
      </c>
    </row>
    <row r="6" spans="1:6" ht="15" customHeight="1">
      <c r="A6" s="3">
        <v>215</v>
      </c>
      <c r="B6" s="3" t="s">
        <v>442</v>
      </c>
      <c r="C6" s="17" t="s">
        <v>443</v>
      </c>
      <c r="D6" s="3" t="s">
        <v>21</v>
      </c>
      <c r="E6" s="14"/>
      <c r="F6" s="7">
        <v>144</v>
      </c>
    </row>
    <row r="7" spans="1:6" ht="15" customHeight="1">
      <c r="A7" s="3">
        <v>216</v>
      </c>
      <c r="B7" s="3" t="s">
        <v>444</v>
      </c>
      <c r="C7" s="17" t="s">
        <v>445</v>
      </c>
      <c r="D7" s="3" t="s">
        <v>21</v>
      </c>
      <c r="E7" s="14"/>
      <c r="F7" s="7">
        <v>144</v>
      </c>
    </row>
    <row r="8" spans="1:6" ht="15" customHeight="1">
      <c r="A8" s="3">
        <v>217</v>
      </c>
      <c r="B8" s="3" t="s">
        <v>446</v>
      </c>
      <c r="C8" s="17" t="s">
        <v>447</v>
      </c>
      <c r="D8" s="3" t="s">
        <v>21</v>
      </c>
      <c r="E8" s="14"/>
      <c r="F8" s="7">
        <v>144</v>
      </c>
    </row>
    <row r="9" spans="1:6" ht="15" customHeight="1">
      <c r="A9" s="3">
        <v>218</v>
      </c>
      <c r="B9" s="3" t="s">
        <v>448</v>
      </c>
      <c r="C9" s="17" t="s">
        <v>449</v>
      </c>
      <c r="D9" s="3" t="s">
        <v>21</v>
      </c>
      <c r="E9" s="14"/>
      <c r="F9" s="7">
        <v>144</v>
      </c>
    </row>
    <row r="10" spans="1:6" ht="15" customHeight="1">
      <c r="A10" s="3">
        <v>276</v>
      </c>
      <c r="B10" s="3" t="s">
        <v>564</v>
      </c>
      <c r="C10" s="17" t="s">
        <v>565</v>
      </c>
      <c r="D10" s="3" t="s">
        <v>21</v>
      </c>
      <c r="E10" s="14"/>
      <c r="F10" s="7">
        <v>144</v>
      </c>
    </row>
    <row r="11" spans="1:6" ht="15" customHeight="1">
      <c r="A11" s="3">
        <v>277</v>
      </c>
      <c r="B11" s="3" t="s">
        <v>566</v>
      </c>
      <c r="C11" s="17" t="s">
        <v>567</v>
      </c>
      <c r="D11" s="3" t="s">
        <v>21</v>
      </c>
      <c r="E11" s="14"/>
      <c r="F11" s="7">
        <v>144</v>
      </c>
    </row>
    <row r="12" spans="1:6" ht="15" customHeight="1">
      <c r="A12" s="3">
        <v>278</v>
      </c>
      <c r="B12" s="3" t="s">
        <v>568</v>
      </c>
      <c r="C12" s="17" t="s">
        <v>569</v>
      </c>
      <c r="D12" s="3" t="s">
        <v>21</v>
      </c>
      <c r="E12" s="14"/>
      <c r="F12" s="7">
        <v>144</v>
      </c>
    </row>
    <row r="13" spans="1:6" ht="15" customHeight="1">
      <c r="A13" s="3">
        <v>279</v>
      </c>
      <c r="B13" s="3" t="s">
        <v>570</v>
      </c>
      <c r="C13" s="17" t="s">
        <v>571</v>
      </c>
      <c r="D13" s="3" t="s">
        <v>21</v>
      </c>
      <c r="E13" s="14"/>
      <c r="F13" s="7">
        <v>144</v>
      </c>
    </row>
    <row r="14" spans="1:6" ht="15" customHeight="1">
      <c r="A14" s="3">
        <v>280</v>
      </c>
      <c r="B14" s="3" t="s">
        <v>572</v>
      </c>
      <c r="C14" s="17" t="s">
        <v>573</v>
      </c>
      <c r="D14" s="3" t="s">
        <v>21</v>
      </c>
      <c r="E14" s="14"/>
      <c r="F14" s="7">
        <v>144</v>
      </c>
    </row>
    <row r="15" spans="1:6" ht="15" customHeight="1">
      <c r="A15" s="3">
        <v>281</v>
      </c>
      <c r="B15" s="3" t="s">
        <v>574</v>
      </c>
      <c r="C15" s="17" t="s">
        <v>575</v>
      </c>
      <c r="D15" s="3" t="s">
        <v>21</v>
      </c>
      <c r="E15" s="14"/>
      <c r="F15" s="7">
        <v>144</v>
      </c>
    </row>
    <row r="16" spans="1:6" ht="15" customHeight="1">
      <c r="A16" s="3">
        <v>282</v>
      </c>
      <c r="B16" s="3" t="s">
        <v>576</v>
      </c>
      <c r="C16" s="17" t="s">
        <v>577</v>
      </c>
      <c r="D16" s="3" t="s">
        <v>21</v>
      </c>
      <c r="E16" s="14"/>
      <c r="F16" s="7">
        <v>144</v>
      </c>
    </row>
    <row r="17" spans="1:6" ht="15" customHeight="1">
      <c r="A17" s="3">
        <v>283</v>
      </c>
      <c r="B17" s="3" t="s">
        <v>578</v>
      </c>
      <c r="C17" s="17" t="s">
        <v>579</v>
      </c>
      <c r="D17" s="3" t="s">
        <v>21</v>
      </c>
      <c r="E17" s="14"/>
      <c r="F17" s="7">
        <v>144</v>
      </c>
    </row>
    <row r="18" spans="1:6" ht="15" customHeight="1">
      <c r="A18" s="3">
        <v>284</v>
      </c>
      <c r="B18" s="3" t="s">
        <v>580</v>
      </c>
      <c r="C18" s="17" t="s">
        <v>581</v>
      </c>
      <c r="D18" s="3" t="s">
        <v>21</v>
      </c>
      <c r="E18" s="14"/>
      <c r="F18" s="7">
        <v>144</v>
      </c>
    </row>
    <row r="19" spans="1:6" ht="15" customHeight="1">
      <c r="A19" s="3">
        <v>285</v>
      </c>
      <c r="B19" s="3" t="s">
        <v>582</v>
      </c>
      <c r="C19" s="17" t="s">
        <v>583</v>
      </c>
      <c r="D19" s="3" t="s">
        <v>21</v>
      </c>
      <c r="E19" s="14"/>
      <c r="F19" s="7">
        <v>144</v>
      </c>
    </row>
    <row r="20" spans="1:6" ht="15" customHeight="1">
      <c r="A20" s="3">
        <v>309</v>
      </c>
      <c r="B20" s="3" t="s">
        <v>630</v>
      </c>
      <c r="C20" s="17" t="s">
        <v>631</v>
      </c>
      <c r="D20" s="3" t="s">
        <v>21</v>
      </c>
      <c r="E20" s="14"/>
      <c r="F20" s="7">
        <v>144</v>
      </c>
    </row>
    <row r="21" spans="1:6" ht="15" customHeight="1">
      <c r="A21" s="3">
        <v>310</v>
      </c>
      <c r="B21" s="3" t="s">
        <v>632</v>
      </c>
      <c r="C21" s="17" t="s">
        <v>633</v>
      </c>
      <c r="D21" s="3" t="s">
        <v>21</v>
      </c>
      <c r="E21" s="14"/>
      <c r="F21" s="7">
        <v>144</v>
      </c>
    </row>
    <row r="22" spans="1:6" ht="15" customHeight="1">
      <c r="A22" s="3">
        <v>672</v>
      </c>
      <c r="B22" s="3" t="s">
        <v>1349</v>
      </c>
      <c r="C22" s="17" t="s">
        <v>1350</v>
      </c>
      <c r="D22" s="3" t="s">
        <v>21</v>
      </c>
      <c r="E22" s="14"/>
      <c r="F22" s="7">
        <v>144</v>
      </c>
    </row>
    <row r="23" spans="1:6" ht="15" customHeight="1">
      <c r="A23" s="3">
        <v>219</v>
      </c>
      <c r="B23" s="3" t="s">
        <v>450</v>
      </c>
      <c r="C23" s="17" t="s">
        <v>451</v>
      </c>
      <c r="D23" s="3" t="s">
        <v>21</v>
      </c>
      <c r="E23" s="14"/>
      <c r="F23" s="7">
        <v>36</v>
      </c>
    </row>
    <row r="24" spans="1:6" ht="15" customHeight="1">
      <c r="A24" s="3">
        <v>220</v>
      </c>
      <c r="B24" s="3" t="s">
        <v>452</v>
      </c>
      <c r="C24" s="17" t="s">
        <v>453</v>
      </c>
      <c r="D24" s="3" t="s">
        <v>21</v>
      </c>
      <c r="E24" s="14"/>
      <c r="F24" s="7">
        <v>36</v>
      </c>
    </row>
    <row r="25" spans="1:6" ht="15" customHeight="1">
      <c r="A25" s="3">
        <v>221</v>
      </c>
      <c r="B25" s="3" t="s">
        <v>454</v>
      </c>
      <c r="C25" s="17" t="s">
        <v>455</v>
      </c>
      <c r="D25" s="3" t="s">
        <v>21</v>
      </c>
      <c r="E25" s="14"/>
      <c r="F25" s="7">
        <v>36</v>
      </c>
    </row>
    <row r="26" spans="1:6" ht="15" customHeight="1">
      <c r="A26" s="3">
        <v>222</v>
      </c>
      <c r="B26" s="3" t="s">
        <v>456</v>
      </c>
      <c r="C26" s="17" t="s">
        <v>457</v>
      </c>
      <c r="D26" s="3" t="s">
        <v>21</v>
      </c>
      <c r="E26" s="14"/>
      <c r="F26" s="7">
        <v>36</v>
      </c>
    </row>
    <row r="27" spans="1:6" ht="15" customHeight="1">
      <c r="A27" s="3">
        <v>223</v>
      </c>
      <c r="B27" s="3" t="s">
        <v>458</v>
      </c>
      <c r="C27" s="17" t="s">
        <v>459</v>
      </c>
      <c r="D27" s="3" t="s">
        <v>21</v>
      </c>
      <c r="E27" s="14"/>
      <c r="F27" s="7">
        <v>36</v>
      </c>
    </row>
    <row r="28" spans="1:6" ht="15" customHeight="1">
      <c r="A28" s="3">
        <v>311</v>
      </c>
      <c r="B28" s="3" t="s">
        <v>634</v>
      </c>
      <c r="C28" s="17" t="s">
        <v>635</v>
      </c>
      <c r="D28" s="3" t="s">
        <v>21</v>
      </c>
      <c r="E28" s="14"/>
      <c r="F28" s="7">
        <v>144</v>
      </c>
    </row>
    <row r="29" spans="1:6" ht="15" customHeight="1">
      <c r="A29" s="3">
        <v>375</v>
      </c>
      <c r="B29" s="3" t="s">
        <v>760</v>
      </c>
      <c r="C29" s="17" t="s">
        <v>761</v>
      </c>
      <c r="D29" s="3" t="s">
        <v>21</v>
      </c>
      <c r="E29" s="14"/>
      <c r="F29" s="7">
        <v>36</v>
      </c>
    </row>
    <row r="30" spans="1:6" ht="15" customHeight="1">
      <c r="A30" s="3">
        <v>382</v>
      </c>
      <c r="B30" s="4" t="s">
        <v>773</v>
      </c>
      <c r="C30" s="20" t="s">
        <v>774</v>
      </c>
      <c r="D30" s="3" t="s">
        <v>21</v>
      </c>
      <c r="E30" s="14"/>
      <c r="F30" s="7">
        <v>36</v>
      </c>
    </row>
  </sheetData>
  <mergeCells count="2">
    <mergeCell ref="B1:D1"/>
    <mergeCell ref="A1:A2"/>
  </mergeCells>
  <pageMargins left="0.44861111111111102" right="0.25138888888888899" top="0.75138888888888899" bottom="0.75138888888888899" header="0.29861111111111099" footer="0.29861111111111099"/>
  <pageSetup paperSize="9" scale="1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5"/>
  <sheetViews>
    <sheetView workbookViewId="0">
      <selection activeCell="F3" sqref="F3"/>
    </sheetView>
  </sheetViews>
  <sheetFormatPr defaultColWidth="9.140625" defaultRowHeight="15"/>
  <cols>
    <col min="1" max="1" width="9.140625" customWidth="1"/>
    <col min="2" max="2" width="16.5703125" customWidth="1"/>
    <col min="3" max="3" width="14.42578125" customWidth="1"/>
    <col min="4" max="4" width="19.42578125" customWidth="1"/>
    <col min="5" max="5" width="16.7109375" customWidth="1"/>
    <col min="6" max="6" width="22.42578125" customWidth="1"/>
    <col min="7" max="7" width="10.28515625" customWidth="1"/>
    <col min="8" max="8" width="9.7109375" customWidth="1"/>
    <col min="9" max="9" width="8.85546875" customWidth="1"/>
    <col min="10" max="10" width="17.85546875" customWidth="1"/>
    <col min="11" max="11" width="17.42578125" customWidth="1"/>
    <col min="12" max="12" width="17.5703125" customWidth="1"/>
    <col min="13" max="13" width="9.5703125" customWidth="1"/>
    <col min="14" max="14" width="9.42578125" customWidth="1"/>
  </cols>
  <sheetData>
    <row r="1" spans="1:9" s="55" customFormat="1" ht="15" customHeight="1">
      <c r="A1" s="57"/>
      <c r="B1" s="58" t="s">
        <v>3409</v>
      </c>
      <c r="C1" s="59" t="s">
        <v>3410</v>
      </c>
      <c r="D1" s="60" t="s">
        <v>3349</v>
      </c>
      <c r="E1" s="60" t="s">
        <v>3353</v>
      </c>
      <c r="F1" s="60" t="s">
        <v>3411</v>
      </c>
      <c r="G1" s="60" t="s">
        <v>3365</v>
      </c>
      <c r="H1" s="60" t="s">
        <v>3412</v>
      </c>
      <c r="I1" s="61" t="s">
        <v>3413</v>
      </c>
    </row>
    <row r="2" spans="1:9" s="35" customFormat="1" ht="30" customHeight="1">
      <c r="A2" s="62" t="s">
        <v>3414</v>
      </c>
      <c r="B2" s="62" t="s">
        <v>3415</v>
      </c>
      <c r="C2" s="62" t="s">
        <v>3416</v>
      </c>
      <c r="D2" s="62" t="s">
        <v>3417</v>
      </c>
      <c r="E2" s="62" t="s">
        <v>3418</v>
      </c>
      <c r="F2" s="62" t="s">
        <v>3419</v>
      </c>
      <c r="G2" s="62" t="s">
        <v>3420</v>
      </c>
      <c r="H2" s="62" t="s">
        <v>3421</v>
      </c>
      <c r="I2" s="62" t="s">
        <v>3422</v>
      </c>
    </row>
    <row r="3" spans="1:9" s="35" customFormat="1" ht="30" customHeight="1">
      <c r="A3" s="62" t="s">
        <v>3423</v>
      </c>
      <c r="B3" s="62" t="s">
        <v>3424</v>
      </c>
      <c r="C3" s="62" t="s">
        <v>3416</v>
      </c>
      <c r="D3" s="62" t="s">
        <v>3417</v>
      </c>
      <c r="E3" s="62" t="s">
        <v>3418</v>
      </c>
      <c r="F3" s="62" t="s">
        <v>3419</v>
      </c>
      <c r="G3" s="62" t="s">
        <v>3425</v>
      </c>
      <c r="H3" s="62" t="s">
        <v>3421</v>
      </c>
      <c r="I3" s="62" t="s">
        <v>3422</v>
      </c>
    </row>
    <row r="4" spans="1:9" s="35" customFormat="1" ht="30" customHeight="1">
      <c r="A4" s="62" t="s">
        <v>3426</v>
      </c>
      <c r="B4" s="62" t="s">
        <v>3427</v>
      </c>
      <c r="C4" s="62" t="s">
        <v>3416</v>
      </c>
      <c r="D4" s="62" t="s">
        <v>3417</v>
      </c>
      <c r="E4" s="62" t="s">
        <v>3418</v>
      </c>
      <c r="F4" s="62" t="s">
        <v>3419</v>
      </c>
      <c r="G4" s="62" t="s">
        <v>3428</v>
      </c>
      <c r="H4" s="62" t="s">
        <v>3421</v>
      </c>
      <c r="I4" s="62" t="s">
        <v>3422</v>
      </c>
    </row>
    <row r="5" spans="1:9" s="35" customFormat="1" ht="30" customHeight="1">
      <c r="A5" s="62" t="s">
        <v>3429</v>
      </c>
      <c r="B5" s="62" t="s">
        <v>3430</v>
      </c>
      <c r="C5" s="62" t="s">
        <v>3431</v>
      </c>
      <c r="D5" s="62" t="s">
        <v>3432</v>
      </c>
      <c r="E5" s="62" t="s">
        <v>3433</v>
      </c>
      <c r="F5" s="62" t="s">
        <v>3434</v>
      </c>
      <c r="G5" s="62" t="s">
        <v>3435</v>
      </c>
      <c r="H5" s="62" t="s">
        <v>3436</v>
      </c>
      <c r="I5" s="62" t="s">
        <v>3422</v>
      </c>
    </row>
    <row r="6" spans="1:9" s="56" customFormat="1" ht="30" customHeight="1">
      <c r="A6" s="62" t="s">
        <v>3437</v>
      </c>
      <c r="B6" s="62" t="s">
        <v>3438</v>
      </c>
      <c r="C6" s="62" t="s">
        <v>3439</v>
      </c>
      <c r="D6" s="62" t="s">
        <v>3440</v>
      </c>
      <c r="E6" s="62" t="s">
        <v>3441</v>
      </c>
      <c r="F6" s="62" t="s">
        <v>3442</v>
      </c>
      <c r="G6" s="62" t="s">
        <v>3443</v>
      </c>
      <c r="H6" s="62" t="s">
        <v>3444</v>
      </c>
      <c r="I6" s="62" t="s">
        <v>3422</v>
      </c>
    </row>
    <row r="7" spans="1:9" s="56" customFormat="1" ht="30" customHeight="1">
      <c r="A7" s="62" t="s">
        <v>3445</v>
      </c>
      <c r="B7" s="62" t="s">
        <v>3446</v>
      </c>
      <c r="C7" s="63" t="s">
        <v>3447</v>
      </c>
      <c r="D7" s="62" t="s">
        <v>3448</v>
      </c>
      <c r="E7" s="62" t="s">
        <v>3441</v>
      </c>
      <c r="F7" s="62" t="s">
        <v>3442</v>
      </c>
      <c r="G7" s="62" t="s">
        <v>3443</v>
      </c>
      <c r="H7" s="62" t="s">
        <v>3444</v>
      </c>
      <c r="I7" s="62" t="s">
        <v>3422</v>
      </c>
    </row>
    <row r="9" spans="1:9" ht="25.5">
      <c r="A9" s="57"/>
      <c r="B9" s="58" t="s">
        <v>3409</v>
      </c>
      <c r="C9" s="61" t="s">
        <v>3449</v>
      </c>
      <c r="D9" s="61" t="s">
        <v>3450</v>
      </c>
      <c r="E9" s="61" t="s">
        <v>3451</v>
      </c>
      <c r="F9" s="61" t="s">
        <v>3452</v>
      </c>
      <c r="G9" s="61" t="s">
        <v>3386</v>
      </c>
      <c r="H9" s="64" t="s">
        <v>3343</v>
      </c>
    </row>
    <row r="10" spans="1:9" ht="30" customHeight="1">
      <c r="A10" s="62" t="s">
        <v>3414</v>
      </c>
      <c r="B10" s="62" t="s">
        <v>3415</v>
      </c>
      <c r="C10" s="62" t="s">
        <v>3453</v>
      </c>
      <c r="D10" s="62" t="s">
        <v>3454</v>
      </c>
      <c r="E10" s="62" t="s">
        <v>3455</v>
      </c>
      <c r="F10" s="62" t="s">
        <v>3456</v>
      </c>
      <c r="G10" s="62" t="s">
        <v>3457</v>
      </c>
      <c r="H10" s="7">
        <v>5</v>
      </c>
    </row>
    <row r="11" spans="1:9" ht="30" customHeight="1">
      <c r="A11" s="62" t="s">
        <v>3423</v>
      </c>
      <c r="B11" s="62" t="s">
        <v>3424</v>
      </c>
      <c r="C11" s="62" t="s">
        <v>3453</v>
      </c>
      <c r="D11" s="62" t="s">
        <v>3454</v>
      </c>
      <c r="E11" s="62" t="s">
        <v>3455</v>
      </c>
      <c r="F11" s="62" t="s">
        <v>3456</v>
      </c>
      <c r="G11" s="62" t="s">
        <v>3458</v>
      </c>
      <c r="H11" s="7">
        <v>10</v>
      </c>
    </row>
    <row r="12" spans="1:9" ht="30" customHeight="1">
      <c r="A12" s="62" t="s">
        <v>3426</v>
      </c>
      <c r="B12" s="62" t="s">
        <v>3427</v>
      </c>
      <c r="C12" s="62" t="s">
        <v>3453</v>
      </c>
      <c r="D12" s="62" t="s">
        <v>3454</v>
      </c>
      <c r="E12" s="62" t="s">
        <v>3455</v>
      </c>
      <c r="F12" s="62" t="s">
        <v>3456</v>
      </c>
      <c r="G12" s="62" t="s">
        <v>3459</v>
      </c>
      <c r="H12" s="7">
        <v>10</v>
      </c>
    </row>
    <row r="13" spans="1:9" ht="30" customHeight="1">
      <c r="A13" s="62" t="s">
        <v>3429</v>
      </c>
      <c r="B13" s="62" t="s">
        <v>3430</v>
      </c>
      <c r="C13" s="62" t="s">
        <v>3453</v>
      </c>
      <c r="D13" s="62" t="s">
        <v>3460</v>
      </c>
      <c r="E13" s="62" t="s">
        <v>3460</v>
      </c>
      <c r="F13" s="62" t="s">
        <v>3456</v>
      </c>
      <c r="G13" s="62" t="s">
        <v>3461</v>
      </c>
      <c r="H13" s="7">
        <v>25</v>
      </c>
    </row>
    <row r="14" spans="1:9" ht="30" customHeight="1">
      <c r="A14" s="62" t="s">
        <v>3437</v>
      </c>
      <c r="B14" s="62" t="s">
        <v>3438</v>
      </c>
      <c r="C14" s="62" t="s">
        <v>3453</v>
      </c>
      <c r="D14" s="62" t="s">
        <v>3462</v>
      </c>
      <c r="E14" s="62" t="s">
        <v>3462</v>
      </c>
      <c r="F14" s="62" t="s">
        <v>3456</v>
      </c>
      <c r="G14" s="62" t="s">
        <v>3461</v>
      </c>
      <c r="H14" s="7">
        <v>25</v>
      </c>
    </row>
    <row r="15" spans="1:9" ht="30" customHeight="1">
      <c r="A15" s="62" t="s">
        <v>3445</v>
      </c>
      <c r="B15" s="62" t="s">
        <v>3446</v>
      </c>
      <c r="C15" s="62" t="s">
        <v>3463</v>
      </c>
      <c r="D15" s="62" t="s">
        <v>3462</v>
      </c>
      <c r="E15" s="62" t="s">
        <v>3462</v>
      </c>
      <c r="F15" s="62" t="s">
        <v>3464</v>
      </c>
      <c r="G15" s="62" t="s">
        <v>3461</v>
      </c>
      <c r="H15" s="7">
        <v>10</v>
      </c>
    </row>
  </sheetData>
  <pageMargins left="0.25" right="0.25" top="0.75" bottom="0.75" header="0.29861111111111099" footer="0.29861111111111099"/>
  <pageSetup paperSize="9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view="pageBreakPreview" zoomScaleNormal="100" workbookViewId="0">
      <selection activeCell="J6" sqref="J6"/>
    </sheetView>
  </sheetViews>
  <sheetFormatPr defaultColWidth="9.140625" defaultRowHeight="15"/>
  <cols>
    <col min="1" max="1" width="18.42578125" customWidth="1"/>
    <col min="2" max="2" width="19" customWidth="1"/>
    <col min="3" max="3" width="11.28515625" customWidth="1"/>
    <col min="4" max="4" width="9" customWidth="1"/>
    <col min="5" max="5" width="11.28515625" customWidth="1"/>
    <col min="6" max="6" width="15.42578125" customWidth="1"/>
    <col min="7" max="7" width="52" customWidth="1"/>
    <col min="8" max="8" width="8.42578125" customWidth="1"/>
    <col min="9" max="9" width="18" customWidth="1"/>
    <col min="10" max="10" width="18.42578125" customWidth="1"/>
    <col min="11" max="11" width="16.7109375" customWidth="1"/>
    <col min="12" max="12" width="15.28515625" customWidth="1"/>
    <col min="13" max="13" width="10.140625" customWidth="1"/>
    <col min="14" max="14" width="8" customWidth="1"/>
    <col min="15" max="15" width="10" customWidth="1"/>
  </cols>
  <sheetData>
    <row r="1" spans="1:9" s="35" customFormat="1" ht="30" customHeight="1">
      <c r="A1" s="36"/>
      <c r="B1" s="37" t="s">
        <v>3409</v>
      </c>
      <c r="C1" s="38" t="s">
        <v>3410</v>
      </c>
      <c r="D1" s="39" t="s">
        <v>3349</v>
      </c>
      <c r="E1" s="39" t="s">
        <v>3390</v>
      </c>
      <c r="F1" s="39" t="s">
        <v>3353</v>
      </c>
      <c r="G1" s="39" t="s">
        <v>3411</v>
      </c>
      <c r="H1" s="39" t="s">
        <v>3465</v>
      </c>
    </row>
    <row r="2" spans="1:9" s="35" customFormat="1" ht="30" customHeight="1">
      <c r="A2" s="40" t="s">
        <v>3466</v>
      </c>
      <c r="B2" s="41" t="s">
        <v>3467</v>
      </c>
      <c r="C2" s="41" t="s">
        <v>3468</v>
      </c>
      <c r="D2" s="42" t="s">
        <v>3469</v>
      </c>
      <c r="E2" s="43" t="s">
        <v>3470</v>
      </c>
      <c r="F2" s="43" t="s">
        <v>3471</v>
      </c>
      <c r="G2" s="44" t="s">
        <v>3472</v>
      </c>
      <c r="H2" s="45" t="s">
        <v>3473</v>
      </c>
    </row>
    <row r="3" spans="1:9" s="35" customFormat="1" ht="30" customHeight="1">
      <c r="A3" s="40" t="s">
        <v>3474</v>
      </c>
      <c r="B3" s="46" t="s">
        <v>3475</v>
      </c>
      <c r="C3" s="41" t="s">
        <v>3468</v>
      </c>
      <c r="D3" s="42" t="s">
        <v>3469</v>
      </c>
      <c r="E3" s="43" t="s">
        <v>3470</v>
      </c>
      <c r="F3" s="43" t="s">
        <v>3476</v>
      </c>
      <c r="G3" s="44" t="s">
        <v>3472</v>
      </c>
      <c r="H3" s="45" t="s">
        <v>3473</v>
      </c>
    </row>
    <row r="4" spans="1:9" s="35" customFormat="1" ht="30" customHeight="1">
      <c r="A4" s="40" t="s">
        <v>3477</v>
      </c>
      <c r="B4" s="41" t="s">
        <v>3478</v>
      </c>
      <c r="C4" s="41" t="s">
        <v>3468</v>
      </c>
      <c r="D4" s="42" t="s">
        <v>3469</v>
      </c>
      <c r="E4" s="43" t="s">
        <v>3470</v>
      </c>
      <c r="F4" s="43" t="s">
        <v>3479</v>
      </c>
      <c r="G4" s="44" t="s">
        <v>3472</v>
      </c>
      <c r="H4" s="45" t="s">
        <v>3473</v>
      </c>
    </row>
    <row r="5" spans="1:9" s="35" customFormat="1" ht="30" customHeight="1">
      <c r="A5" s="40" t="s">
        <v>3480</v>
      </c>
      <c r="B5" s="41" t="s">
        <v>3481</v>
      </c>
      <c r="C5" s="41" t="s">
        <v>3468</v>
      </c>
      <c r="D5" s="42" t="s">
        <v>3469</v>
      </c>
      <c r="E5" s="43" t="s">
        <v>3470</v>
      </c>
      <c r="F5" s="43" t="s">
        <v>3482</v>
      </c>
      <c r="G5" s="44" t="s">
        <v>3472</v>
      </c>
      <c r="H5" s="45" t="s">
        <v>3473</v>
      </c>
    </row>
    <row r="6" spans="1:9" s="35" customFormat="1" ht="30" customHeight="1">
      <c r="A6" s="40" t="s">
        <v>3483</v>
      </c>
      <c r="B6" s="41" t="s">
        <v>3484</v>
      </c>
      <c r="C6" s="41" t="s">
        <v>3468</v>
      </c>
      <c r="D6" s="42" t="s">
        <v>3469</v>
      </c>
      <c r="E6" s="43" t="s">
        <v>3470</v>
      </c>
      <c r="F6" s="43" t="s">
        <v>3485</v>
      </c>
      <c r="G6" s="44" t="s">
        <v>3472</v>
      </c>
      <c r="H6" s="45" t="s">
        <v>3473</v>
      </c>
    </row>
    <row r="7" spans="1:9" s="35" customFormat="1" ht="30" customHeight="1">
      <c r="A7" s="40" t="s">
        <v>3486</v>
      </c>
      <c r="B7" s="41" t="s">
        <v>3487</v>
      </c>
      <c r="C7" s="41" t="s">
        <v>3468</v>
      </c>
      <c r="D7" s="42" t="s">
        <v>3469</v>
      </c>
      <c r="E7" s="43" t="s">
        <v>3470</v>
      </c>
      <c r="F7" s="43" t="s">
        <v>3488</v>
      </c>
      <c r="G7" s="44" t="s">
        <v>3472</v>
      </c>
      <c r="H7" s="45" t="s">
        <v>3473</v>
      </c>
    </row>
    <row r="9" spans="1:9" ht="30" customHeight="1">
      <c r="A9" s="36"/>
      <c r="B9" s="37" t="s">
        <v>3409</v>
      </c>
      <c r="C9" s="39" t="s">
        <v>3365</v>
      </c>
      <c r="D9" s="39" t="s">
        <v>3489</v>
      </c>
      <c r="E9" s="47" t="s">
        <v>3413</v>
      </c>
      <c r="F9" s="48" t="s">
        <v>3451</v>
      </c>
      <c r="G9" s="47" t="s">
        <v>3394</v>
      </c>
      <c r="H9" s="47" t="s">
        <v>3490</v>
      </c>
    </row>
    <row r="10" spans="1:9" ht="30" customHeight="1">
      <c r="A10" s="40" t="s">
        <v>3466</v>
      </c>
      <c r="B10" s="41" t="s">
        <v>3467</v>
      </c>
      <c r="C10" s="49" t="s">
        <v>3491</v>
      </c>
      <c r="D10" s="41" t="s">
        <v>3492</v>
      </c>
      <c r="E10" s="45" t="s">
        <v>3493</v>
      </c>
      <c r="F10" s="45" t="s">
        <v>3494</v>
      </c>
      <c r="G10" s="45" t="s">
        <v>3495</v>
      </c>
      <c r="H10" s="49" t="s">
        <v>3461</v>
      </c>
    </row>
    <row r="11" spans="1:9" ht="30" customHeight="1">
      <c r="A11" s="40" t="s">
        <v>3474</v>
      </c>
      <c r="B11" s="46" t="s">
        <v>3475</v>
      </c>
      <c r="C11" s="49" t="s">
        <v>3491</v>
      </c>
      <c r="D11" s="41" t="s">
        <v>3492</v>
      </c>
      <c r="E11" s="45" t="s">
        <v>3493</v>
      </c>
      <c r="F11" s="45" t="s">
        <v>3494</v>
      </c>
      <c r="G11" s="45" t="s">
        <v>3496</v>
      </c>
      <c r="H11" s="49" t="s">
        <v>3461</v>
      </c>
    </row>
    <row r="12" spans="1:9" ht="30" customHeight="1">
      <c r="A12" s="40" t="s">
        <v>3477</v>
      </c>
      <c r="B12" s="41" t="s">
        <v>3478</v>
      </c>
      <c r="C12" s="49" t="s">
        <v>3491</v>
      </c>
      <c r="D12" s="41" t="s">
        <v>3492</v>
      </c>
      <c r="E12" s="45" t="s">
        <v>3493</v>
      </c>
      <c r="F12" s="45" t="s">
        <v>3494</v>
      </c>
      <c r="G12" s="45" t="s">
        <v>3497</v>
      </c>
      <c r="H12" s="49" t="s">
        <v>3461</v>
      </c>
    </row>
    <row r="13" spans="1:9" ht="30" customHeight="1">
      <c r="A13" s="40" t="s">
        <v>3480</v>
      </c>
      <c r="B13" s="41" t="s">
        <v>3481</v>
      </c>
      <c r="C13" s="49" t="s">
        <v>3491</v>
      </c>
      <c r="D13" s="41" t="s">
        <v>3492</v>
      </c>
      <c r="E13" s="45" t="s">
        <v>3493</v>
      </c>
      <c r="F13" s="45" t="s">
        <v>3494</v>
      </c>
      <c r="G13" s="45" t="s">
        <v>3497</v>
      </c>
      <c r="H13" s="49" t="s">
        <v>3461</v>
      </c>
    </row>
    <row r="14" spans="1:9" ht="30" customHeight="1">
      <c r="A14" s="40" t="s">
        <v>3483</v>
      </c>
      <c r="B14" s="41" t="s">
        <v>3484</v>
      </c>
      <c r="C14" s="49" t="s">
        <v>3498</v>
      </c>
      <c r="D14" s="41" t="s">
        <v>3492</v>
      </c>
      <c r="E14" s="45" t="s">
        <v>3493</v>
      </c>
      <c r="F14" s="45" t="s">
        <v>3499</v>
      </c>
      <c r="G14" s="41" t="s">
        <v>3500</v>
      </c>
      <c r="H14" s="49" t="s">
        <v>3501</v>
      </c>
    </row>
    <row r="15" spans="1:9" ht="42" customHeight="1">
      <c r="A15" s="40" t="s">
        <v>3486</v>
      </c>
      <c r="B15" s="41" t="s">
        <v>3487</v>
      </c>
      <c r="C15" s="49" t="s">
        <v>3502</v>
      </c>
      <c r="D15" s="41" t="s">
        <v>3461</v>
      </c>
      <c r="E15" s="45" t="s">
        <v>3493</v>
      </c>
      <c r="F15" s="45" t="s">
        <v>3494</v>
      </c>
      <c r="G15" s="41" t="s">
        <v>3503</v>
      </c>
      <c r="H15" s="49" t="s">
        <v>3461</v>
      </c>
      <c r="I15" s="50"/>
    </row>
    <row r="16" spans="1:9">
      <c r="I16" s="50"/>
    </row>
    <row r="17" spans="1:9">
      <c r="A17" s="36"/>
      <c r="B17" s="37" t="s">
        <v>3409</v>
      </c>
      <c r="C17" s="47" t="s">
        <v>3386</v>
      </c>
      <c r="D17" s="460" t="s">
        <v>3504</v>
      </c>
      <c r="E17" s="460"/>
      <c r="F17" s="47" t="s">
        <v>3452</v>
      </c>
      <c r="G17" s="47" t="s">
        <v>3450</v>
      </c>
      <c r="H17" s="51"/>
      <c r="I17" s="52"/>
    </row>
    <row r="18" spans="1:9" ht="30" customHeight="1">
      <c r="A18" s="40" t="s">
        <v>3466</v>
      </c>
      <c r="B18" s="41" t="s">
        <v>3467</v>
      </c>
      <c r="C18" s="49" t="s">
        <v>3459</v>
      </c>
      <c r="D18" s="458" t="s">
        <v>3461</v>
      </c>
      <c r="E18" s="458"/>
      <c r="F18" s="49" t="s">
        <v>3505</v>
      </c>
      <c r="G18" s="44" t="s">
        <v>3506</v>
      </c>
      <c r="H18" s="53"/>
      <c r="I18" s="54"/>
    </row>
    <row r="19" spans="1:9" ht="30" customHeight="1">
      <c r="A19" s="40" t="s">
        <v>3474</v>
      </c>
      <c r="B19" s="46" t="s">
        <v>3475</v>
      </c>
      <c r="C19" s="49" t="s">
        <v>3459</v>
      </c>
      <c r="D19" s="458" t="s">
        <v>3461</v>
      </c>
      <c r="E19" s="458"/>
      <c r="F19" s="49" t="s">
        <v>3505</v>
      </c>
      <c r="G19" s="44" t="s">
        <v>3506</v>
      </c>
      <c r="H19" s="53"/>
      <c r="I19" s="54"/>
    </row>
    <row r="20" spans="1:9" ht="30" customHeight="1">
      <c r="A20" s="40" t="s">
        <v>3477</v>
      </c>
      <c r="B20" s="41" t="s">
        <v>3478</v>
      </c>
      <c r="C20" s="49" t="s">
        <v>3459</v>
      </c>
      <c r="D20" s="458" t="s">
        <v>3461</v>
      </c>
      <c r="E20" s="458"/>
      <c r="F20" s="49" t="s">
        <v>3505</v>
      </c>
      <c r="G20" s="49" t="s">
        <v>3461</v>
      </c>
      <c r="H20" s="53"/>
      <c r="I20" s="54"/>
    </row>
    <row r="21" spans="1:9" ht="30" customHeight="1">
      <c r="A21" s="40" t="s">
        <v>3480</v>
      </c>
      <c r="B21" s="41" t="s">
        <v>3481</v>
      </c>
      <c r="C21" s="49" t="s">
        <v>3459</v>
      </c>
      <c r="D21" s="458" t="s">
        <v>3461</v>
      </c>
      <c r="E21" s="458"/>
      <c r="F21" s="49" t="s">
        <v>3505</v>
      </c>
      <c r="G21" s="49" t="s">
        <v>3461</v>
      </c>
      <c r="H21" s="53"/>
      <c r="I21" s="54"/>
    </row>
    <row r="22" spans="1:9" ht="30" customHeight="1">
      <c r="A22" s="40" t="s">
        <v>3483</v>
      </c>
      <c r="B22" s="41" t="s">
        <v>3484</v>
      </c>
      <c r="C22" s="49" t="s">
        <v>3459</v>
      </c>
      <c r="D22" s="458" t="s">
        <v>3461</v>
      </c>
      <c r="E22" s="458"/>
      <c r="F22" s="49" t="s">
        <v>3507</v>
      </c>
      <c r="G22" s="44" t="s">
        <v>3508</v>
      </c>
      <c r="H22" s="53"/>
      <c r="I22" s="54"/>
    </row>
    <row r="23" spans="1:9" ht="30" customHeight="1">
      <c r="A23" s="40" t="s">
        <v>3486</v>
      </c>
      <c r="B23" s="41" t="s">
        <v>3487</v>
      </c>
      <c r="C23" s="49" t="s">
        <v>3509</v>
      </c>
      <c r="D23" s="459" t="s">
        <v>3510</v>
      </c>
      <c r="E23" s="459"/>
      <c r="F23" s="49" t="s">
        <v>3511</v>
      </c>
      <c r="G23" s="44" t="s">
        <v>3510</v>
      </c>
      <c r="H23" s="53"/>
      <c r="I23" s="54"/>
    </row>
  </sheetData>
  <mergeCells count="7">
    <mergeCell ref="D22:E22"/>
    <mergeCell ref="D23:E23"/>
    <mergeCell ref="D17:E17"/>
    <mergeCell ref="D18:E18"/>
    <mergeCell ref="D19:E19"/>
    <mergeCell ref="D20:E20"/>
    <mergeCell ref="D21:E21"/>
  </mergeCells>
  <pageMargins left="0" right="0" top="0" bottom="0" header="0" footer="0"/>
  <pageSetup paperSize="9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9"/>
  <sheetViews>
    <sheetView workbookViewId="0">
      <selection activeCell="C15" sqref="C15"/>
    </sheetView>
  </sheetViews>
  <sheetFormatPr defaultColWidth="9.140625" defaultRowHeight="15"/>
  <cols>
    <col min="2" max="2" width="12.140625" customWidth="1"/>
    <col min="3" max="3" width="48.5703125" customWidth="1"/>
    <col min="5" max="7" width="9.140625" hidden="1" customWidth="1"/>
    <col min="9" max="49" width="9.140625" hidden="1" customWidth="1"/>
  </cols>
  <sheetData>
    <row r="1" spans="1:70" s="28" customFormat="1" ht="30" customHeight="1">
      <c r="A1" s="26">
        <v>365</v>
      </c>
      <c r="B1" s="26" t="s">
        <v>740</v>
      </c>
      <c r="C1" s="27" t="s">
        <v>741</v>
      </c>
      <c r="D1" s="26" t="s">
        <v>21</v>
      </c>
      <c r="E1" s="30">
        <v>164</v>
      </c>
      <c r="F1" s="26">
        <f t="shared" ref="F1:F9" si="0">SUM(I1+K1+M1+O1+Q1+S1+U1+W1+Y1+AA1+AC1+AE1+AG1+AI1+AK1+AM1+AO1+AQ1+AS1+AU1+AW1+AY1+BA1+BC1+BE1+BG1+BI1+BK1+BM1+BO1+BQ1)</f>
        <v>103</v>
      </c>
      <c r="G1" s="26">
        <f t="shared" ref="G1:G9" si="1">SUM(J1+L1+N1+P1+R1+T1+V1+X1+Z1+AB1+AD1+AF1+AH1+AJ1+AL1+AN1+AP1+AR1+AT1+AV1+AX1+AZ1+BB1+BD1+BF1+BH1+BJ1+BL1+BN1+BP1+BR1)</f>
        <v>20</v>
      </c>
      <c r="H1" s="30">
        <f t="shared" ref="H1:H5" si="2">E1+F1-G1</f>
        <v>247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>
        <v>20</v>
      </c>
      <c r="U1" s="31"/>
      <c r="V1" s="31"/>
      <c r="W1" s="31">
        <v>103</v>
      </c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s="28" customFormat="1" ht="30" customHeight="1">
      <c r="A2" s="26">
        <v>366</v>
      </c>
      <c r="B2" s="26" t="s">
        <v>742</v>
      </c>
      <c r="C2" s="27" t="s">
        <v>743</v>
      </c>
      <c r="D2" s="26" t="s">
        <v>21</v>
      </c>
      <c r="E2" s="30">
        <v>179</v>
      </c>
      <c r="F2" s="26">
        <f t="shared" si="0"/>
        <v>103</v>
      </c>
      <c r="G2" s="26">
        <f t="shared" si="1"/>
        <v>20</v>
      </c>
      <c r="H2" s="30">
        <f t="shared" si="2"/>
        <v>262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>
        <v>20</v>
      </c>
      <c r="U2" s="31"/>
      <c r="V2" s="31"/>
      <c r="W2" s="31">
        <v>103</v>
      </c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s="28" customFormat="1" ht="15" customHeight="1">
      <c r="A3" s="26">
        <v>41</v>
      </c>
      <c r="B3" s="26" t="s">
        <v>94</v>
      </c>
      <c r="C3" s="27" t="s">
        <v>95</v>
      </c>
      <c r="D3" s="26" t="s">
        <v>21</v>
      </c>
      <c r="E3" s="30">
        <v>1783</v>
      </c>
      <c r="F3" s="26">
        <f t="shared" si="0"/>
        <v>0</v>
      </c>
      <c r="G3" s="26">
        <f t="shared" si="1"/>
        <v>130</v>
      </c>
      <c r="H3" s="30">
        <v>1672</v>
      </c>
      <c r="I3" s="31"/>
      <c r="J3" s="31">
        <f>4</f>
        <v>4</v>
      </c>
      <c r="K3" s="31"/>
      <c r="L3" s="31">
        <f>4*10+6</f>
        <v>46</v>
      </c>
      <c r="M3" s="31"/>
      <c r="N3" s="31"/>
      <c r="O3" s="31"/>
      <c r="P3" s="31"/>
      <c r="Q3" s="31"/>
      <c r="R3" s="31"/>
      <c r="S3" s="31"/>
      <c r="T3" s="31">
        <f>4*20</f>
        <v>80</v>
      </c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s="28" customFormat="1" ht="15" customHeight="1">
      <c r="A4" s="26">
        <v>46</v>
      </c>
      <c r="B4" s="26" t="s">
        <v>104</v>
      </c>
      <c r="C4" s="27" t="s">
        <v>105</v>
      </c>
      <c r="D4" s="26" t="s">
        <v>21</v>
      </c>
      <c r="E4" s="30">
        <v>382</v>
      </c>
      <c r="F4" s="26">
        <f t="shared" si="0"/>
        <v>0</v>
      </c>
      <c r="G4" s="26">
        <f t="shared" si="1"/>
        <v>36</v>
      </c>
      <c r="H4" s="30">
        <v>362</v>
      </c>
      <c r="I4" s="31"/>
      <c r="J4" s="31"/>
      <c r="K4" s="31"/>
      <c r="L4" s="31">
        <f>16</f>
        <v>16</v>
      </c>
      <c r="M4" s="31"/>
      <c r="N4" s="31"/>
      <c r="O4" s="31"/>
      <c r="P4" s="31"/>
      <c r="Q4" s="31"/>
      <c r="R4" s="31"/>
      <c r="S4" s="31"/>
      <c r="T4" s="31">
        <v>20</v>
      </c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2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s="28" customFormat="1" ht="15" customHeight="1">
      <c r="A5" s="26">
        <v>96</v>
      </c>
      <c r="B5" s="26" t="s">
        <v>204</v>
      </c>
      <c r="C5" s="27" t="s">
        <v>205</v>
      </c>
      <c r="D5" s="26" t="s">
        <v>21</v>
      </c>
      <c r="E5" s="30">
        <v>784</v>
      </c>
      <c r="F5" s="26">
        <f t="shared" si="0"/>
        <v>0</v>
      </c>
      <c r="G5" s="26">
        <f t="shared" si="1"/>
        <v>142</v>
      </c>
      <c r="H5" s="30">
        <f t="shared" si="2"/>
        <v>642</v>
      </c>
      <c r="I5" s="31"/>
      <c r="J5" s="31">
        <f>2</f>
        <v>2</v>
      </c>
      <c r="K5" s="31"/>
      <c r="L5" s="31">
        <v>2</v>
      </c>
      <c r="M5" s="31"/>
      <c r="N5" s="31">
        <v>138</v>
      </c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s="28" customFormat="1" ht="15" customHeight="1">
      <c r="A6" s="26">
        <v>97</v>
      </c>
      <c r="B6" s="26" t="s">
        <v>206</v>
      </c>
      <c r="C6" s="27" t="s">
        <v>207</v>
      </c>
      <c r="D6" s="26" t="s">
        <v>21</v>
      </c>
      <c r="E6" s="30">
        <v>2025</v>
      </c>
      <c r="F6" s="26">
        <f t="shared" si="0"/>
        <v>0</v>
      </c>
      <c r="G6" s="26">
        <f t="shared" si="1"/>
        <v>138</v>
      </c>
      <c r="H6" s="30">
        <v>1986</v>
      </c>
      <c r="I6" s="31"/>
      <c r="J6" s="31"/>
      <c r="K6" s="31"/>
      <c r="L6" s="31">
        <f>54+24+12</f>
        <v>90</v>
      </c>
      <c r="M6" s="31"/>
      <c r="N6" s="31"/>
      <c r="O6" s="31"/>
      <c r="P6" s="31"/>
      <c r="Q6" s="31"/>
      <c r="R6" s="31"/>
      <c r="S6" s="31"/>
      <c r="T6" s="31"/>
      <c r="U6" s="31"/>
      <c r="V6" s="31">
        <v>48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s="28" customFormat="1" ht="15" customHeight="1">
      <c r="A7" s="26">
        <v>618</v>
      </c>
      <c r="B7" s="26" t="s">
        <v>1245</v>
      </c>
      <c r="C7" s="27" t="s">
        <v>1246</v>
      </c>
      <c r="D7" s="26" t="s">
        <v>21</v>
      </c>
      <c r="E7" s="30">
        <v>6</v>
      </c>
      <c r="F7" s="26">
        <f t="shared" si="0"/>
        <v>0</v>
      </c>
      <c r="G7" s="26">
        <f t="shared" si="1"/>
        <v>0</v>
      </c>
      <c r="H7" s="30">
        <f t="shared" ref="H7:H9" si="3">E7+F7-G7</f>
        <v>6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s="29" customFormat="1" ht="15" customHeight="1">
      <c r="A8" s="3">
        <v>168</v>
      </c>
      <c r="B8" s="26" t="s">
        <v>348</v>
      </c>
      <c r="C8" s="17" t="s">
        <v>349</v>
      </c>
      <c r="D8" s="3" t="s">
        <v>21</v>
      </c>
      <c r="E8" s="33">
        <v>46</v>
      </c>
      <c r="F8" s="3">
        <f t="shared" si="0"/>
        <v>0</v>
      </c>
      <c r="G8" s="3">
        <f t="shared" si="1"/>
        <v>0</v>
      </c>
      <c r="H8" s="33">
        <f t="shared" si="3"/>
        <v>46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</row>
    <row r="9" spans="1:70" s="28" customFormat="1" ht="15" customHeight="1">
      <c r="A9" s="26">
        <v>227</v>
      </c>
      <c r="B9" s="26" t="s">
        <v>466</v>
      </c>
      <c r="C9" s="27" t="s">
        <v>467</v>
      </c>
      <c r="D9" s="26" t="s">
        <v>21</v>
      </c>
      <c r="E9" s="30">
        <v>130</v>
      </c>
      <c r="F9" s="26">
        <f t="shared" si="0"/>
        <v>0</v>
      </c>
      <c r="G9" s="26">
        <f t="shared" si="1"/>
        <v>20</v>
      </c>
      <c r="H9" s="30">
        <f t="shared" si="3"/>
        <v>110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>
        <v>20</v>
      </c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3" sqref="B3:B10"/>
    </sheetView>
  </sheetViews>
  <sheetFormatPr defaultColWidth="9.140625" defaultRowHeight="15"/>
  <cols>
    <col min="1" max="1" width="13.7109375" customWidth="1"/>
    <col min="2" max="2" width="41.85546875" customWidth="1"/>
  </cols>
  <sheetData>
    <row r="1" spans="1:2" s="24" customFormat="1">
      <c r="A1" s="25" t="s">
        <v>544</v>
      </c>
      <c r="B1" s="17" t="s">
        <v>545</v>
      </c>
    </row>
    <row r="2" spans="1:2">
      <c r="A2" s="3" t="s">
        <v>624</v>
      </c>
      <c r="B2" s="17" t="s">
        <v>625</v>
      </c>
    </row>
    <row r="3" spans="1:2" ht="30">
      <c r="A3" s="3" t="s">
        <v>558</v>
      </c>
      <c r="B3" s="17" t="s">
        <v>559</v>
      </c>
    </row>
    <row r="4" spans="1:2">
      <c r="A4" s="3" t="s">
        <v>556</v>
      </c>
      <c r="B4" s="17" t="s">
        <v>557</v>
      </c>
    </row>
    <row r="5" spans="1:2" ht="30">
      <c r="A5" s="3" t="s">
        <v>622</v>
      </c>
      <c r="B5" s="17" t="s">
        <v>623</v>
      </c>
    </row>
    <row r="6" spans="1:2">
      <c r="A6" s="3" t="s">
        <v>602</v>
      </c>
      <c r="B6" s="17" t="s">
        <v>603</v>
      </c>
    </row>
    <row r="7" spans="1:2" ht="30">
      <c r="A7" s="3" t="s">
        <v>600</v>
      </c>
      <c r="B7" s="17" t="s">
        <v>601</v>
      </c>
    </row>
    <row r="8" spans="1:2" ht="30">
      <c r="A8" s="3" t="s">
        <v>604</v>
      </c>
      <c r="B8" s="17" t="s">
        <v>605</v>
      </c>
    </row>
    <row r="9" spans="1:2" ht="30">
      <c r="A9" s="26" t="s">
        <v>348</v>
      </c>
      <c r="B9" s="27" t="s">
        <v>349</v>
      </c>
    </row>
    <row r="10" spans="1:2" ht="30">
      <c r="B10" s="27" t="s">
        <v>3512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19" workbookViewId="0">
      <selection sqref="A1:F37"/>
    </sheetView>
  </sheetViews>
  <sheetFormatPr defaultColWidth="9.140625" defaultRowHeight="15"/>
  <cols>
    <col min="1" max="1" width="12.140625" customWidth="1"/>
    <col min="2" max="2" width="15.85546875" customWidth="1"/>
    <col min="3" max="3" width="43.85546875" customWidth="1"/>
    <col min="5" max="5" width="35.28515625" customWidth="1"/>
  </cols>
  <sheetData>
    <row r="1" spans="1:6" s="16" customFormat="1">
      <c r="A1" s="456" t="s">
        <v>1</v>
      </c>
      <c r="B1" s="456" t="s">
        <v>2</v>
      </c>
      <c r="C1" s="461"/>
      <c r="D1" s="456"/>
      <c r="E1" s="2" t="s">
        <v>3513</v>
      </c>
      <c r="F1" s="2" t="s">
        <v>3406</v>
      </c>
    </row>
    <row r="2" spans="1:6" s="16" customFormat="1">
      <c r="A2" s="456"/>
      <c r="B2" s="1" t="s">
        <v>7</v>
      </c>
      <c r="C2" s="1" t="s">
        <v>3291</v>
      </c>
      <c r="D2" s="1" t="s">
        <v>9</v>
      </c>
      <c r="E2" s="2" t="s">
        <v>3407</v>
      </c>
      <c r="F2" s="2" t="s">
        <v>3408</v>
      </c>
    </row>
    <row r="3" spans="1:6" s="16" customFormat="1">
      <c r="A3" s="3">
        <v>212</v>
      </c>
      <c r="B3" s="3" t="s">
        <v>74</v>
      </c>
      <c r="C3" s="17" t="s">
        <v>75</v>
      </c>
      <c r="D3" s="3" t="s">
        <v>21</v>
      </c>
      <c r="E3" s="6"/>
      <c r="F3" s="7"/>
    </row>
    <row r="4" spans="1:6" s="16" customFormat="1">
      <c r="A4" s="3">
        <v>213</v>
      </c>
      <c r="B4" s="3" t="s">
        <v>76</v>
      </c>
      <c r="C4" s="17" t="s">
        <v>77</v>
      </c>
      <c r="D4" s="3" t="s">
        <v>14</v>
      </c>
      <c r="E4" s="6"/>
      <c r="F4" s="7"/>
    </row>
    <row r="5" spans="1:6" s="16" customFormat="1">
      <c r="A5" s="3">
        <v>214</v>
      </c>
      <c r="B5" s="3" t="s">
        <v>78</v>
      </c>
      <c r="C5" s="17" t="s">
        <v>79</v>
      </c>
      <c r="D5" s="3" t="s">
        <v>14</v>
      </c>
      <c r="E5" s="6"/>
      <c r="F5" s="7"/>
    </row>
    <row r="6" spans="1:6" s="16" customFormat="1">
      <c r="A6" s="3">
        <v>215</v>
      </c>
      <c r="B6" s="3" t="s">
        <v>80</v>
      </c>
      <c r="C6" s="17" t="s">
        <v>81</v>
      </c>
      <c r="D6" s="3" t="s">
        <v>21</v>
      </c>
      <c r="E6" s="6"/>
      <c r="F6" s="7"/>
    </row>
    <row r="7" spans="1:6" s="16" customFormat="1">
      <c r="A7" s="3">
        <v>216</v>
      </c>
      <c r="B7" s="3" t="s">
        <v>82</v>
      </c>
      <c r="C7" s="17" t="s">
        <v>83</v>
      </c>
      <c r="D7" s="3" t="s">
        <v>14</v>
      </c>
      <c r="E7" s="6"/>
      <c r="F7" s="7"/>
    </row>
    <row r="8" spans="1:6" s="16" customFormat="1">
      <c r="A8" s="3">
        <v>217</v>
      </c>
      <c r="B8" s="3" t="s">
        <v>86</v>
      </c>
      <c r="C8" s="18" t="s">
        <v>87</v>
      </c>
      <c r="D8" s="3" t="s">
        <v>14</v>
      </c>
      <c r="E8" s="6"/>
      <c r="F8" s="7"/>
    </row>
    <row r="9" spans="1:6" s="16" customFormat="1">
      <c r="A9" s="3">
        <v>218</v>
      </c>
      <c r="B9" s="3" t="s">
        <v>88</v>
      </c>
      <c r="C9" s="17" t="s">
        <v>89</v>
      </c>
      <c r="D9" s="3" t="s">
        <v>14</v>
      </c>
      <c r="E9" s="6"/>
      <c r="F9" s="7"/>
    </row>
    <row r="10" spans="1:6" s="16" customFormat="1">
      <c r="A10" s="3">
        <v>276</v>
      </c>
      <c r="B10" s="3" t="s">
        <v>90</v>
      </c>
      <c r="C10" s="17" t="s">
        <v>91</v>
      </c>
      <c r="D10" s="3" t="s">
        <v>14</v>
      </c>
      <c r="E10" s="6"/>
      <c r="F10" s="7"/>
    </row>
    <row r="11" spans="1:6" s="16" customFormat="1">
      <c r="A11" s="3">
        <v>277</v>
      </c>
      <c r="B11" s="3" t="s">
        <v>358</v>
      </c>
      <c r="C11" s="17" t="s">
        <v>359</v>
      </c>
      <c r="D11" s="3" t="s">
        <v>21</v>
      </c>
      <c r="E11" s="6"/>
      <c r="F11" s="7"/>
    </row>
    <row r="12" spans="1:6" s="16" customFormat="1">
      <c r="A12" s="3">
        <v>278</v>
      </c>
      <c r="B12" s="3" t="s">
        <v>360</v>
      </c>
      <c r="C12" s="17" t="s">
        <v>361</v>
      </c>
      <c r="D12" s="3" t="s">
        <v>21</v>
      </c>
      <c r="E12" s="6"/>
      <c r="F12" s="7"/>
    </row>
    <row r="13" spans="1:6" s="16" customFormat="1" ht="30">
      <c r="A13" s="3">
        <v>279</v>
      </c>
      <c r="B13" s="3" t="s">
        <v>362</v>
      </c>
      <c r="C13" s="17" t="s">
        <v>363</v>
      </c>
      <c r="D13" s="3" t="s">
        <v>21</v>
      </c>
      <c r="E13" s="6"/>
      <c r="F13" s="7"/>
    </row>
    <row r="14" spans="1:6" s="16" customFormat="1" ht="30">
      <c r="A14" s="3">
        <v>280</v>
      </c>
      <c r="B14" s="3" t="s">
        <v>364</v>
      </c>
      <c r="C14" s="17" t="s">
        <v>365</v>
      </c>
      <c r="D14" s="3" t="s">
        <v>21</v>
      </c>
      <c r="E14" s="6"/>
      <c r="F14" s="7"/>
    </row>
    <row r="15" spans="1:6" s="16" customFormat="1">
      <c r="A15" s="3">
        <v>281</v>
      </c>
      <c r="B15" s="3" t="s">
        <v>482</v>
      </c>
      <c r="C15" s="17" t="s">
        <v>483</v>
      </c>
      <c r="D15" s="3" t="s">
        <v>21</v>
      </c>
      <c r="E15" s="6"/>
      <c r="F15" s="7"/>
    </row>
    <row r="16" spans="1:6" s="16" customFormat="1" ht="30">
      <c r="A16" s="3">
        <v>282</v>
      </c>
      <c r="B16" s="3" t="s">
        <v>484</v>
      </c>
      <c r="C16" s="17" t="s">
        <v>485</v>
      </c>
      <c r="D16" s="3" t="s">
        <v>21</v>
      </c>
      <c r="E16" s="6"/>
      <c r="F16" s="7"/>
    </row>
    <row r="17" spans="1:6" s="16" customFormat="1">
      <c r="A17" s="3">
        <v>283</v>
      </c>
      <c r="B17" s="3" t="s">
        <v>486</v>
      </c>
      <c r="C17" s="17" t="s">
        <v>487</v>
      </c>
      <c r="D17" s="3" t="s">
        <v>21</v>
      </c>
      <c r="E17" s="6"/>
      <c r="F17" s="7"/>
    </row>
    <row r="18" spans="1:6" s="16" customFormat="1" ht="30">
      <c r="A18" s="3">
        <v>284</v>
      </c>
      <c r="B18" s="3" t="s">
        <v>492</v>
      </c>
      <c r="C18" s="17" t="s">
        <v>493</v>
      </c>
      <c r="D18" s="3" t="s">
        <v>21</v>
      </c>
      <c r="E18" s="6"/>
      <c r="F18" s="7"/>
    </row>
    <row r="19" spans="1:6" s="16" customFormat="1" ht="30">
      <c r="A19" s="3">
        <v>285</v>
      </c>
      <c r="B19" s="3" t="s">
        <v>494</v>
      </c>
      <c r="C19" s="17" t="s">
        <v>495</v>
      </c>
      <c r="D19" s="3" t="s">
        <v>21</v>
      </c>
      <c r="E19" s="6"/>
      <c r="F19" s="7"/>
    </row>
    <row r="20" spans="1:6" s="16" customFormat="1" ht="30">
      <c r="A20" s="3">
        <v>309</v>
      </c>
      <c r="B20" s="3" t="s">
        <v>496</v>
      </c>
      <c r="C20" s="17" t="s">
        <v>497</v>
      </c>
      <c r="D20" s="3" t="s">
        <v>21</v>
      </c>
      <c r="E20" s="6"/>
      <c r="F20" s="7"/>
    </row>
    <row r="21" spans="1:6" s="16" customFormat="1" ht="30">
      <c r="A21" s="3">
        <v>310</v>
      </c>
      <c r="B21" s="3" t="s">
        <v>498</v>
      </c>
      <c r="C21" s="17" t="s">
        <v>499</v>
      </c>
      <c r="D21" s="3" t="s">
        <v>21</v>
      </c>
      <c r="E21" s="6"/>
      <c r="F21" s="7"/>
    </row>
    <row r="22" spans="1:6" s="16" customFormat="1" ht="30">
      <c r="A22" s="3">
        <v>672</v>
      </c>
      <c r="B22" s="3" t="s">
        <v>500</v>
      </c>
      <c r="C22" s="17" t="s">
        <v>501</v>
      </c>
      <c r="D22" s="3" t="s">
        <v>21</v>
      </c>
      <c r="E22" s="6"/>
      <c r="F22" s="7"/>
    </row>
    <row r="23" spans="1:6" s="16" customFormat="1" ht="30">
      <c r="A23" s="3">
        <v>219</v>
      </c>
      <c r="B23" s="3" t="s">
        <v>656</v>
      </c>
      <c r="C23" s="17" t="s">
        <v>657</v>
      </c>
      <c r="D23" s="3" t="s">
        <v>21</v>
      </c>
      <c r="E23" s="6"/>
      <c r="F23" s="7"/>
    </row>
    <row r="24" spans="1:6" s="16" customFormat="1">
      <c r="A24" s="3">
        <v>220</v>
      </c>
      <c r="B24" s="3" t="s">
        <v>811</v>
      </c>
      <c r="C24" s="19" t="s">
        <v>812</v>
      </c>
      <c r="D24" s="3" t="s">
        <v>21</v>
      </c>
      <c r="E24" s="6"/>
      <c r="F24" s="7"/>
    </row>
    <row r="25" spans="1:6" s="16" customFormat="1">
      <c r="A25" s="3">
        <v>221</v>
      </c>
      <c r="B25" s="3" t="s">
        <v>815</v>
      </c>
      <c r="C25" s="19" t="s">
        <v>816</v>
      </c>
      <c r="D25" s="3" t="s">
        <v>21</v>
      </c>
      <c r="E25" s="6"/>
      <c r="F25" s="7"/>
    </row>
    <row r="26" spans="1:6" s="16" customFormat="1">
      <c r="A26" s="3">
        <v>222</v>
      </c>
      <c r="B26" s="3" t="s">
        <v>817</v>
      </c>
      <c r="C26" s="19" t="s">
        <v>818</v>
      </c>
      <c r="D26" s="3" t="s">
        <v>21</v>
      </c>
      <c r="E26" s="6"/>
      <c r="F26" s="7"/>
    </row>
    <row r="27" spans="1:6" s="16" customFormat="1">
      <c r="A27" s="3">
        <v>223</v>
      </c>
      <c r="B27" s="3" t="s">
        <v>1563</v>
      </c>
      <c r="C27" s="20" t="s">
        <v>1564</v>
      </c>
      <c r="D27" s="3" t="s">
        <v>14</v>
      </c>
      <c r="E27" s="6"/>
      <c r="F27" s="7"/>
    </row>
    <row r="28" spans="1:6" s="16" customFormat="1">
      <c r="A28" s="3">
        <v>311</v>
      </c>
      <c r="B28" s="3" t="s">
        <v>1565</v>
      </c>
      <c r="C28" s="19" t="s">
        <v>1566</v>
      </c>
      <c r="D28" s="3" t="s">
        <v>14</v>
      </c>
      <c r="E28" s="6"/>
      <c r="F28" s="7"/>
    </row>
    <row r="29" spans="1:6" s="16" customFormat="1">
      <c r="A29" s="3">
        <v>375</v>
      </c>
      <c r="B29" s="3" t="s">
        <v>1567</v>
      </c>
      <c r="C29" s="19" t="s">
        <v>1568</v>
      </c>
      <c r="D29" s="3" t="s">
        <v>14</v>
      </c>
      <c r="E29" s="6"/>
      <c r="F29" s="7"/>
    </row>
    <row r="30" spans="1:6" s="16" customFormat="1">
      <c r="A30" s="3">
        <v>382</v>
      </c>
      <c r="B30" s="4" t="s">
        <v>1643</v>
      </c>
      <c r="C30" s="19" t="s">
        <v>1644</v>
      </c>
      <c r="D30" s="3" t="s">
        <v>21</v>
      </c>
      <c r="E30" s="6"/>
      <c r="F30" s="7"/>
    </row>
    <row r="31" spans="1:6">
      <c r="A31" s="3">
        <v>383</v>
      </c>
      <c r="B31" s="21" t="s">
        <v>1645</v>
      </c>
      <c r="C31" s="19" t="s">
        <v>1646</v>
      </c>
      <c r="D31" s="3" t="s">
        <v>21</v>
      </c>
      <c r="E31" s="21"/>
      <c r="F31" s="21"/>
    </row>
    <row r="32" spans="1:6">
      <c r="A32" s="3">
        <v>384</v>
      </c>
      <c r="B32" s="21" t="s">
        <v>1859</v>
      </c>
      <c r="C32" s="19" t="s">
        <v>1860</v>
      </c>
      <c r="D32" s="3" t="s">
        <v>14</v>
      </c>
      <c r="E32" s="21"/>
      <c r="F32" s="21"/>
    </row>
    <row r="33" spans="1:6">
      <c r="A33" s="3">
        <v>385</v>
      </c>
      <c r="B33" s="21" t="s">
        <v>1963</v>
      </c>
      <c r="C33" s="19" t="s">
        <v>1964</v>
      </c>
      <c r="D33" s="3" t="s">
        <v>14</v>
      </c>
      <c r="E33" s="21"/>
      <c r="F33" s="21"/>
    </row>
    <row r="34" spans="1:6">
      <c r="A34" s="3">
        <v>386</v>
      </c>
      <c r="B34" s="21" t="s">
        <v>2023</v>
      </c>
      <c r="C34" s="22" t="s">
        <v>2024</v>
      </c>
      <c r="D34" s="12" t="s">
        <v>21</v>
      </c>
      <c r="E34" s="21"/>
      <c r="F34" s="21"/>
    </row>
    <row r="35" spans="1:6">
      <c r="A35" s="3">
        <v>387</v>
      </c>
      <c r="B35" s="21" t="s">
        <v>2025</v>
      </c>
      <c r="C35" s="22" t="s">
        <v>2026</v>
      </c>
      <c r="D35" s="12" t="s">
        <v>21</v>
      </c>
      <c r="E35" s="21"/>
      <c r="F35" s="21"/>
    </row>
    <row r="36" spans="1:6">
      <c r="A36" s="3">
        <v>388</v>
      </c>
      <c r="B36" s="21" t="s">
        <v>2397</v>
      </c>
      <c r="C36" s="23" t="s">
        <v>2398</v>
      </c>
      <c r="D36" s="13" t="s">
        <v>14</v>
      </c>
      <c r="E36" s="21"/>
      <c r="F36" s="21"/>
    </row>
    <row r="37" spans="1:6">
      <c r="A37" s="3">
        <v>389</v>
      </c>
      <c r="B37" s="21" t="s">
        <v>2597</v>
      </c>
      <c r="C37" s="21" t="s">
        <v>2598</v>
      </c>
      <c r="D37" s="13" t="s">
        <v>14</v>
      </c>
      <c r="E37" s="21"/>
      <c r="F37" s="21"/>
    </row>
  </sheetData>
  <mergeCells count="2">
    <mergeCell ref="B1:D1"/>
    <mergeCell ref="A1:A2"/>
  </mergeCells>
  <pageMargins left="0.75138888888888899" right="0.75138888888888899" top="0.21249999999999999" bottom="0.21249999999999999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I22" sqref="I22"/>
    </sheetView>
  </sheetViews>
  <sheetFormatPr defaultColWidth="9.140625" defaultRowHeight="15"/>
  <cols>
    <col min="2" max="2" width="16.85546875" customWidth="1"/>
    <col min="3" max="3" width="70.140625" customWidth="1"/>
    <col min="4" max="4" width="6.7109375" customWidth="1"/>
    <col min="5" max="5" width="30.7109375" customWidth="1"/>
  </cols>
  <sheetData>
    <row r="1" spans="1:6">
      <c r="A1" s="456" t="s">
        <v>1</v>
      </c>
      <c r="B1" s="456" t="s">
        <v>2</v>
      </c>
      <c r="C1" s="461"/>
      <c r="D1" s="456"/>
      <c r="E1" s="2" t="s">
        <v>3514</v>
      </c>
      <c r="F1" s="2" t="s">
        <v>3406</v>
      </c>
    </row>
    <row r="2" spans="1:6">
      <c r="A2" s="456"/>
      <c r="B2" s="1" t="s">
        <v>7</v>
      </c>
      <c r="C2" s="1" t="s">
        <v>3291</v>
      </c>
      <c r="D2" s="1" t="s">
        <v>9</v>
      </c>
      <c r="E2" s="2" t="s">
        <v>3407</v>
      </c>
      <c r="F2" s="2" t="s">
        <v>3408</v>
      </c>
    </row>
    <row r="3" spans="1:6">
      <c r="A3" s="3"/>
      <c r="B3" s="4" t="s">
        <v>382</v>
      </c>
      <c r="C3" s="5" t="s">
        <v>3515</v>
      </c>
      <c r="D3" s="3" t="s">
        <v>21</v>
      </c>
      <c r="E3" s="6"/>
      <c r="F3" s="7"/>
    </row>
    <row r="4" spans="1:6">
      <c r="A4" s="3"/>
      <c r="B4" s="3" t="s">
        <v>384</v>
      </c>
      <c r="C4" s="5" t="s">
        <v>3516</v>
      </c>
      <c r="D4" s="3" t="s">
        <v>21</v>
      </c>
      <c r="E4" s="6"/>
      <c r="F4" s="7"/>
    </row>
    <row r="5" spans="1:6">
      <c r="A5" s="3"/>
      <c r="B5" s="3" t="s">
        <v>386</v>
      </c>
      <c r="C5" s="5" t="s">
        <v>387</v>
      </c>
      <c r="D5" s="3" t="s">
        <v>21</v>
      </c>
      <c r="E5" s="6"/>
      <c r="F5" s="7"/>
    </row>
    <row r="6" spans="1:6">
      <c r="A6" s="3"/>
      <c r="B6" s="3" t="s">
        <v>388</v>
      </c>
      <c r="C6" s="5" t="s">
        <v>389</v>
      </c>
      <c r="D6" s="3" t="s">
        <v>21</v>
      </c>
      <c r="E6" s="6"/>
      <c r="F6" s="7"/>
    </row>
    <row r="7" spans="1:6">
      <c r="A7" s="3"/>
      <c r="B7" s="3" t="s">
        <v>390</v>
      </c>
      <c r="C7" s="5" t="s">
        <v>3517</v>
      </c>
      <c r="D7" s="3" t="s">
        <v>21</v>
      </c>
      <c r="E7" s="6"/>
      <c r="F7" s="7"/>
    </row>
    <row r="8" spans="1:6">
      <c r="A8" s="3"/>
      <c r="B8" s="3" t="s">
        <v>392</v>
      </c>
      <c r="C8" s="8" t="s">
        <v>3518</v>
      </c>
      <c r="D8" s="3" t="s">
        <v>21</v>
      </c>
      <c r="E8" s="6"/>
      <c r="F8" s="7"/>
    </row>
    <row r="9" spans="1:6">
      <c r="A9" s="3"/>
      <c r="B9" s="3" t="s">
        <v>394</v>
      </c>
      <c r="C9" s="5" t="s">
        <v>395</v>
      </c>
      <c r="D9" s="3" t="s">
        <v>21</v>
      </c>
      <c r="E9" s="6"/>
      <c r="F9" s="7"/>
    </row>
    <row r="10" spans="1:6">
      <c r="A10" s="3"/>
      <c r="B10" s="3" t="s">
        <v>396</v>
      </c>
      <c r="C10" s="5" t="s">
        <v>397</v>
      </c>
      <c r="D10" s="3" t="s">
        <v>21</v>
      </c>
      <c r="E10" s="6"/>
      <c r="F10" s="7"/>
    </row>
    <row r="11" spans="1:6">
      <c r="A11" s="3"/>
      <c r="B11" s="3" t="s">
        <v>590</v>
      </c>
      <c r="C11" s="5" t="s">
        <v>591</v>
      </c>
      <c r="D11" s="3" t="s">
        <v>21</v>
      </c>
      <c r="E11" s="6"/>
      <c r="F11" s="7"/>
    </row>
    <row r="12" spans="1:6">
      <c r="A12" s="3"/>
      <c r="B12" s="4" t="s">
        <v>592</v>
      </c>
      <c r="C12" s="5" t="s">
        <v>593</v>
      </c>
      <c r="D12" s="3" t="s">
        <v>21</v>
      </c>
      <c r="E12" s="6"/>
      <c r="F12" s="7"/>
    </row>
    <row r="13" spans="1:6">
      <c r="A13" s="3"/>
      <c r="B13" s="3" t="s">
        <v>594</v>
      </c>
      <c r="C13" s="5" t="s">
        <v>595</v>
      </c>
      <c r="D13" s="3" t="s">
        <v>21</v>
      </c>
      <c r="E13" s="6"/>
      <c r="F13" s="7"/>
    </row>
    <row r="14" spans="1:6">
      <c r="A14" s="3"/>
      <c r="B14" s="3" t="s">
        <v>596</v>
      </c>
      <c r="C14" s="5" t="s">
        <v>597</v>
      </c>
      <c r="D14" s="3" t="s">
        <v>21</v>
      </c>
      <c r="E14" s="6"/>
      <c r="F14" s="7"/>
    </row>
    <row r="15" spans="1:6">
      <c r="A15" s="3"/>
      <c r="B15" s="3" t="s">
        <v>1325</v>
      </c>
      <c r="C15" s="5" t="s">
        <v>1326</v>
      </c>
      <c r="D15" s="3" t="s">
        <v>21</v>
      </c>
      <c r="E15" s="6"/>
      <c r="F15" s="7"/>
    </row>
    <row r="16" spans="1:6">
      <c r="A16" s="3"/>
      <c r="B16" s="3" t="s">
        <v>1327</v>
      </c>
      <c r="C16" s="5" t="s">
        <v>1328</v>
      </c>
      <c r="D16" s="3" t="s">
        <v>21</v>
      </c>
      <c r="E16" s="6"/>
      <c r="F16" s="7"/>
    </row>
    <row r="17" spans="1:6">
      <c r="A17" s="3"/>
      <c r="B17" s="3" t="s">
        <v>1399</v>
      </c>
      <c r="C17" s="5" t="s">
        <v>1400</v>
      </c>
      <c r="D17" s="3" t="s">
        <v>21</v>
      </c>
      <c r="E17" s="6"/>
      <c r="F17" s="7"/>
    </row>
    <row r="18" spans="1:6">
      <c r="A18" s="3"/>
      <c r="B18" s="4" t="s">
        <v>1401</v>
      </c>
      <c r="C18" s="5" t="s">
        <v>1402</v>
      </c>
      <c r="D18" s="3" t="s">
        <v>21</v>
      </c>
      <c r="E18" s="6"/>
      <c r="F18" s="7"/>
    </row>
    <row r="19" spans="1:6">
      <c r="A19" s="3"/>
      <c r="B19" s="9" t="s">
        <v>1403</v>
      </c>
      <c r="C19" s="5" t="s">
        <v>1404</v>
      </c>
      <c r="D19" s="3" t="s">
        <v>21</v>
      </c>
      <c r="E19" s="6"/>
      <c r="F19" s="7"/>
    </row>
    <row r="20" spans="1:6">
      <c r="A20" s="3"/>
      <c r="B20" s="3" t="s">
        <v>1405</v>
      </c>
      <c r="C20" s="5" t="s">
        <v>1406</v>
      </c>
      <c r="D20" s="3" t="s">
        <v>21</v>
      </c>
      <c r="E20" s="6"/>
      <c r="F20" s="7"/>
    </row>
    <row r="21" spans="1:6">
      <c r="A21" s="3"/>
      <c r="B21" s="10" t="s">
        <v>1447</v>
      </c>
      <c r="C21" s="5" t="s">
        <v>1448</v>
      </c>
      <c r="D21" s="3" t="s">
        <v>21</v>
      </c>
      <c r="E21" s="6"/>
      <c r="F21" s="7"/>
    </row>
    <row r="22" spans="1:6">
      <c r="A22" s="3"/>
      <c r="B22" s="11" t="s">
        <v>1449</v>
      </c>
      <c r="C22" s="5" t="s">
        <v>1450</v>
      </c>
      <c r="D22" s="12" t="s">
        <v>21</v>
      </c>
      <c r="E22" s="6"/>
      <c r="F22" s="7"/>
    </row>
    <row r="23" spans="1:6">
      <c r="A23" s="3"/>
      <c r="B23" s="13" t="s">
        <v>1451</v>
      </c>
      <c r="C23" s="5" t="s">
        <v>1452</v>
      </c>
      <c r="D23" s="13" t="s">
        <v>21</v>
      </c>
      <c r="E23" s="6"/>
      <c r="F23" s="7"/>
    </row>
    <row r="24" spans="1:6">
      <c r="A24" s="14"/>
      <c r="B24" s="14" t="s">
        <v>1453</v>
      </c>
      <c r="C24" s="15" t="s">
        <v>1454</v>
      </c>
      <c r="D24" s="14" t="s">
        <v>21</v>
      </c>
      <c r="E24" s="14"/>
      <c r="F24" s="14"/>
    </row>
    <row r="25" spans="1:6">
      <c r="A25" s="14"/>
      <c r="B25" s="14" t="s">
        <v>1483</v>
      </c>
      <c r="C25" s="15" t="s">
        <v>1484</v>
      </c>
      <c r="D25" s="14" t="s">
        <v>21</v>
      </c>
      <c r="E25" s="14"/>
      <c r="F25" s="14"/>
    </row>
    <row r="26" spans="1:6">
      <c r="A26" s="14"/>
      <c r="B26" s="14" t="s">
        <v>1485</v>
      </c>
      <c r="C26" s="15" t="s">
        <v>1486</v>
      </c>
      <c r="D26" s="14" t="s">
        <v>21</v>
      </c>
      <c r="E26" s="14"/>
      <c r="F26" s="14"/>
    </row>
    <row r="27" spans="1:6">
      <c r="A27" s="14"/>
      <c r="B27" s="14" t="s">
        <v>1487</v>
      </c>
      <c r="C27" s="15" t="s">
        <v>1488</v>
      </c>
      <c r="D27" s="14" t="s">
        <v>21</v>
      </c>
      <c r="E27" s="14"/>
      <c r="F27" s="14"/>
    </row>
    <row r="28" spans="1:6">
      <c r="A28" s="14"/>
      <c r="B28" s="14" t="s">
        <v>1489</v>
      </c>
      <c r="C28" s="15" t="s">
        <v>1490</v>
      </c>
      <c r="D28" s="14" t="s">
        <v>21</v>
      </c>
      <c r="E28" s="14"/>
      <c r="F28" s="14"/>
    </row>
    <row r="29" spans="1:6">
      <c r="A29" s="14"/>
      <c r="B29" s="14" t="s">
        <v>1513</v>
      </c>
      <c r="C29" s="15" t="s">
        <v>1514</v>
      </c>
      <c r="D29" s="14" t="s">
        <v>21</v>
      </c>
      <c r="E29" s="14"/>
      <c r="F29" s="14"/>
    </row>
    <row r="30" spans="1:6">
      <c r="A30" s="14"/>
      <c r="B30" s="14" t="s">
        <v>1819</v>
      </c>
      <c r="C30" s="15" t="s">
        <v>1820</v>
      </c>
      <c r="D30" s="14" t="s">
        <v>21</v>
      </c>
      <c r="E30" s="14"/>
      <c r="F30" s="14"/>
    </row>
    <row r="31" spans="1:6">
      <c r="A31" s="14"/>
      <c r="B31" s="14" t="s">
        <v>1821</v>
      </c>
      <c r="C31" s="15" t="s">
        <v>1822</v>
      </c>
      <c r="D31" s="14" t="s">
        <v>21</v>
      </c>
      <c r="E31" s="14"/>
      <c r="F31" s="14"/>
    </row>
    <row r="32" spans="1:6">
      <c r="A32" s="14"/>
      <c r="B32" s="14" t="s">
        <v>1823</v>
      </c>
      <c r="C32" s="15" t="s">
        <v>1824</v>
      </c>
      <c r="D32" s="14" t="s">
        <v>21</v>
      </c>
      <c r="E32" s="14"/>
      <c r="F32" s="14"/>
    </row>
    <row r="33" spans="1:6">
      <c r="A33" s="14"/>
      <c r="B33" s="14" t="s">
        <v>1825</v>
      </c>
      <c r="C33" s="15" t="s">
        <v>1826</v>
      </c>
      <c r="D33" s="14" t="s">
        <v>21</v>
      </c>
      <c r="E33" s="14"/>
      <c r="F33" s="14"/>
    </row>
    <row r="34" spans="1:6">
      <c r="A34" s="14"/>
      <c r="B34" s="14" t="s">
        <v>2059</v>
      </c>
      <c r="C34" s="15" t="s">
        <v>3519</v>
      </c>
      <c r="D34" s="14" t="s">
        <v>21</v>
      </c>
      <c r="E34" s="14"/>
      <c r="F34" s="14"/>
    </row>
    <row r="35" spans="1:6">
      <c r="A35" s="14"/>
      <c r="B35" s="14" t="s">
        <v>2061</v>
      </c>
      <c r="C35" s="15" t="s">
        <v>3520</v>
      </c>
      <c r="D35" s="14" t="s">
        <v>21</v>
      </c>
      <c r="E35" s="14"/>
      <c r="F35" s="14"/>
    </row>
  </sheetData>
  <autoFilter ref="A3:D35"/>
  <mergeCells count="2">
    <mergeCell ref="B1:D1"/>
    <mergeCell ref="A1:A2"/>
  </mergeCells>
  <pageMargins left="0.16111111111111101" right="0.16111111111111101" top="0.40902777777777799" bottom="0.40902777777777799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J12" sqref="J12"/>
    </sheetView>
  </sheetViews>
  <sheetFormatPr defaultColWidth="9.140625" defaultRowHeight="15"/>
  <cols>
    <col min="1" max="1" width="8.28515625" style="16" bestFit="1" customWidth="1"/>
    <col min="2" max="2" width="53.85546875" bestFit="1" customWidth="1"/>
  </cols>
  <sheetData>
    <row r="1" spans="1:5">
      <c r="A1" s="244" t="s">
        <v>2297</v>
      </c>
      <c r="B1" s="178" t="s">
        <v>2298</v>
      </c>
      <c r="C1" s="241" t="s">
        <v>21</v>
      </c>
      <c r="D1" s="21"/>
      <c r="E1" s="21"/>
    </row>
    <row r="2" spans="1:5" ht="30">
      <c r="A2" s="244" t="s">
        <v>2299</v>
      </c>
      <c r="B2" s="135" t="s">
        <v>2300</v>
      </c>
      <c r="C2" s="241" t="s">
        <v>21</v>
      </c>
      <c r="D2" s="21"/>
      <c r="E2" s="21"/>
    </row>
    <row r="3" spans="1:5">
      <c r="A3" s="244" t="s">
        <v>2301</v>
      </c>
      <c r="B3" s="192" t="s">
        <v>2302</v>
      </c>
      <c r="C3" s="241" t="s">
        <v>21</v>
      </c>
      <c r="D3" s="21"/>
      <c r="E3" s="21"/>
    </row>
    <row r="4" spans="1:5">
      <c r="A4" s="244" t="s">
        <v>2303</v>
      </c>
      <c r="B4" s="193" t="s">
        <v>2304</v>
      </c>
      <c r="C4" s="241" t="s">
        <v>21</v>
      </c>
      <c r="D4" s="21"/>
      <c r="E4" s="21"/>
    </row>
    <row r="5" spans="1:5">
      <c r="A5" s="245" t="s">
        <v>2561</v>
      </c>
      <c r="B5" s="212" t="s">
        <v>2562</v>
      </c>
      <c r="C5" s="248" t="s">
        <v>21</v>
      </c>
      <c r="D5" s="21"/>
      <c r="E5" s="21"/>
    </row>
    <row r="6" spans="1:5">
      <c r="A6" s="244" t="s">
        <v>2654</v>
      </c>
      <c r="B6" s="135" t="s">
        <v>2655</v>
      </c>
      <c r="C6" s="241" t="s">
        <v>2647</v>
      </c>
      <c r="D6" s="21"/>
      <c r="E6" s="21"/>
    </row>
    <row r="7" spans="1:5">
      <c r="A7" s="244" t="s">
        <v>2656</v>
      </c>
      <c r="B7" s="135" t="s">
        <v>2657</v>
      </c>
      <c r="C7" s="241" t="s">
        <v>2647</v>
      </c>
      <c r="D7" s="21"/>
      <c r="E7" s="21"/>
    </row>
    <row r="8" spans="1:5">
      <c r="A8" s="244" t="s">
        <v>2782</v>
      </c>
      <c r="B8" s="135" t="s">
        <v>2783</v>
      </c>
      <c r="C8" s="241" t="s">
        <v>21</v>
      </c>
      <c r="D8" s="21"/>
      <c r="E8" s="21"/>
    </row>
    <row r="9" spans="1:5">
      <c r="A9" s="240" t="s">
        <v>2922</v>
      </c>
      <c r="B9" s="214" t="s">
        <v>2923</v>
      </c>
      <c r="C9" s="241" t="s">
        <v>21</v>
      </c>
      <c r="D9" s="21"/>
      <c r="E9" s="21"/>
    </row>
    <row r="10" spans="1:5">
      <c r="A10" s="246" t="s">
        <v>2974</v>
      </c>
      <c r="B10" s="242" t="s">
        <v>2975</v>
      </c>
      <c r="C10" s="241" t="s">
        <v>21</v>
      </c>
      <c r="D10" s="21"/>
      <c r="E10" s="21"/>
    </row>
    <row r="11" spans="1:5">
      <c r="A11" s="247" t="s">
        <v>2976</v>
      </c>
      <c r="B11" s="243" t="s">
        <v>2977</v>
      </c>
      <c r="C11" s="241" t="s">
        <v>21</v>
      </c>
      <c r="D11" s="21"/>
      <c r="E11" s="21"/>
    </row>
  </sheetData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BAHAN BAKU</vt:lpstr>
      <vt:lpstr>MESIN &amp; SPAREPART</vt:lpstr>
      <vt:lpstr>Sheet3</vt:lpstr>
      <vt:lpstr>Sheet1</vt:lpstr>
      <vt:lpstr>Sheet2</vt:lpstr>
      <vt:lpstr>Sheet4</vt:lpstr>
      <vt:lpstr>Sheet5</vt:lpstr>
      <vt:lpstr>Sheet6</vt:lpstr>
      <vt:lpstr>Sheet7</vt:lpstr>
      <vt:lpstr>Sheet8</vt:lpstr>
      <vt:lpstr>Sheet9</vt:lpstr>
      <vt:lpstr>'BAHAN BAKU'!Print_Area</vt:lpstr>
      <vt:lpstr>Sheet1!Print_Area</vt:lpstr>
      <vt:lpstr>Sheet9!Print_Area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HP</cp:lastModifiedBy>
  <cp:lastPrinted>2026-06-11T01:56:31Z</cp:lastPrinted>
  <dcterms:created xsi:type="dcterms:W3CDTF">2023-12-12T23:34:00Z</dcterms:created>
  <dcterms:modified xsi:type="dcterms:W3CDTF">2026-07-15T10:58:07Z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E990352391A64823A52F34AB2946A4CD_13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